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01" codeName="{21656B06-1B9B-AA78-C99D-37B55691406E}"/>
  <workbookPr codeName="ThisWorkbook" defaultThemeVersion="124226"/>
  <mc:AlternateContent xmlns:mc="http://schemas.openxmlformats.org/markup-compatibility/2006">
    <mc:Choice Requires="x15">
      <x15ac:absPath xmlns:x15ac="http://schemas.microsoft.com/office/spreadsheetml/2010/11/ac" url="C:\Users\kyu-homebase\repos\nab\build\v1\"/>
    </mc:Choice>
  </mc:AlternateContent>
  <bookViews>
    <workbookView minimized="1" xWindow="0" yWindow="540" windowWidth="23040" windowHeight="8556" tabRatio="792" activeTab="4"/>
  </bookViews>
  <sheets>
    <sheet name="out" sheetId="14" r:id="rId1"/>
    <sheet name="Run_Consumption" sheetId="111" r:id="rId2"/>
    <sheet name="assets" sheetId="137" r:id="rId3"/>
    <sheet name="exposures" sheetId="138" r:id="rId4"/>
    <sheet name="pledges" sheetId="139" r:id="rId5"/>
    <sheet name="arrangements" sheetId="140" r:id="rId6"/>
    <sheet name="steps_engine" sheetId="141" r:id="rId7"/>
  </sheets>
  <functionGroups builtInGroupCount="18"/>
  <definedNames>
    <definedName name="_xlnm._FilterDatabase" localSheetId="0" hidden="1">out!$E$1:$G$1</definedName>
  </definedNames>
  <calcPr calcId="171027"/>
  <customWorkbookViews>
    <customWorkbookView name="exp" guid="{F4545DFF-08E6-4CDF-9134-6A3BEA3A7F51}" maximized="1" windowWidth="1596" windowHeight="678" activeSheetId="4"/>
  </customWorkbookViews>
</workbook>
</file>

<file path=xl/calcChain.xml><?xml version="1.0" encoding="utf-8"?>
<calcChain xmlns="http://schemas.openxmlformats.org/spreadsheetml/2006/main">
  <c r="DI4" i="14" l="1"/>
  <c r="DK4" i="14"/>
  <c r="DL4" i="14"/>
  <c r="DM4" i="14"/>
  <c r="DN4" i="14"/>
  <c r="DO4" i="14"/>
  <c r="DI5" i="14"/>
  <c r="DK5" i="14"/>
  <c r="DL5" i="14"/>
  <c r="DM5" i="14"/>
  <c r="DN5" i="14"/>
  <c r="DO5" i="14"/>
  <c r="DI6" i="14"/>
  <c r="DK6" i="14"/>
  <c r="DL6" i="14"/>
  <c r="DM6" i="14"/>
  <c r="DN6" i="14"/>
  <c r="DO6" i="14"/>
  <c r="DI7" i="14"/>
  <c r="DK7" i="14"/>
  <c r="DL7" i="14"/>
  <c r="DM7" i="14"/>
  <c r="DN7" i="14"/>
  <c r="DO7" i="14"/>
  <c r="DI8" i="14"/>
  <c r="DK8" i="14"/>
  <c r="DL8" i="14"/>
  <c r="DM8" i="14"/>
  <c r="DN8" i="14"/>
  <c r="DO8" i="14"/>
  <c r="DI9" i="14"/>
  <c r="DK9" i="14"/>
  <c r="DL9" i="14"/>
  <c r="DM9" i="14"/>
  <c r="DN9" i="14"/>
  <c r="DO9" i="14"/>
  <c r="DI10" i="14"/>
  <c r="DK10" i="14"/>
  <c r="DL10" i="14"/>
  <c r="DM10" i="14"/>
  <c r="DN10" i="14"/>
  <c r="DO10" i="14"/>
  <c r="DI11" i="14"/>
  <c r="DK11" i="14"/>
  <c r="DL11" i="14"/>
  <c r="DM11" i="14"/>
  <c r="DN11" i="14"/>
  <c r="DO11" i="14"/>
  <c r="DI12" i="14"/>
  <c r="DK12" i="14"/>
  <c r="DL12" i="14"/>
  <c r="DM12" i="14"/>
  <c r="DN12" i="14"/>
  <c r="DO12" i="14"/>
  <c r="DI13" i="14"/>
  <c r="DK13" i="14"/>
  <c r="DL13" i="14"/>
  <c r="DM13" i="14"/>
  <c r="DN13" i="14"/>
  <c r="DO13" i="14"/>
  <c r="DI14" i="14"/>
  <c r="DK14" i="14"/>
  <c r="DL14" i="14"/>
  <c r="DM14" i="14"/>
  <c r="DN14" i="14"/>
  <c r="DO14" i="14"/>
  <c r="DI15" i="14"/>
  <c r="DK15" i="14"/>
  <c r="DL15" i="14"/>
  <c r="DM15" i="14"/>
  <c r="DN15" i="14"/>
  <c r="DO15" i="14"/>
  <c r="DI16" i="14"/>
  <c r="DK16" i="14"/>
  <c r="DL16" i="14"/>
  <c r="DM16" i="14"/>
  <c r="DN16" i="14"/>
  <c r="DO16" i="14"/>
  <c r="DI17" i="14"/>
  <c r="DK17" i="14"/>
  <c r="DL17" i="14"/>
  <c r="DM17" i="14"/>
  <c r="DN17" i="14"/>
  <c r="DO17" i="14"/>
  <c r="DI18" i="14"/>
  <c r="DK18" i="14"/>
  <c r="DL18" i="14"/>
  <c r="DM18" i="14"/>
  <c r="DN18" i="14"/>
  <c r="DO18" i="14"/>
  <c r="DI19" i="14"/>
  <c r="DK19" i="14"/>
  <c r="DL19" i="14"/>
  <c r="DM19" i="14"/>
  <c r="DN19" i="14"/>
  <c r="DO19" i="14"/>
  <c r="DI20" i="14"/>
  <c r="DK20" i="14"/>
  <c r="DL20" i="14"/>
  <c r="DM20" i="14"/>
  <c r="DN20" i="14"/>
  <c r="DO20" i="14"/>
  <c r="DI21" i="14"/>
  <c r="DK21" i="14"/>
  <c r="DL21" i="14"/>
  <c r="DM21" i="14"/>
  <c r="DN21" i="14"/>
  <c r="DO21" i="14"/>
  <c r="DI22" i="14"/>
  <c r="DK22" i="14"/>
  <c r="DL22" i="14"/>
  <c r="DM22" i="14"/>
  <c r="DN22" i="14"/>
  <c r="DO22" i="14"/>
  <c r="DI23" i="14"/>
  <c r="DK23" i="14"/>
  <c r="DL23" i="14"/>
  <c r="DM23" i="14"/>
  <c r="DN23" i="14"/>
  <c r="DO23" i="14"/>
  <c r="DI24" i="14"/>
  <c r="DK24" i="14"/>
  <c r="DL24" i="14"/>
  <c r="DM24" i="14"/>
  <c r="DN24" i="14"/>
  <c r="DO24" i="14"/>
  <c r="DI25" i="14"/>
  <c r="DK25" i="14"/>
  <c r="DL25" i="14"/>
  <c r="DM25" i="14"/>
  <c r="DN25" i="14"/>
  <c r="DO25" i="14"/>
  <c r="DI26" i="14"/>
  <c r="DK26" i="14"/>
  <c r="DL26" i="14"/>
  <c r="DM26" i="14"/>
  <c r="DN26" i="14"/>
  <c r="DO26" i="14"/>
  <c r="DI27" i="14"/>
  <c r="DK27" i="14"/>
  <c r="DL27" i="14"/>
  <c r="DM27" i="14"/>
  <c r="DN27" i="14"/>
  <c r="DO27" i="14"/>
  <c r="DI28" i="14"/>
  <c r="DK28" i="14"/>
  <c r="DL28" i="14"/>
  <c r="DM28" i="14"/>
  <c r="DN28" i="14"/>
  <c r="DO28" i="14"/>
  <c r="DI29" i="14"/>
  <c r="DK29" i="14"/>
  <c r="DL29" i="14"/>
  <c r="DM29" i="14"/>
  <c r="DN29" i="14"/>
  <c r="DO29" i="14"/>
  <c r="DI30" i="14"/>
  <c r="DK30" i="14"/>
  <c r="DL30" i="14"/>
  <c r="DM30" i="14"/>
  <c r="DN30" i="14"/>
  <c r="DO30" i="14"/>
  <c r="DI31" i="14"/>
  <c r="DK31" i="14"/>
  <c r="DL31" i="14"/>
  <c r="DM31" i="14"/>
  <c r="DN31" i="14"/>
  <c r="DO31" i="14"/>
  <c r="DI32" i="14"/>
  <c r="DK32" i="14"/>
  <c r="DL32" i="14"/>
  <c r="DM32" i="14"/>
  <c r="DN32" i="14"/>
  <c r="DO32" i="14"/>
  <c r="DI33" i="14"/>
  <c r="DK33" i="14"/>
  <c r="DL33" i="14"/>
  <c r="DM33" i="14"/>
  <c r="DN33" i="14"/>
  <c r="DO33" i="14"/>
  <c r="DI34" i="14"/>
  <c r="DK34" i="14"/>
  <c r="DL34" i="14"/>
  <c r="DM34" i="14"/>
  <c r="DN34" i="14"/>
  <c r="DO34" i="14"/>
  <c r="DI35" i="14"/>
  <c r="DK35" i="14"/>
  <c r="DL35" i="14"/>
  <c r="DM35" i="14"/>
  <c r="DN35" i="14"/>
  <c r="DO35" i="14"/>
  <c r="DI36" i="14"/>
  <c r="DK36" i="14"/>
  <c r="DL36" i="14"/>
  <c r="DM36" i="14"/>
  <c r="DN36" i="14"/>
  <c r="DO36" i="14"/>
  <c r="DE3" i="14"/>
  <c r="DI3" i="14" s="1"/>
  <c r="B47" i="14"/>
  <c r="B48" i="14"/>
  <c r="B49" i="14"/>
  <c r="B50" i="14"/>
  <c r="B51" i="14"/>
  <c r="B52" i="14"/>
  <c r="B53" i="14"/>
  <c r="B54" i="14"/>
  <c r="B55" i="14"/>
  <c r="B56" i="14"/>
  <c r="B57" i="14"/>
  <c r="B45" i="14"/>
  <c r="L45" i="14" s="1"/>
  <c r="B46" i="14"/>
  <c r="L46" i="14" s="1"/>
  <c r="K45" i="14"/>
  <c r="M45" i="14"/>
  <c r="N45" i="14"/>
  <c r="O45" i="14"/>
  <c r="P45" i="14"/>
  <c r="Q45" i="14"/>
  <c r="K46" i="14"/>
  <c r="M46" i="14"/>
  <c r="N46" i="14"/>
  <c r="O46" i="14"/>
  <c r="P46" i="14"/>
  <c r="Q46" i="14"/>
  <c r="K9" i="14"/>
  <c r="M9" i="14"/>
  <c r="N9" i="14"/>
  <c r="O9" i="14"/>
  <c r="P9" i="14"/>
  <c r="Q9" i="14"/>
  <c r="K10" i="14"/>
  <c r="M10" i="14"/>
  <c r="N10" i="14"/>
  <c r="O10" i="14"/>
  <c r="P10" i="14"/>
  <c r="Q10" i="14"/>
  <c r="K11" i="14"/>
  <c r="M11" i="14"/>
  <c r="N11" i="14"/>
  <c r="O11" i="14"/>
  <c r="P11" i="14"/>
  <c r="Q11" i="14"/>
  <c r="K12" i="14"/>
  <c r="M12" i="14"/>
  <c r="N12" i="14"/>
  <c r="O12" i="14"/>
  <c r="P12" i="14"/>
  <c r="Q12" i="14"/>
  <c r="K13" i="14"/>
  <c r="M13" i="14"/>
  <c r="N13" i="14"/>
  <c r="O13" i="14"/>
  <c r="P13" i="14"/>
  <c r="Q13" i="14"/>
  <c r="K14" i="14"/>
  <c r="M14" i="14"/>
  <c r="N14" i="14"/>
  <c r="O14" i="14"/>
  <c r="P14" i="14"/>
  <c r="Q14" i="14"/>
  <c r="K15" i="14"/>
  <c r="M15" i="14"/>
  <c r="N15" i="14"/>
  <c r="O15" i="14"/>
  <c r="P15" i="14"/>
  <c r="Q15" i="14"/>
  <c r="K16" i="14"/>
  <c r="M16" i="14"/>
  <c r="N16" i="14"/>
  <c r="O16" i="14"/>
  <c r="P16" i="14"/>
  <c r="Q16" i="14"/>
  <c r="K17" i="14"/>
  <c r="M17" i="14"/>
  <c r="N17" i="14"/>
  <c r="O17" i="14"/>
  <c r="P17" i="14"/>
  <c r="Q17" i="14"/>
  <c r="K18" i="14"/>
  <c r="M18" i="14"/>
  <c r="N18" i="14"/>
  <c r="O18" i="14"/>
  <c r="P18" i="14"/>
  <c r="Q18" i="14"/>
  <c r="K28" i="14"/>
  <c r="M28" i="14"/>
  <c r="N28" i="14"/>
  <c r="O28" i="14"/>
  <c r="P28" i="14"/>
  <c r="Q28" i="14"/>
  <c r="K29" i="14"/>
  <c r="M29" i="14"/>
  <c r="N29" i="14"/>
  <c r="O29" i="14"/>
  <c r="P29" i="14"/>
  <c r="Q29" i="14"/>
  <c r="K30" i="14"/>
  <c r="M30" i="14"/>
  <c r="N30" i="14"/>
  <c r="O30" i="14"/>
  <c r="P30" i="14"/>
  <c r="Q30" i="14"/>
  <c r="K31" i="14"/>
  <c r="M31" i="14"/>
  <c r="N31" i="14"/>
  <c r="O31" i="14"/>
  <c r="P31" i="14"/>
  <c r="Q31" i="14"/>
  <c r="K32" i="14"/>
  <c r="M32" i="14"/>
  <c r="N32" i="14"/>
  <c r="O32" i="14"/>
  <c r="P32" i="14"/>
  <c r="Q32" i="14"/>
  <c r="K33" i="14"/>
  <c r="M33" i="14"/>
  <c r="N33" i="14"/>
  <c r="O33" i="14"/>
  <c r="P33" i="14"/>
  <c r="Q33" i="14"/>
  <c r="K34" i="14"/>
  <c r="M34" i="14"/>
  <c r="N34" i="14"/>
  <c r="O34" i="14"/>
  <c r="P34" i="14"/>
  <c r="Q34" i="14"/>
  <c r="K35" i="14"/>
  <c r="M35" i="14"/>
  <c r="N35" i="14"/>
  <c r="O35" i="14"/>
  <c r="P35" i="14"/>
  <c r="Q35" i="14"/>
  <c r="K36" i="14"/>
  <c r="M36" i="14"/>
  <c r="N36" i="14"/>
  <c r="O36" i="14"/>
  <c r="P36" i="14"/>
  <c r="Q36" i="14"/>
  <c r="K37" i="14"/>
  <c r="M37" i="14"/>
  <c r="N37" i="14"/>
  <c r="O37" i="14"/>
  <c r="P37" i="14"/>
  <c r="Q37" i="14"/>
  <c r="K38" i="14"/>
  <c r="M38" i="14"/>
  <c r="N38" i="14"/>
  <c r="O38" i="14"/>
  <c r="P38" i="14"/>
  <c r="Q38" i="14"/>
  <c r="K39" i="14"/>
  <c r="M39" i="14"/>
  <c r="N39" i="14"/>
  <c r="O39" i="14"/>
  <c r="P39" i="14"/>
  <c r="Q39" i="14"/>
  <c r="K40" i="14"/>
  <c r="M40" i="14"/>
  <c r="N40" i="14"/>
  <c r="O40" i="14"/>
  <c r="P40" i="14"/>
  <c r="Q40" i="14"/>
  <c r="K41" i="14"/>
  <c r="M41" i="14"/>
  <c r="N41" i="14"/>
  <c r="O41" i="14"/>
  <c r="P41" i="14"/>
  <c r="Q41" i="14"/>
  <c r="K42" i="14"/>
  <c r="M42" i="14"/>
  <c r="N42" i="14"/>
  <c r="O42" i="14"/>
  <c r="P42" i="14"/>
  <c r="Q42" i="14"/>
  <c r="K43" i="14"/>
  <c r="M43" i="14"/>
  <c r="N43" i="14"/>
  <c r="O43" i="14"/>
  <c r="P43" i="14"/>
  <c r="Q43" i="14"/>
  <c r="K44" i="14"/>
  <c r="M44" i="14"/>
  <c r="N44" i="14"/>
  <c r="O44" i="14"/>
  <c r="P44" i="14"/>
  <c r="Q44" i="14"/>
  <c r="G7" i="14"/>
  <c r="M7" i="14" s="1"/>
  <c r="G6" i="14"/>
  <c r="K6" i="14" s="1"/>
  <c r="CR3" i="14"/>
  <c r="CT3" i="14"/>
  <c r="CU3" i="14"/>
  <c r="CV3" i="14"/>
  <c r="CW3" i="14"/>
  <c r="CX3" i="14"/>
  <c r="CR4" i="14"/>
  <c r="CT4" i="14"/>
  <c r="CU4" i="14"/>
  <c r="CV4" i="14"/>
  <c r="CW4" i="14"/>
  <c r="CX4" i="14"/>
  <c r="CR5" i="14"/>
  <c r="CT5" i="14"/>
  <c r="CU5" i="14"/>
  <c r="CV5" i="14"/>
  <c r="CW5" i="14"/>
  <c r="CX5" i="14"/>
  <c r="CR6" i="14"/>
  <c r="CT6" i="14"/>
  <c r="CU6" i="14"/>
  <c r="CV6" i="14"/>
  <c r="CW6" i="14"/>
  <c r="CX6" i="14"/>
  <c r="CR7" i="14"/>
  <c r="CT7" i="14"/>
  <c r="CU7" i="14"/>
  <c r="CV7" i="14"/>
  <c r="CW7" i="14"/>
  <c r="CX7" i="14"/>
  <c r="CR8" i="14"/>
  <c r="CT8" i="14"/>
  <c r="CU8" i="14"/>
  <c r="CV8" i="14"/>
  <c r="CW8" i="14"/>
  <c r="CX8" i="14"/>
  <c r="CR9" i="14"/>
  <c r="CT9" i="14"/>
  <c r="CU9" i="14"/>
  <c r="CV9" i="14"/>
  <c r="CW9" i="14"/>
  <c r="CX9" i="14"/>
  <c r="CR10" i="14"/>
  <c r="CT10" i="14"/>
  <c r="CU10" i="14"/>
  <c r="CV10" i="14"/>
  <c r="CW10" i="14"/>
  <c r="CX10" i="14"/>
  <c r="CR11" i="14"/>
  <c r="CT11" i="14"/>
  <c r="CU11" i="14"/>
  <c r="CV11" i="14"/>
  <c r="CW11" i="14"/>
  <c r="CX11" i="14"/>
  <c r="CR12" i="14"/>
  <c r="CT12" i="14"/>
  <c r="CU12" i="14"/>
  <c r="CV12" i="14"/>
  <c r="CW12" i="14"/>
  <c r="CX12" i="14"/>
  <c r="CR13" i="14"/>
  <c r="CT13" i="14"/>
  <c r="CU13" i="14"/>
  <c r="CV13" i="14"/>
  <c r="CW13" i="14"/>
  <c r="CX13" i="14"/>
  <c r="CW18" i="14"/>
  <c r="CR19" i="14"/>
  <c r="CT19" i="14"/>
  <c r="CU19" i="14"/>
  <c r="CV19" i="14"/>
  <c r="CW19" i="14"/>
  <c r="CX19" i="14"/>
  <c r="CN18" i="14"/>
  <c r="CT18" i="14" s="1"/>
  <c r="CN17" i="14"/>
  <c r="CR17" i="14" s="1"/>
  <c r="CN16" i="14"/>
  <c r="CU16" i="14" s="1"/>
  <c r="CN15" i="14"/>
  <c r="CN14" i="14"/>
  <c r="CT14" i="14" s="1"/>
  <c r="DE2" i="14"/>
  <c r="DO2" i="14" s="1"/>
  <c r="CX2" i="14"/>
  <c r="CR18" i="14" l="1"/>
  <c r="K7" i="14"/>
  <c r="CW14" i="14"/>
  <c r="CV14" i="14"/>
  <c r="DL3" i="14"/>
  <c r="O6" i="14"/>
  <c r="DO3" i="14"/>
  <c r="DK3" i="14"/>
  <c r="P7" i="14"/>
  <c r="N6" i="14"/>
  <c r="DN3" i="14"/>
  <c r="CU18" i="14"/>
  <c r="CU14" i="14"/>
  <c r="O7" i="14"/>
  <c r="DM3" i="14"/>
  <c r="CT15" i="14"/>
  <c r="CW15" i="14"/>
  <c r="N7" i="14"/>
  <c r="Q6" i="14"/>
  <c r="M6" i="14"/>
  <c r="CU17" i="14"/>
  <c r="CV18" i="14"/>
  <c r="CR14" i="14"/>
  <c r="Q7" i="14"/>
  <c r="P6" i="14"/>
  <c r="CX17" i="14"/>
  <c r="CX16" i="14"/>
  <c r="CT17" i="14"/>
  <c r="CW16" i="14"/>
  <c r="CV15" i="14"/>
  <c r="CR15" i="14"/>
  <c r="CX18" i="14"/>
  <c r="CW17" i="14"/>
  <c r="CV16" i="14"/>
  <c r="CR16" i="14"/>
  <c r="CU15" i="14"/>
  <c r="CX14" i="14"/>
  <c r="CT16" i="14"/>
  <c r="CV17" i="14"/>
  <c r="CX15" i="14"/>
  <c r="DL2" i="14"/>
  <c r="DI2" i="14"/>
  <c r="DM2" i="14"/>
  <c r="DN2" i="14"/>
  <c r="DK2" i="14"/>
  <c r="CU2" i="14"/>
  <c r="CR2" i="14"/>
  <c r="CV2" i="14"/>
  <c r="CW2" i="14"/>
  <c r="CT2" i="14"/>
  <c r="CA3" i="14"/>
  <c r="CC3" i="14"/>
  <c r="CD3" i="14"/>
  <c r="CE3" i="14"/>
  <c r="CF3" i="14"/>
  <c r="CG3" i="14"/>
  <c r="CA4" i="14"/>
  <c r="CC4" i="14"/>
  <c r="CD4" i="14"/>
  <c r="CE4" i="14"/>
  <c r="CF4" i="14"/>
  <c r="CG4" i="14"/>
  <c r="CA5" i="14"/>
  <c r="CC5" i="14"/>
  <c r="CD5" i="14"/>
  <c r="CE5" i="14"/>
  <c r="CF5" i="14"/>
  <c r="CG5" i="14"/>
  <c r="CA6" i="14"/>
  <c r="CC6" i="14"/>
  <c r="CD6" i="14"/>
  <c r="CE6" i="14"/>
  <c r="CF6" i="14"/>
  <c r="CG6" i="14"/>
  <c r="CA7" i="14"/>
  <c r="CC7" i="14"/>
  <c r="CD7" i="14"/>
  <c r="CE7" i="14"/>
  <c r="CF7" i="14"/>
  <c r="CG7" i="14"/>
  <c r="CA8" i="14"/>
  <c r="CC8" i="14"/>
  <c r="CD8" i="14"/>
  <c r="CE8" i="14"/>
  <c r="CF8" i="14"/>
  <c r="CG8" i="14"/>
  <c r="CA9" i="14"/>
  <c r="CC9" i="14"/>
  <c r="CD9" i="14"/>
  <c r="CE9" i="14"/>
  <c r="CF9" i="14"/>
  <c r="CG9" i="14"/>
  <c r="CA10" i="14"/>
  <c r="CC10" i="14"/>
  <c r="CD10" i="14"/>
  <c r="CE10" i="14"/>
  <c r="CF10" i="14"/>
  <c r="CG10" i="14"/>
  <c r="CA11" i="14"/>
  <c r="CC11" i="14"/>
  <c r="CD11" i="14"/>
  <c r="CE11" i="14"/>
  <c r="CF11" i="14"/>
  <c r="CG11" i="14"/>
  <c r="CA12" i="14"/>
  <c r="CC12" i="14"/>
  <c r="CD12" i="14"/>
  <c r="CE12" i="14"/>
  <c r="CF12" i="14"/>
  <c r="CG12" i="14"/>
  <c r="CA13" i="14"/>
  <c r="CC13" i="14"/>
  <c r="CD13" i="14"/>
  <c r="CE13" i="14"/>
  <c r="CF13" i="14"/>
  <c r="CG13" i="14"/>
  <c r="CA14" i="14"/>
  <c r="CC14" i="14"/>
  <c r="CD14" i="14"/>
  <c r="CE14" i="14"/>
  <c r="CF14" i="14"/>
  <c r="CG14" i="14"/>
  <c r="CA15" i="14"/>
  <c r="CC15" i="14"/>
  <c r="CD15" i="14"/>
  <c r="CE15" i="14"/>
  <c r="CF15" i="14"/>
  <c r="CG15" i="14"/>
  <c r="CA16" i="14"/>
  <c r="CC16" i="14"/>
  <c r="CD16" i="14"/>
  <c r="CE16" i="14"/>
  <c r="CF16" i="14"/>
  <c r="CG16" i="14"/>
  <c r="CA17" i="14"/>
  <c r="CC17" i="14"/>
  <c r="CD17" i="14"/>
  <c r="CE17" i="14"/>
  <c r="CF17" i="14"/>
  <c r="CG17" i="14"/>
  <c r="CA2" i="14" l="1"/>
  <c r="CC2" i="14"/>
  <c r="CD2" i="14"/>
  <c r="CE2" i="14"/>
  <c r="CF2" i="14"/>
  <c r="CG2" i="14"/>
  <c r="BP3" i="14" l="1"/>
  <c r="BP4" i="14"/>
  <c r="BR4" i="14" s="1"/>
  <c r="BP5" i="14"/>
  <c r="BR5" i="14" s="1"/>
  <c r="BP6" i="14"/>
  <c r="BP7" i="14"/>
  <c r="BP8" i="14"/>
  <c r="BP9" i="14"/>
  <c r="BR9" i="14" s="1"/>
  <c r="BP10" i="14"/>
  <c r="BP11" i="14"/>
  <c r="BR11" i="14" s="1"/>
  <c r="BP12" i="14"/>
  <c r="BR12" i="14" s="1"/>
  <c r="BP13" i="14"/>
  <c r="BP14" i="14"/>
  <c r="BP15" i="14"/>
  <c r="BP16" i="14"/>
  <c r="BP17" i="14"/>
  <c r="BR17" i="14" s="1"/>
  <c r="BP18" i="14"/>
  <c r="BP19" i="14"/>
  <c r="BP20" i="14"/>
  <c r="BR20" i="14" s="1"/>
  <c r="BP2" i="14"/>
  <c r="BR7" i="14"/>
  <c r="BR8" i="14"/>
  <c r="BR15" i="14"/>
  <c r="BR16" i="14"/>
  <c r="BR19" i="14" l="1"/>
  <c r="BR13" i="14"/>
  <c r="BR3" i="14"/>
  <c r="BR18" i="14"/>
  <c r="BR14" i="14"/>
  <c r="BR10" i="14"/>
  <c r="BR6" i="14"/>
  <c r="BR2" i="14"/>
  <c r="AW3" i="14" l="1"/>
  <c r="AY3" i="14"/>
  <c r="AZ3" i="14"/>
  <c r="BA3" i="14"/>
  <c r="BB3" i="14"/>
  <c r="BC3" i="14"/>
  <c r="BD3" i="14"/>
  <c r="AW4" i="14"/>
  <c r="AY4" i="14"/>
  <c r="AZ4" i="14"/>
  <c r="BA4" i="14"/>
  <c r="BB4" i="14"/>
  <c r="BC4" i="14"/>
  <c r="BD4" i="14"/>
  <c r="AW5" i="14"/>
  <c r="AY5" i="14"/>
  <c r="AZ5" i="14"/>
  <c r="BA5" i="14"/>
  <c r="BB5" i="14"/>
  <c r="BC5" i="14"/>
  <c r="BD5" i="14"/>
  <c r="AW6" i="14"/>
  <c r="AY6" i="14"/>
  <c r="AZ6" i="14"/>
  <c r="BA6" i="14"/>
  <c r="BB6" i="14"/>
  <c r="BC6" i="14"/>
  <c r="BD6" i="14"/>
  <c r="AW7" i="14"/>
  <c r="AY7" i="14"/>
  <c r="AZ7" i="14"/>
  <c r="BA7" i="14"/>
  <c r="BB7" i="14"/>
  <c r="BC7" i="14"/>
  <c r="BD7" i="14"/>
  <c r="AW8" i="14"/>
  <c r="AY8" i="14"/>
  <c r="AZ8" i="14"/>
  <c r="BA8" i="14"/>
  <c r="BB8" i="14"/>
  <c r="BC8" i="14"/>
  <c r="BD8" i="14"/>
  <c r="AW9" i="14"/>
  <c r="AY9" i="14"/>
  <c r="AZ9" i="14"/>
  <c r="BA9" i="14"/>
  <c r="BB9" i="14"/>
  <c r="BC9" i="14"/>
  <c r="BD9" i="14"/>
  <c r="AW10" i="14"/>
  <c r="AY10" i="14"/>
  <c r="AZ10" i="14"/>
  <c r="BA10" i="14"/>
  <c r="BB10" i="14"/>
  <c r="BC10" i="14"/>
  <c r="BD10" i="14"/>
  <c r="AW11" i="14"/>
  <c r="AY11" i="14"/>
  <c r="AZ11" i="14"/>
  <c r="BA11" i="14"/>
  <c r="BB11" i="14"/>
  <c r="BC11" i="14"/>
  <c r="BD11" i="14"/>
  <c r="AW12" i="14"/>
  <c r="AY12" i="14"/>
  <c r="AZ12" i="14"/>
  <c r="BA12" i="14"/>
  <c r="BB12" i="14"/>
  <c r="BC12" i="14"/>
  <c r="BD12" i="14"/>
  <c r="AW13" i="14"/>
  <c r="AY13" i="14"/>
  <c r="AZ13" i="14"/>
  <c r="BA13" i="14"/>
  <c r="BB13" i="14"/>
  <c r="BC13" i="14"/>
  <c r="BD13" i="14"/>
  <c r="AW14" i="14"/>
  <c r="AY14" i="14"/>
  <c r="AZ14" i="14"/>
  <c r="BA14" i="14"/>
  <c r="BB14" i="14"/>
  <c r="BC14" i="14"/>
  <c r="BD14" i="14"/>
  <c r="AW15" i="14"/>
  <c r="AY15" i="14"/>
  <c r="AZ15" i="14"/>
  <c r="BA15" i="14"/>
  <c r="BB15" i="14"/>
  <c r="BC15" i="14"/>
  <c r="BD15" i="14"/>
  <c r="AW16" i="14"/>
  <c r="AY16" i="14"/>
  <c r="AZ16" i="14"/>
  <c r="BA16" i="14"/>
  <c r="BB16" i="14"/>
  <c r="BC16" i="14"/>
  <c r="BD16" i="14"/>
  <c r="AW17" i="14"/>
  <c r="AY17" i="14"/>
  <c r="AZ17" i="14"/>
  <c r="BA17" i="14"/>
  <c r="BB17" i="14"/>
  <c r="BC17" i="14"/>
  <c r="BD17" i="14"/>
  <c r="AW18" i="14"/>
  <c r="AY18" i="14"/>
  <c r="AZ18" i="14"/>
  <c r="BA18" i="14"/>
  <c r="BB18" i="14"/>
  <c r="BC18" i="14"/>
  <c r="BD18" i="14"/>
  <c r="AW19" i="14"/>
  <c r="AY19" i="14"/>
  <c r="AZ19" i="14"/>
  <c r="BA19" i="14"/>
  <c r="BB19" i="14"/>
  <c r="BC19" i="14"/>
  <c r="BD19" i="14"/>
  <c r="AW20" i="14"/>
  <c r="AY20" i="14"/>
  <c r="AZ20" i="14"/>
  <c r="BA20" i="14"/>
  <c r="BB20" i="14"/>
  <c r="BC20" i="14"/>
  <c r="BD20" i="14"/>
  <c r="AW21" i="14"/>
  <c r="AY21" i="14"/>
  <c r="AZ21" i="14"/>
  <c r="BA21" i="14"/>
  <c r="BB21" i="14"/>
  <c r="BC21" i="14"/>
  <c r="BD21" i="14"/>
  <c r="AW22" i="14"/>
  <c r="AY22" i="14"/>
  <c r="AZ22" i="14"/>
  <c r="BA22" i="14"/>
  <c r="BB22" i="14"/>
  <c r="BC22" i="14"/>
  <c r="BD22" i="14"/>
  <c r="AW23" i="14"/>
  <c r="AY23" i="14"/>
  <c r="AZ23" i="14"/>
  <c r="BA23" i="14"/>
  <c r="BB23" i="14"/>
  <c r="BC23" i="14"/>
  <c r="BD23" i="14"/>
  <c r="AW24" i="14"/>
  <c r="AY24" i="14"/>
  <c r="AZ24" i="14"/>
  <c r="BA24" i="14"/>
  <c r="BB24" i="14"/>
  <c r="BC24" i="14"/>
  <c r="BD24" i="14"/>
  <c r="AW25" i="14"/>
  <c r="AY25" i="14"/>
  <c r="AZ25" i="14"/>
  <c r="BA25" i="14"/>
  <c r="BB25" i="14"/>
  <c r="BC25" i="14"/>
  <c r="BD25" i="14"/>
  <c r="AW26" i="14"/>
  <c r="AY26" i="14"/>
  <c r="AZ26" i="14"/>
  <c r="BA26" i="14"/>
  <c r="BB26" i="14"/>
  <c r="BC26" i="14"/>
  <c r="BD26" i="14"/>
  <c r="AW27" i="14"/>
  <c r="AY27" i="14"/>
  <c r="AZ27" i="14"/>
  <c r="BA27" i="14"/>
  <c r="BB27" i="14"/>
  <c r="BC27" i="14"/>
  <c r="BD27" i="14"/>
  <c r="AW28" i="14"/>
  <c r="AY28" i="14"/>
  <c r="AZ28" i="14"/>
  <c r="BA28" i="14"/>
  <c r="BB28" i="14"/>
  <c r="BC28" i="14"/>
  <c r="BD28" i="14"/>
  <c r="AN8" i="14" l="1"/>
  <c r="AN9" i="14"/>
  <c r="AN10" i="14"/>
  <c r="AN11" i="14"/>
  <c r="AN12" i="14"/>
  <c r="AN13" i="14"/>
  <c r="AN14" i="14"/>
  <c r="AN7" i="14"/>
  <c r="BC2" i="14" l="1"/>
  <c r="BB2" i="14"/>
  <c r="B44" i="14" l="1"/>
  <c r="L44" i="14" s="1"/>
  <c r="I43" i="14"/>
  <c r="B43" i="14"/>
  <c r="L43" i="14" s="1"/>
  <c r="I42" i="14"/>
  <c r="B42" i="14"/>
  <c r="L42" i="14" s="1"/>
  <c r="I41" i="14"/>
  <c r="B41" i="14"/>
  <c r="L41" i="14" s="1"/>
  <c r="I40" i="14"/>
  <c r="B40" i="14"/>
  <c r="L40" i="14" s="1"/>
  <c r="I39" i="14"/>
  <c r="B39" i="14"/>
  <c r="L39" i="14" s="1"/>
  <c r="I38" i="14"/>
  <c r="B38" i="14"/>
  <c r="L38" i="14" s="1"/>
  <c r="I37" i="14"/>
  <c r="B37" i="14"/>
  <c r="L37" i="14" s="1"/>
  <c r="I36" i="14"/>
  <c r="B36" i="14"/>
  <c r="I35" i="14"/>
  <c r="B35" i="14"/>
  <c r="I34" i="14"/>
  <c r="B34" i="14"/>
  <c r="I33" i="14"/>
  <c r="B33" i="14"/>
  <c r="I32" i="14"/>
  <c r="B32" i="14"/>
  <c r="I31" i="14"/>
  <c r="B31" i="14"/>
  <c r="B30" i="14"/>
  <c r="B29" i="14"/>
  <c r="B28" i="14"/>
  <c r="B27" i="14"/>
  <c r="DJ27" i="14" s="1"/>
  <c r="B26" i="14"/>
  <c r="DJ26" i="14" s="1"/>
  <c r="G27" i="14"/>
  <c r="B25" i="14"/>
  <c r="G26" i="14"/>
  <c r="B24" i="14"/>
  <c r="G25" i="14"/>
  <c r="B23" i="14"/>
  <c r="G24" i="14"/>
  <c r="B22" i="14"/>
  <c r="DJ22" i="14" s="1"/>
  <c r="G23" i="14"/>
  <c r="B21" i="14"/>
  <c r="DJ21" i="14" s="1"/>
  <c r="G22" i="14"/>
  <c r="B20" i="14"/>
  <c r="DJ20" i="14" s="1"/>
  <c r="G21" i="14"/>
  <c r="B19" i="14"/>
  <c r="G20" i="14"/>
  <c r="B18" i="14"/>
  <c r="DJ18" i="14" s="1"/>
  <c r="G19" i="14"/>
  <c r="B17" i="14"/>
  <c r="DJ17" i="14" s="1"/>
  <c r="AF16" i="14"/>
  <c r="AE16" i="14"/>
  <c r="AD16" i="14"/>
  <c r="AC16" i="14"/>
  <c r="AB16" i="14"/>
  <c r="Z16" i="14"/>
  <c r="B16" i="14"/>
  <c r="DJ16" i="14" s="1"/>
  <c r="AF15" i="14"/>
  <c r="AE15" i="14"/>
  <c r="AD15" i="14"/>
  <c r="AC15" i="14"/>
  <c r="AB15" i="14"/>
  <c r="Z15" i="14"/>
  <c r="B15" i="14"/>
  <c r="DJ15" i="14" s="1"/>
  <c r="AF14" i="14"/>
  <c r="AE14" i="14"/>
  <c r="AD14" i="14"/>
  <c r="AC14" i="14"/>
  <c r="AB14" i="14"/>
  <c r="Z14" i="14"/>
  <c r="B14" i="14"/>
  <c r="DJ14" i="14" s="1"/>
  <c r="AF13" i="14"/>
  <c r="AE13" i="14"/>
  <c r="AD13" i="14"/>
  <c r="AC13" i="14"/>
  <c r="AB13" i="14"/>
  <c r="Z13" i="14"/>
  <c r="B13" i="14"/>
  <c r="DJ13" i="14" s="1"/>
  <c r="AF12" i="14"/>
  <c r="AE12" i="14"/>
  <c r="AD12" i="14"/>
  <c r="AC12" i="14"/>
  <c r="AB12" i="14"/>
  <c r="Z12" i="14"/>
  <c r="B12" i="14"/>
  <c r="DJ12" i="14" s="1"/>
  <c r="W11" i="14"/>
  <c r="AE11" i="14" s="1"/>
  <c r="B11" i="14"/>
  <c r="DJ11" i="14" s="1"/>
  <c r="W10" i="14"/>
  <c r="AE10" i="14" s="1"/>
  <c r="B10" i="14"/>
  <c r="DJ10" i="14" s="1"/>
  <c r="W9" i="14"/>
  <c r="AE9" i="14" s="1"/>
  <c r="B9" i="14"/>
  <c r="DJ9" i="14" s="1"/>
  <c r="AF8" i="14"/>
  <c r="AE8" i="14"/>
  <c r="AD8" i="14"/>
  <c r="AC8" i="14"/>
  <c r="AB8" i="14"/>
  <c r="Z8" i="14"/>
  <c r="B8" i="14"/>
  <c r="AF7" i="14"/>
  <c r="AE7" i="14"/>
  <c r="AD7" i="14"/>
  <c r="AC7" i="14"/>
  <c r="AB7" i="14"/>
  <c r="Z7" i="14"/>
  <c r="B7" i="14"/>
  <c r="DJ7" i="14" s="1"/>
  <c r="AF6" i="14"/>
  <c r="AE6" i="14"/>
  <c r="AD6" i="14"/>
  <c r="AC6" i="14"/>
  <c r="AB6" i="14"/>
  <c r="Z6" i="14"/>
  <c r="G8" i="14"/>
  <c r="B6" i="14"/>
  <c r="DJ6" i="14" s="1"/>
  <c r="AF5" i="14"/>
  <c r="AE5" i="14"/>
  <c r="AD5" i="14"/>
  <c r="AC5" i="14"/>
  <c r="AB5" i="14"/>
  <c r="Z5" i="14"/>
  <c r="G5" i="14"/>
  <c r="B5" i="14"/>
  <c r="W4" i="14"/>
  <c r="AC4" i="14" s="1"/>
  <c r="G4" i="14"/>
  <c r="B4" i="14"/>
  <c r="W3" i="14"/>
  <c r="AD3" i="14" s="1"/>
  <c r="G3" i="14"/>
  <c r="B3" i="14"/>
  <c r="BD2" i="14"/>
  <c r="BA2" i="14"/>
  <c r="AZ2" i="14"/>
  <c r="AY2" i="14"/>
  <c r="AW2" i="14"/>
  <c r="W2" i="14"/>
  <c r="AE2" i="14" s="1"/>
  <c r="G2" i="14"/>
  <c r="B2" i="14"/>
  <c r="CS4" i="14" l="1"/>
  <c r="DJ4" i="14"/>
  <c r="AX24" i="14"/>
  <c r="DJ24" i="14"/>
  <c r="L30" i="14"/>
  <c r="DJ30" i="14"/>
  <c r="CS3" i="14"/>
  <c r="DJ3" i="14"/>
  <c r="L31" i="14"/>
  <c r="DJ31" i="14"/>
  <c r="L33" i="14"/>
  <c r="DJ33" i="14"/>
  <c r="L35" i="14"/>
  <c r="DJ35" i="14"/>
  <c r="CS8" i="14"/>
  <c r="DJ8" i="14"/>
  <c r="CS19" i="14"/>
  <c r="DJ19" i="14"/>
  <c r="AX23" i="14"/>
  <c r="DJ23" i="14"/>
  <c r="AX25" i="14"/>
  <c r="DJ25" i="14"/>
  <c r="L28" i="14"/>
  <c r="DJ28" i="14"/>
  <c r="CS5" i="14"/>
  <c r="DJ5" i="14"/>
  <c r="L29" i="14"/>
  <c r="DJ29" i="14"/>
  <c r="L32" i="14"/>
  <c r="DJ32" i="14"/>
  <c r="L34" i="14"/>
  <c r="DJ34" i="14"/>
  <c r="L36" i="14"/>
  <c r="DJ36" i="14"/>
  <c r="N4" i="14"/>
  <c r="L4" i="14"/>
  <c r="P4" i="14"/>
  <c r="K4" i="14"/>
  <c r="O4" i="14"/>
  <c r="M4" i="14"/>
  <c r="Q4" i="14"/>
  <c r="CS9" i="14"/>
  <c r="L9" i="14"/>
  <c r="CS11" i="14"/>
  <c r="L11" i="14"/>
  <c r="CS14" i="14"/>
  <c r="L14" i="14"/>
  <c r="N20" i="14"/>
  <c r="K20" i="14"/>
  <c r="O20" i="14"/>
  <c r="L20" i="14"/>
  <c r="P20" i="14"/>
  <c r="M20" i="14"/>
  <c r="Q20" i="14"/>
  <c r="L22" i="14"/>
  <c r="P22" i="14"/>
  <c r="M22" i="14"/>
  <c r="Q22" i="14"/>
  <c r="N22" i="14"/>
  <c r="O22" i="14"/>
  <c r="K22" i="14"/>
  <c r="N24" i="14"/>
  <c r="K24" i="14"/>
  <c r="O24" i="14"/>
  <c r="L24" i="14"/>
  <c r="P24" i="14"/>
  <c r="Q24" i="14"/>
  <c r="M24" i="14"/>
  <c r="L26" i="14"/>
  <c r="P26" i="14"/>
  <c r="M26" i="14"/>
  <c r="Q26" i="14"/>
  <c r="N26" i="14"/>
  <c r="K26" i="14"/>
  <c r="O26" i="14"/>
  <c r="K5" i="14"/>
  <c r="O5" i="14"/>
  <c r="M5" i="14"/>
  <c r="Q5" i="14"/>
  <c r="L5" i="14"/>
  <c r="P5" i="14"/>
  <c r="N5" i="14"/>
  <c r="N8" i="14"/>
  <c r="L8" i="14"/>
  <c r="P8" i="14"/>
  <c r="K8" i="14"/>
  <c r="O8" i="14"/>
  <c r="M8" i="14"/>
  <c r="Q8" i="14"/>
  <c r="CS18" i="14"/>
  <c r="L18" i="14"/>
  <c r="M3" i="14"/>
  <c r="Q3" i="14"/>
  <c r="K3" i="14"/>
  <c r="O3" i="14"/>
  <c r="N3" i="14"/>
  <c r="L3" i="14"/>
  <c r="P3" i="14"/>
  <c r="CS13" i="14"/>
  <c r="L13" i="14"/>
  <c r="CS17" i="14"/>
  <c r="L17" i="14"/>
  <c r="CS15" i="14"/>
  <c r="L15" i="14"/>
  <c r="CS6" i="14"/>
  <c r="L6" i="14"/>
  <c r="CS7" i="14"/>
  <c r="L7" i="14"/>
  <c r="CS10" i="14"/>
  <c r="L10" i="14"/>
  <c r="CS12" i="14"/>
  <c r="L12" i="14"/>
  <c r="CS16" i="14"/>
  <c r="L16" i="14"/>
  <c r="M19" i="14"/>
  <c r="Q19" i="14"/>
  <c r="N19" i="14"/>
  <c r="K19" i="14"/>
  <c r="O19" i="14"/>
  <c r="L19" i="14"/>
  <c r="P19" i="14"/>
  <c r="K21" i="14"/>
  <c r="O21" i="14"/>
  <c r="L21" i="14"/>
  <c r="P21" i="14"/>
  <c r="M21" i="14"/>
  <c r="Q21" i="14"/>
  <c r="N21" i="14"/>
  <c r="M23" i="14"/>
  <c r="Q23" i="14"/>
  <c r="N23" i="14"/>
  <c r="K23" i="14"/>
  <c r="O23" i="14"/>
  <c r="L23" i="14"/>
  <c r="P23" i="14"/>
  <c r="K25" i="14"/>
  <c r="O25" i="14"/>
  <c r="L25" i="14"/>
  <c r="P25" i="14"/>
  <c r="M25" i="14"/>
  <c r="Q25" i="14"/>
  <c r="N25" i="14"/>
  <c r="M27" i="14"/>
  <c r="Q27" i="14"/>
  <c r="N27" i="14"/>
  <c r="K27" i="14"/>
  <c r="O27" i="14"/>
  <c r="L27" i="14"/>
  <c r="P27" i="14"/>
  <c r="CB3" i="14"/>
  <c r="CB16" i="14"/>
  <c r="CB13" i="14"/>
  <c r="CB17" i="14"/>
  <c r="CB7" i="14"/>
  <c r="CB14" i="14"/>
  <c r="DJ2" i="14"/>
  <c r="CS2" i="14"/>
  <c r="CB2" i="14"/>
  <c r="CB9" i="14"/>
  <c r="CB10" i="14"/>
  <c r="CB11" i="14"/>
  <c r="CB12" i="14"/>
  <c r="CB5" i="14"/>
  <c r="CB6" i="14"/>
  <c r="CB4" i="14"/>
  <c r="CB8" i="14"/>
  <c r="CB15" i="14"/>
  <c r="AX6" i="14"/>
  <c r="BK6" i="14"/>
  <c r="BQ6" i="14"/>
  <c r="AX7" i="14"/>
  <c r="BK7" i="14"/>
  <c r="BQ7" i="14"/>
  <c r="AX2" i="14"/>
  <c r="BK2" i="14"/>
  <c r="BQ2" i="14"/>
  <c r="AX3" i="14"/>
  <c r="BK3" i="14"/>
  <c r="BQ3" i="14"/>
  <c r="AX9" i="14"/>
  <c r="BK9" i="14"/>
  <c r="BQ9" i="14"/>
  <c r="AX10" i="14"/>
  <c r="BK10" i="14"/>
  <c r="BQ10" i="14"/>
  <c r="AX11" i="14"/>
  <c r="BK11" i="14"/>
  <c r="BQ11" i="14"/>
  <c r="AX12" i="14"/>
  <c r="BQ12" i="14"/>
  <c r="BK12" i="14"/>
  <c r="AX16" i="14"/>
  <c r="BQ16" i="14"/>
  <c r="BK16" i="14"/>
  <c r="P2" i="14"/>
  <c r="L2" i="14"/>
  <c r="AX13" i="14"/>
  <c r="BK13" i="14"/>
  <c r="BQ13" i="14"/>
  <c r="AX17" i="14"/>
  <c r="BK17" i="14"/>
  <c r="BQ17" i="14"/>
  <c r="AX19" i="14"/>
  <c r="BK19" i="14"/>
  <c r="BQ19" i="14"/>
  <c r="AX21" i="14"/>
  <c r="BK21" i="14"/>
  <c r="AX5" i="14"/>
  <c r="BK5" i="14"/>
  <c r="BQ5" i="14"/>
  <c r="AX14" i="14"/>
  <c r="BK14" i="14"/>
  <c r="BQ14" i="14"/>
  <c r="AX4" i="14"/>
  <c r="BQ4" i="14"/>
  <c r="BK4" i="14"/>
  <c r="AX8" i="14"/>
  <c r="BQ8" i="14"/>
  <c r="BK8" i="14"/>
  <c r="AX15" i="14"/>
  <c r="BQ15" i="14"/>
  <c r="BK15" i="14"/>
  <c r="AX18" i="14"/>
  <c r="BK18" i="14"/>
  <c r="BQ18" i="14"/>
  <c r="AX20" i="14"/>
  <c r="BQ20" i="14"/>
  <c r="BK20" i="14"/>
  <c r="AX22" i="14"/>
  <c r="BK22" i="14"/>
  <c r="AX26" i="14"/>
  <c r="AX28" i="14"/>
  <c r="AX27" i="14"/>
  <c r="Q2" i="14"/>
  <c r="AA7" i="14"/>
  <c r="AA13" i="14"/>
  <c r="AB3" i="14"/>
  <c r="AF10" i="14"/>
  <c r="AF9" i="14"/>
  <c r="AA15" i="14"/>
  <c r="AF11" i="14"/>
  <c r="AD4" i="14"/>
  <c r="AA8" i="14"/>
  <c r="AE4" i="14"/>
  <c r="Z3" i="14"/>
  <c r="AA14" i="14"/>
  <c r="AE3" i="14"/>
  <c r="AF2" i="14"/>
  <c r="AF3" i="14"/>
  <c r="K2" i="14"/>
  <c r="Z2" i="14"/>
  <c r="AF4" i="14"/>
  <c r="Z9" i="14"/>
  <c r="Z10" i="14"/>
  <c r="Z11" i="14"/>
  <c r="AA12" i="14"/>
  <c r="AA2" i="14"/>
  <c r="AA9" i="14"/>
  <c r="AA10" i="14"/>
  <c r="AA11" i="14"/>
  <c r="M2" i="14"/>
  <c r="AB2" i="14"/>
  <c r="AA3" i="14"/>
  <c r="Z4" i="14"/>
  <c r="AB9" i="14"/>
  <c r="AB10" i="14"/>
  <c r="AB11" i="14"/>
  <c r="N2" i="14"/>
  <c r="AC2" i="14"/>
  <c r="AA4" i="14"/>
  <c r="AA5" i="14"/>
  <c r="AA6" i="14"/>
  <c r="AC9" i="14"/>
  <c r="AC10" i="14"/>
  <c r="AC11" i="14"/>
  <c r="O2" i="14"/>
  <c r="AD2" i="14"/>
  <c r="AC3" i="14"/>
  <c r="AB4" i="14"/>
  <c r="AD9" i="14"/>
  <c r="AD10" i="14"/>
  <c r="AD11" i="14"/>
  <c r="AA16" i="14"/>
</calcChain>
</file>

<file path=xl/sharedStrings.xml><?xml version="1.0" encoding="utf-8"?>
<sst xmlns="http://schemas.openxmlformats.org/spreadsheetml/2006/main" count="1241" uniqueCount="533">
  <si>
    <t>PLV</t>
  </si>
  <si>
    <t>ELV</t>
  </si>
  <si>
    <t>CCY</t>
  </si>
  <si>
    <t>MV</t>
  </si>
  <si>
    <t>Position</t>
  </si>
  <si>
    <t>MS</t>
  </si>
  <si>
    <t>NMS</t>
  </si>
  <si>
    <t>Haircut</t>
  </si>
  <si>
    <t>Currency</t>
  </si>
  <si>
    <t>Step</t>
  </si>
  <si>
    <t>Asset</t>
  </si>
  <si>
    <t>Expo</t>
  </si>
  <si>
    <t>Expo CCY</t>
  </si>
  <si>
    <t>Asset CCY</t>
  </si>
  <si>
    <t>Group</t>
  </si>
  <si>
    <t>Type</t>
  </si>
  <si>
    <t>Pos</t>
  </si>
  <si>
    <t>Position Description</t>
  </si>
  <si>
    <t>Asset Class</t>
  </si>
  <si>
    <t>Margin Stock Indicator</t>
  </si>
  <si>
    <t>Quantity</t>
  </si>
  <si>
    <t>Quantity with LV</t>
  </si>
  <si>
    <t>Market Value</t>
  </si>
  <si>
    <t>Market Value with LV</t>
  </si>
  <si>
    <t>Purpose LV %</t>
  </si>
  <si>
    <t>Purpose LV</t>
  </si>
  <si>
    <t>Applied Purpose LV %</t>
  </si>
  <si>
    <t>Applied Purpose LV</t>
  </si>
  <si>
    <t>Effective LV %</t>
  </si>
  <si>
    <t>Effective LV</t>
  </si>
  <si>
    <t>Applied Effective LV %</t>
  </si>
  <si>
    <t>Applied Effective LV</t>
  </si>
  <si>
    <t>Exposure Coverage</t>
  </si>
  <si>
    <t>Consumption Order</t>
  </si>
  <si>
    <t>PLV/ELV % Ratio</t>
  </si>
  <si>
    <t>Purpose Borrowing Availability</t>
  </si>
  <si>
    <t>Non-Purpose Borrowing Availability</t>
  </si>
  <si>
    <t>Currency Haircut</t>
  </si>
  <si>
    <t>Currency Haircut Override</t>
  </si>
  <si>
    <t>Currency Haircut Override Expiry Date</t>
  </si>
  <si>
    <t>Haircut On / Off</t>
  </si>
  <si>
    <t>Applied Haircut</t>
  </si>
  <si>
    <t>Haircut Application Rule</t>
  </si>
  <si>
    <t>Pre-Haircut LV</t>
  </si>
  <si>
    <t>Consumption Flag</t>
  </si>
  <si>
    <t>String</t>
  </si>
  <si>
    <t>Double</t>
  </si>
  <si>
    <t>Long</t>
  </si>
  <si>
    <t>AssetList</t>
  </si>
  <si>
    <t>Status</t>
  </si>
  <si>
    <t>Remaining Amount</t>
  </si>
  <si>
    <t>Exposure Amount</t>
  </si>
  <si>
    <t>VarName</t>
  </si>
  <si>
    <t>posDesc</t>
  </si>
  <si>
    <t>asstClass</t>
  </si>
  <si>
    <t>qty</t>
  </si>
  <si>
    <t>qtyWithLV</t>
  </si>
  <si>
    <t>MVwithLV</t>
  </si>
  <si>
    <t>PLVpct</t>
  </si>
  <si>
    <t>APLVpct</t>
  </si>
  <si>
    <t>APLV</t>
  </si>
  <si>
    <t>AELV</t>
  </si>
  <si>
    <t>ELVpct</t>
  </si>
  <si>
    <t>AELVpct</t>
  </si>
  <si>
    <t>expoCov</t>
  </si>
  <si>
    <t>consOrder</t>
  </si>
  <si>
    <t>LVratio</t>
  </si>
  <si>
    <t>PBA</t>
  </si>
  <si>
    <t>NPBA</t>
  </si>
  <si>
    <t>hcCCY</t>
  </si>
  <si>
    <t>hcOverride</t>
  </si>
  <si>
    <t>hcExpiry</t>
  </si>
  <si>
    <t>hcFlag</t>
  </si>
  <si>
    <t>hcApplied</t>
  </si>
  <si>
    <t>hcRule</t>
  </si>
  <si>
    <t>hcPreLV</t>
  </si>
  <si>
    <t>consFlag</t>
  </si>
  <si>
    <t>expoGroup</t>
  </si>
  <si>
    <t>expoType</t>
  </si>
  <si>
    <t>asstType</t>
  </si>
  <si>
    <t>asstList</t>
  </si>
  <si>
    <t>status</t>
  </si>
  <si>
    <t>expoAmt</t>
  </si>
  <si>
    <t>remAmt</t>
  </si>
  <si>
    <t>ExpoGroup</t>
  </si>
  <si>
    <t>ECI</t>
  </si>
  <si>
    <t>ARR</t>
  </si>
  <si>
    <t>POS</t>
  </si>
  <si>
    <t>Exposure CCY</t>
  </si>
  <si>
    <t>Assets CCY</t>
  </si>
  <si>
    <t xml:space="preserve">Arrangement Schedule Override </t>
  </si>
  <si>
    <t>CCY Haircut Override - Position Level</t>
  </si>
  <si>
    <t>CCY Haircut Override - Arrangement Level</t>
  </si>
  <si>
    <t>Haircut OFF - Position Level</t>
  </si>
  <si>
    <t>Haircut OFF - Facility</t>
  </si>
  <si>
    <t>Haircut OFF CCY - Arrangement Level</t>
  </si>
  <si>
    <t>Haircut OFF -  Arrangement Level</t>
  </si>
  <si>
    <t>Unlinked Outstanding</t>
  </si>
  <si>
    <t>Additional Exposure</t>
  </si>
  <si>
    <t>Haircut OFF - Additional Exposure</t>
  </si>
  <si>
    <t>Unauthorized Overdrafts</t>
  </si>
  <si>
    <t>Covered</t>
  </si>
  <si>
    <t>Shortfall</t>
  </si>
  <si>
    <t>Valid?</t>
  </si>
  <si>
    <t>FAC</t>
  </si>
  <si>
    <t>Boolean</t>
  </si>
  <si>
    <t>Date</t>
  </si>
  <si>
    <t>N</t>
  </si>
  <si>
    <t>P</t>
  </si>
  <si>
    <t>S</t>
  </si>
  <si>
    <t>Partial</t>
  </si>
  <si>
    <t>ARRANGEMENT_ID</t>
  </si>
  <si>
    <t>CLNT_ECI_ID</t>
  </si>
  <si>
    <t>CLNT_RPT_ACC_NBR</t>
  </si>
  <si>
    <t>BUS_SYS_CODE</t>
  </si>
  <si>
    <t>INST_UNIQUI_ID</t>
  </si>
  <si>
    <t>ACC</t>
  </si>
  <si>
    <t>BSC</t>
  </si>
  <si>
    <t>INST</t>
  </si>
  <si>
    <t>id</t>
  </si>
  <si>
    <t>ARR Haircut Override</t>
  </si>
  <si>
    <t>ARR Haircut Override Expiry Date</t>
  </si>
  <si>
    <t>ARR Haircut On / Off</t>
  </si>
  <si>
    <t>CCY Haircut Override</t>
  </si>
  <si>
    <t>CCY Haircut Override Expiry Date</t>
  </si>
  <si>
    <t>CCY Haircut On / Off</t>
  </si>
  <si>
    <t>POS Haircut Override</t>
  </si>
  <si>
    <t>POS Haircut Override Expiry Date</t>
  </si>
  <si>
    <t>POS Haircut On / Off</t>
  </si>
  <si>
    <t>Final Haircut Value</t>
  </si>
  <si>
    <t>hcValue</t>
  </si>
  <si>
    <t>Split</t>
  </si>
  <si>
    <t>not sure how this is entered</t>
  </si>
  <si>
    <t>Unit Price</t>
  </si>
  <si>
    <t>unitPrice</t>
  </si>
  <si>
    <t>"-1"</t>
  </si>
  <si>
    <t>Prefixes</t>
  </si>
  <si>
    <t>asstSheetName = "assets"</t>
  </si>
  <si>
    <t>expoSheetName = "expos"</t>
  </si>
  <si>
    <t>store</t>
  </si>
  <si>
    <t>FAC Haircut Override</t>
  </si>
  <si>
    <t>FAC Haircut Override Expiry Date</t>
  </si>
  <si>
    <t>FAC Haircut On / Off</t>
  </si>
  <si>
    <t>Exposure List</t>
  </si>
  <si>
    <t>expoList</t>
  </si>
  <si>
    <t>Expo Type</t>
  </si>
  <si>
    <t>Asst Type</t>
  </si>
  <si>
    <t>Asst Tag</t>
  </si>
  <si>
    <t>Expo Tag</t>
  </si>
  <si>
    <t>cons flag</t>
  </si>
  <si>
    <t>expo status</t>
  </si>
  <si>
    <t>Unprocessed</t>
  </si>
  <si>
    <t>U</t>
  </si>
  <si>
    <t>I</t>
  </si>
  <si>
    <t>In-Process</t>
  </si>
  <si>
    <t>C</t>
  </si>
  <si>
    <t>Consumed</t>
  </si>
  <si>
    <t>Steps</t>
  </si>
  <si>
    <t>Over</t>
  </si>
  <si>
    <t>O</t>
  </si>
  <si>
    <t>idExpo</t>
  </si>
  <si>
    <t>idAsst</t>
  </si>
  <si>
    <t>step</t>
  </si>
  <si>
    <t>expoCCY</t>
  </si>
  <si>
    <t>asstCCY</t>
  </si>
  <si>
    <t>initLV</t>
  </si>
  <si>
    <t>finLV</t>
  </si>
  <si>
    <t>hcLV</t>
  </si>
  <si>
    <t>remExpo</t>
  </si>
  <si>
    <t>remLV</t>
  </si>
  <si>
    <t>expoTag</t>
  </si>
  <si>
    <t>asstTag</t>
  </si>
  <si>
    <t>comment</t>
  </si>
  <si>
    <t>StepGroups</t>
  </si>
  <si>
    <t>EXP</t>
  </si>
  <si>
    <t>stepSheetName = "steps"</t>
  </si>
  <si>
    <t>EXP_ID</t>
  </si>
  <si>
    <t>p</t>
  </si>
  <si>
    <t>PE</t>
  </si>
  <si>
    <t>NPE</t>
  </si>
  <si>
    <t>NotConsumed</t>
  </si>
  <si>
    <t>NotStarted</t>
  </si>
  <si>
    <t>expNbr</t>
  </si>
  <si>
    <t>instNbr</t>
  </si>
  <si>
    <t>NPERC</t>
  </si>
  <si>
    <t>PERC</t>
  </si>
  <si>
    <t>RC</t>
  </si>
  <si>
    <t>AVBL</t>
  </si>
  <si>
    <t>msPBA</t>
  </si>
  <si>
    <t>nmsPBA</t>
  </si>
  <si>
    <t>msNPBA</t>
  </si>
  <si>
    <t>nmsNPBA</t>
  </si>
  <si>
    <t>reason</t>
  </si>
  <si>
    <t>remainingCounts</t>
  </si>
  <si>
    <t>remCnt</t>
  </si>
  <si>
    <t>Desc</t>
  </si>
  <si>
    <t>Exposure Number</t>
  </si>
  <si>
    <t>Instrument Number</t>
  </si>
  <si>
    <t>Applied Haircut Value</t>
  </si>
  <si>
    <t>Remaining Exposure Amount</t>
  </si>
  <si>
    <t>Reason</t>
  </si>
  <si>
    <t>MV * ELV% or PLV%(depending on PE or NPE)</t>
  </si>
  <si>
    <t>Highest HC_pct between asset and exposure.</t>
  </si>
  <si>
    <t>InitLV * (1-HC Applied)</t>
  </si>
  <si>
    <t>LV w HC + Expo Amt (if Negative)</t>
  </si>
  <si>
    <t>LV w HC + Expo Amt (if Postive)</t>
  </si>
  <si>
    <t>Rem LV / (1 - Applied hc%)</t>
  </si>
  <si>
    <t>Purpose Exposure yet to be recovered.(REM EXPO)</t>
  </si>
  <si>
    <t>NON - Purpose Exposure yet to be recovered.(REM EXPO)</t>
  </si>
  <si>
    <t>Final MS MV * PLV%</t>
  </si>
  <si>
    <t>Final NMS MV * PLV%</t>
  </si>
  <si>
    <t>Final MS MV * ELV%</t>
  </si>
  <si>
    <t>Final NMS MV * ELV%</t>
  </si>
  <si>
    <t>Unique ID that represents the Account of Client</t>
  </si>
  <si>
    <t>Inclu</t>
  </si>
  <si>
    <t>Indicates wtr security is Margin Security</t>
  </si>
  <si>
    <t>Says the Currency as Asset in</t>
  </si>
  <si>
    <t>Number of Assests available</t>
  </si>
  <si>
    <t>Market Value =Unit Price * Quantity</t>
  </si>
  <si>
    <t>The % of aggregate lending value of all pledged assets included in the monitoring arrangement, either directly pledged or cross-pledged from another client.</t>
  </si>
  <si>
    <t>The aggregate lending value of all pledged assets included in the monitoring arrangement, either directly pledged or cross-pledged from another client.</t>
  </si>
  <si>
    <t>The aggregate lending value % of all assets pledged as collateral based upon the application of Effective Lending Value, and is inclusive of non-marketable assets (e.g. Artwork, Real Estate), assets held at a third party and assets held in internal client accounts.  This aggregation does not include the value of assets that has been cross-pledged to the arrangement by another client.</t>
  </si>
  <si>
    <t>The aggregate lending value of all assets pledged as collateral based upon the application of Effective Lending Value, and is inclusive of non-marketable assets (e.g. Artwork, Real Estate), assets held at a third party and assets held in internal client accounts.  This aggregation does not include the value of assets that has been cross-pledged to the arrangement by another client.</t>
  </si>
  <si>
    <t>Purpose Lending Value / Effective Lending Value</t>
  </si>
  <si>
    <t>Lending value includes all calculations except the currency haircut</t>
  </si>
  <si>
    <t xml:space="preserve">Indicates the type of liability the consumed asset was applied to cover within the monitoring arrangement:
 purpose liability (P), non purpose liability (N) or split to cover purpose and non purpose liabilities (S) 
</t>
  </si>
  <si>
    <t>Order in which the exposure is covered using Asset.</t>
  </si>
  <si>
    <t>The value available to cover purpose exposure,The excess collateral available in the monitoring arrangement to support purpose borrowings.  This value is calculated by summing the Purpose Lending Value of all unencumbered pledged assets.  If no unencumbered assets exist, it is the difference between the Total Purpose Lending Value and Total Secured Exposure.</t>
  </si>
  <si>
    <t>The value available to cover Non purpose exposure,The excess collateral available in the monitoring arrangement to support non-purpose borrowings or secured trading activity.  This value is calculated by summing the Effective Lending Value of all unencumbered pledged assets.  This value will never be less than zero</t>
  </si>
  <si>
    <t xml:space="preserve">Indicates wtr Assest is consumed </t>
  </si>
  <si>
    <t>Indicates In which TestScenario particular ID falls</t>
  </si>
  <si>
    <t xml:space="preserve">LV % applied on the assets consumed to cover purpose exposure (margin), including the exposure covered via cross pledge. </t>
  </si>
  <si>
    <t xml:space="preserve">LV applied on the assets consumed to cover purpose exposure (margin), including the exposure covered via cross pledge. </t>
  </si>
  <si>
    <t xml:space="preserve">LV % applied on the assets consumed to cover purpose exposure (non-margin), including the exposure covered via cross pledge. </t>
  </si>
  <si>
    <t xml:space="preserve">LV applied on the assets consumed to cover purpose exposure (non-margin), including the exposure covered via cross pledge. </t>
  </si>
  <si>
    <t>Final Haircut value applied</t>
  </si>
  <si>
    <t>Lending Value after Haircut</t>
  </si>
  <si>
    <t>Initial Lending Value (without Haircut)</t>
  </si>
  <si>
    <t>Remaining Lending Value</t>
  </si>
  <si>
    <t>Final Lending Value (after Haircut is removed)</t>
  </si>
  <si>
    <t>Total Purpose Exposure remaining</t>
  </si>
  <si>
    <t>Purpose Borrowing Availability (for Margin Stocks)</t>
  </si>
  <si>
    <t>Non Purpose Borrowing Availability (for Margin Stocks)</t>
  </si>
  <si>
    <t>Purpose Borrowing Availability (for Non Margin Stocks)</t>
  </si>
  <si>
    <t>Total Non Purpose Exposure remaining</t>
  </si>
  <si>
    <t>Non Purpose Borrowing Availability (for Non Margin Stocks)</t>
  </si>
  <si>
    <t>SCEN_ID</t>
  </si>
  <si>
    <t>HAS_PE</t>
  </si>
  <si>
    <t>HAS_NPE</t>
  </si>
  <si>
    <t>HAS_MS</t>
  </si>
  <si>
    <t>HAS_NMS</t>
  </si>
  <si>
    <t>ASST_COUNT</t>
  </si>
  <si>
    <t>EXPO_COUNT</t>
  </si>
  <si>
    <t>ASST_CCYS</t>
  </si>
  <si>
    <t>EXPO_CCYS</t>
  </si>
  <si>
    <t>PE_STATUS</t>
  </si>
  <si>
    <t>NPE_STATUS</t>
  </si>
  <si>
    <t>ARR_STAT</t>
  </si>
  <si>
    <t>Q_CODE</t>
  </si>
  <si>
    <t>PBAV</t>
  </si>
  <si>
    <t>NPBAV</t>
  </si>
  <si>
    <t>DEPTH</t>
  </si>
  <si>
    <t>STEPS</t>
  </si>
  <si>
    <t>ARR_ID</t>
  </si>
  <si>
    <t>EXP_ID_FAC_OR_ACC</t>
  </si>
  <si>
    <t>EXPO_TYPE</t>
  </si>
  <si>
    <t>CCY_HC_DEF_SCHED</t>
  </si>
  <si>
    <t>EXPAMT</t>
  </si>
  <si>
    <t>HCOVERRIDEFAC</t>
  </si>
  <si>
    <t>HCEXPIRYFAC</t>
  </si>
  <si>
    <t>HCFLAGFAC</t>
  </si>
  <si>
    <t>CCYGroup</t>
  </si>
  <si>
    <t>final</t>
  </si>
  <si>
    <t>exposures</t>
  </si>
  <si>
    <t>IBSC</t>
  </si>
  <si>
    <t>INST_ID</t>
  </si>
  <si>
    <t>POS_DESC</t>
  </si>
  <si>
    <t>ASSET_CLASS</t>
  </si>
  <si>
    <t>ASSTTYPE</t>
  </si>
  <si>
    <t>UNIT_PRICE</t>
  </si>
  <si>
    <t>QUANTITY</t>
  </si>
  <si>
    <t>QY_W_LV</t>
  </si>
  <si>
    <t>MV_W_LV</t>
  </si>
  <si>
    <t>HCOVERRIDEARR</t>
  </si>
  <si>
    <t>HCEXPIRYARR</t>
  </si>
  <si>
    <t>HCFLAGARR</t>
  </si>
  <si>
    <t>HCOVERRIDECCY</t>
  </si>
  <si>
    <t>HCEXPIRYCCY</t>
  </si>
  <si>
    <t>HCFLAGCCY</t>
  </si>
  <si>
    <t>HCOVERRIDEPOS</t>
  </si>
  <si>
    <t>HCEXPIRYPOS</t>
  </si>
  <si>
    <t>HCFLAGPOS</t>
  </si>
  <si>
    <t>PLVPCT</t>
  </si>
  <si>
    <t>ELVPCT</t>
  </si>
  <si>
    <t>LVRATIO</t>
  </si>
  <si>
    <t>PLV_REMAIN</t>
  </si>
  <si>
    <t>ELV_REMAIN</t>
  </si>
  <si>
    <t>assets</t>
  </si>
  <si>
    <t>STEP</t>
  </si>
  <si>
    <t>ASSTINFO</t>
  </si>
  <si>
    <t>EXPNBR</t>
  </si>
  <si>
    <t>INSTNBR</t>
  </si>
  <si>
    <t>EXPOCCY</t>
  </si>
  <si>
    <t>ASSTCCY</t>
  </si>
  <si>
    <t>EXPOTYPE</t>
  </si>
  <si>
    <t>EXPOAMT</t>
  </si>
  <si>
    <t>HCAPPLIED</t>
  </si>
  <si>
    <t>HCLV</t>
  </si>
  <si>
    <t>REMEXPO</t>
  </si>
  <si>
    <t>REMPLV</t>
  </si>
  <si>
    <t>REMELV</t>
  </si>
  <si>
    <t>EXPOTAG</t>
  </si>
  <si>
    <t>ASSTTAG</t>
  </si>
  <si>
    <t>steps_engine</t>
  </si>
  <si>
    <t>Engine</t>
  </si>
  <si>
    <t>Macro</t>
  </si>
  <si>
    <t>Difference</t>
  </si>
  <si>
    <t>Result</t>
  </si>
  <si>
    <t>Non Purpose Borrowing Availability</t>
  </si>
  <si>
    <t>Engine Step</t>
  </si>
  <si>
    <t>Engine Assets</t>
  </si>
  <si>
    <t>Engine Exposures</t>
  </si>
  <si>
    <t>Macro  Step</t>
  </si>
  <si>
    <t>Macro  Assets</t>
  </si>
  <si>
    <t>Macro  Exposures</t>
  </si>
  <si>
    <t xml:space="preserve">Comments </t>
  </si>
  <si>
    <t>eng</t>
  </si>
  <si>
    <t>mac</t>
  </si>
  <si>
    <t>diff</t>
  </si>
  <si>
    <t>res</t>
  </si>
  <si>
    <t>engStep</t>
  </si>
  <si>
    <t>engAsst</t>
  </si>
  <si>
    <t>macStep</t>
  </si>
  <si>
    <t>macAsst</t>
  </si>
  <si>
    <t>macExpo</t>
  </si>
  <si>
    <t>comm</t>
  </si>
  <si>
    <t>engExpo</t>
  </si>
  <si>
    <t>Pledges sheet</t>
  </si>
  <si>
    <t>Arrangement sheet</t>
  </si>
  <si>
    <t>Pldg cols</t>
  </si>
  <si>
    <t>lvlArr</t>
  </si>
  <si>
    <t>lvlAcc</t>
  </si>
  <si>
    <t>lvlPos</t>
  </si>
  <si>
    <t>pldgType</t>
  </si>
  <si>
    <t>fromArr</t>
  </si>
  <si>
    <t>destArr</t>
  </si>
  <si>
    <t>maxPct</t>
  </si>
  <si>
    <t>maxShr</t>
  </si>
  <si>
    <t>maxAmt</t>
  </si>
  <si>
    <t>pldgExp</t>
  </si>
  <si>
    <t>pldgSeq</t>
  </si>
  <si>
    <t>pldgStatus</t>
  </si>
  <si>
    <t>SLR</t>
  </si>
  <si>
    <t>FROM ARR</t>
  </si>
  <si>
    <t>TO ARR</t>
  </si>
  <si>
    <t>PLDG TYPE</t>
  </si>
  <si>
    <t>ARR LVL FLAG</t>
  </si>
  <si>
    <t>ACC LVL FLAG</t>
  </si>
  <si>
    <t>POS LVL FLAG</t>
  </si>
  <si>
    <t>MAX PERCENTAGE</t>
  </si>
  <si>
    <t>MAX SHARES</t>
  </si>
  <si>
    <t>MAX AMOUNT</t>
  </si>
  <si>
    <t>PLDG EXPIRY DATE</t>
  </si>
  <si>
    <t>PLDG SEQUENCE ID</t>
  </si>
  <si>
    <t>PLDG STATUS</t>
  </si>
  <si>
    <t>CLNT RPT ACC NBR</t>
  </si>
  <si>
    <t>BUS SYS CODE</t>
  </si>
  <si>
    <t>ACCT SUBLDGR TYPE CODE</t>
  </si>
  <si>
    <t>INST BUS SYS CODE</t>
  </si>
  <si>
    <t>INST UNIQUI ID</t>
  </si>
  <si>
    <t>PLDG CCY ISO CODE</t>
  </si>
  <si>
    <t>PLDGD_PBAV</t>
  </si>
  <si>
    <t>PLDGD_NPBAV</t>
  </si>
  <si>
    <t>IN_PLEDGES</t>
  </si>
  <si>
    <t>OUT_PLEDGES</t>
  </si>
  <si>
    <t>p_fac</t>
  </si>
  <si>
    <t>p_ae</t>
  </si>
  <si>
    <t>p_od</t>
  </si>
  <si>
    <t>np_fac</t>
  </si>
  <si>
    <t>np_ae</t>
  </si>
  <si>
    <t>np_od</t>
  </si>
  <si>
    <t>m_s</t>
  </si>
  <si>
    <t>m_mc</t>
  </si>
  <si>
    <t>m_mt</t>
  </si>
  <si>
    <t>nm_s</t>
  </si>
  <si>
    <t>nm_mc</t>
  </si>
  <si>
    <t>nm_mt</t>
  </si>
  <si>
    <t>depth</t>
  </si>
  <si>
    <t>hasPE</t>
  </si>
  <si>
    <t>hasNPE</t>
  </si>
  <si>
    <t>hasMS</t>
  </si>
  <si>
    <t>hasNMS</t>
  </si>
  <si>
    <t>steps</t>
  </si>
  <si>
    <t>pldgIns</t>
  </si>
  <si>
    <t>pldgOuts</t>
  </si>
  <si>
    <t>availP</t>
  </si>
  <si>
    <t>availPldgP</t>
  </si>
  <si>
    <t>availPldgNP</t>
  </si>
  <si>
    <t>availNP</t>
  </si>
  <si>
    <t>statusP</t>
  </si>
  <si>
    <t>statusNP</t>
  </si>
  <si>
    <t>statusArr</t>
  </si>
  <si>
    <t>codeQ</t>
  </si>
  <si>
    <t>idScen</t>
  </si>
  <si>
    <t>region</t>
  </si>
  <si>
    <t>Margin_Misc Collateral</t>
  </si>
  <si>
    <t>Margin_Misc Tradable</t>
  </si>
  <si>
    <t>Margin_Securities</t>
  </si>
  <si>
    <t>NonMargin_Securities</t>
  </si>
  <si>
    <t>NonMargin_Misc Collateral</t>
  </si>
  <si>
    <t>NonMargin_Misc Tradable</t>
  </si>
  <si>
    <t>Arrangement ID</t>
  </si>
  <si>
    <t>Region</t>
  </si>
  <si>
    <t>Scenario ID</t>
  </si>
  <si>
    <t>SCC Group ID</t>
  </si>
  <si>
    <t>idSCC</t>
  </si>
  <si>
    <t>kod</t>
  </si>
  <si>
    <t>Purp_Facility</t>
  </si>
  <si>
    <t>NonPurPurp_Facility</t>
  </si>
  <si>
    <t>Purp_AddnlExpo</t>
  </si>
  <si>
    <t>NonPurPurp_AddnlExpo</t>
  </si>
  <si>
    <t>Purp_OverDraft</t>
  </si>
  <si>
    <t>NonPurPurp_OverDraft</t>
  </si>
  <si>
    <t>PB Availab</t>
  </si>
  <si>
    <t>NPB Availab</t>
  </si>
  <si>
    <t>PE_Status</t>
  </si>
  <si>
    <t>NPE_Status</t>
  </si>
  <si>
    <t>Integer</t>
  </si>
  <si>
    <t>CCY_HC</t>
  </si>
  <si>
    <t>HCVALUE</t>
  </si>
  <si>
    <t>HCRULE</t>
  </si>
  <si>
    <t>HCPRELV</t>
  </si>
  <si>
    <t>APLVPCT</t>
  </si>
  <si>
    <t>AELVPCT</t>
  </si>
  <si>
    <t>EXPOCOV</t>
  </si>
  <si>
    <t>CONSORDER</t>
  </si>
  <si>
    <t>CONSFLAG</t>
  </si>
  <si>
    <t>SNG</t>
  </si>
  <si>
    <t>JIB</t>
  </si>
  <si>
    <t>JPM FIXED INCOME FUNDS, JPM GLOBAL BOND OPPS FD USD ACC C</t>
  </si>
  <si>
    <t>Mutual Fund, Fixed Income, SICAV</t>
  </si>
  <si>
    <t>USD</t>
  </si>
  <si>
    <t>PERPETUAL BONDS, AGILE GROUP HOLDINGS FRN PERP</t>
  </si>
  <si>
    <t>Fixed Income, Corporate Bonds, Corporate</t>
  </si>
  <si>
    <t>PERPETUAL BONDS, ADIB CAPITAL INVEST 1 LT PERP FRN</t>
  </si>
  <si>
    <t>, USD</t>
  </si>
  <si>
    <t>Cash, Cash, Unclassified</t>
  </si>
  <si>
    <t>FLOATING RATE NOTES, CITIGROUP INC FRN</t>
  </si>
  <si>
    <t>FLOATING RATE NOTES, EMIRATES NBD PJSC FRN EMTN</t>
  </si>
  <si>
    <t>EQUITY STRUCTURED PRODUCTS, BNP EQ FCN LVS US 10.26% 110717</t>
  </si>
  <si>
    <t>, ,</t>
  </si>
  <si>
    <t>BONDS, DIAMOND 1 FIN/DI REGS</t>
  </si>
  <si>
    <t>SHARES, JPMORGAN CHASE &amp; CO</t>
  </si>
  <si>
    <t>Equities, Common Stocks, Unclassified</t>
  </si>
  <si>
    <t>BONDS, LAI SUN INTL FINANCE 2012 REG-S</t>
  </si>
  <si>
    <t>SHARES, FREEPORT MCMORAN</t>
  </si>
  <si>
    <t>SHARES, WELLS FARGO</t>
  </si>
  <si>
    <t>SHARES, APPLE</t>
  </si>
  <si>
    <t>SHARES, GLORIOUS PROPERTY H</t>
  </si>
  <si>
    <t>HKD</t>
  </si>
  <si>
    <t>FLOATING RATE NOTES, PETROBRAS GLOBAL FINANCE -FRN</t>
  </si>
  <si>
    <t>JPM EQUITIES FUNDS, JPM EU EQ PLUS EUR FD PERF ACC -A-</t>
  </si>
  <si>
    <t>Mutual Fund, Equity, SICAV</t>
  </si>
  <si>
    <t>EUR</t>
  </si>
  <si>
    <t>SHARES, HSBC HLDGS</t>
  </si>
  <si>
    <t>PERPETUAL BONDS, SWISS REINSURANCE PERP FRN EMTN</t>
  </si>
  <si>
    <t>BONDS, DIAMOND 1 FIN/DIAMOND 2 REG-S</t>
  </si>
  <si>
    <t>PERPETUAL BONDS, ELECTRICITE DE PERP FRN</t>
  </si>
  <si>
    <t>GBP</t>
  </si>
  <si>
    <t>, GBP</t>
  </si>
  <si>
    <t>JPM EQUITIES FUNDS, JPM US TECHNOLOGY FD USD ACC -C-</t>
  </si>
  <si>
    <t>FLOATING RATE NOTES, ABN AMRO BANK FRN REG-S</t>
  </si>
  <si>
    <t>SGD</t>
  </si>
  <si>
    <t>PERPETUAL BONDS, MAPLE LOGISTICS TRUST PERP FRN</t>
  </si>
  <si>
    <t>FLOATING RATE NOTES, QNB FINANCE LTD FRN EMTN</t>
  </si>
  <si>
    <t>FLOATING RATE NOTES, CRED SUIS GP FUN FRN</t>
  </si>
  <si>
    <t>EXCHANGE TRADED FUNDS ON EQUITY, ISHARES MDAX UCITS DE ETF</t>
  </si>
  <si>
    <t>Mutual Fund, Equity, ETF</t>
  </si>
  <si>
    <t>, HKD</t>
  </si>
  <si>
    <t>BONDS, COUNTRY GARDEN HLDG REG-S</t>
  </si>
  <si>
    <t>HC</t>
  </si>
  <si>
    <t>CCYGROUP</t>
  </si>
  <si>
    <t>8786360_840</t>
  </si>
  <si>
    <t>8786360_392</t>
  </si>
  <si>
    <t>JPY</t>
  </si>
  <si>
    <t>198363351_1410042712</t>
  </si>
  <si>
    <t>198895461_1410043625</t>
  </si>
  <si>
    <t>198363351_011000978</t>
  </si>
  <si>
    <t>198363351_1410043615</t>
  </si>
  <si>
    <t>198363351_1410042709</t>
  </si>
  <si>
    <t>198363351_1410042717</t>
  </si>
  <si>
    <t>201188948_1410044021</t>
  </si>
  <si>
    <t>198363351_011000392</t>
  </si>
  <si>
    <t>198363351_1410043614</t>
  </si>
  <si>
    <t>8786360_702</t>
  </si>
  <si>
    <t>198363351_011000702</t>
  </si>
  <si>
    <t>198363351_1410043329</t>
  </si>
  <si>
    <t>FROM_ARR</t>
  </si>
  <si>
    <t>TO_ARR</t>
  </si>
  <si>
    <t>PLDG_TYPE</t>
  </si>
  <si>
    <t>ARR_LVL_FLAG</t>
  </si>
  <si>
    <t>ACC_LVL_FLAG</t>
  </si>
  <si>
    <t>POS_LVL_FLAG</t>
  </si>
  <si>
    <t>MAX_PERCENTAGE</t>
  </si>
  <si>
    <t>MAX_SHARES</t>
  </si>
  <si>
    <t>MAX_AMOUNT</t>
  </si>
  <si>
    <t>PLDG_EXPIRY_DATE</t>
  </si>
  <si>
    <t>PLDG_SEQUENCE_ID</t>
  </si>
  <si>
    <t>PLDG_STATUS</t>
  </si>
  <si>
    <t>ACCT_SUBLDGR_TYPE_CODE</t>
  </si>
  <si>
    <t>INST_BUS_SYS_CODE</t>
  </si>
  <si>
    <t>IS_FULL_POSITION</t>
  </si>
  <si>
    <t>PLDG_CCY_ISO_CODE</t>
  </si>
  <si>
    <t>UP</t>
  </si>
  <si>
    <t>Y</t>
  </si>
  <si>
    <t>UNPROCESSED</t>
  </si>
  <si>
    <t>NP</t>
  </si>
  <si>
    <t/>
  </si>
  <si>
    <t>REGION</t>
  </si>
  <si>
    <t>P_FAC</t>
  </si>
  <si>
    <t>P_AE</t>
  </si>
  <si>
    <t>P_OD</t>
  </si>
  <si>
    <t>NP_FAC</t>
  </si>
  <si>
    <t>NP_AE</t>
  </si>
  <si>
    <t>NP_OD</t>
  </si>
  <si>
    <t>M_S</t>
  </si>
  <si>
    <t>M_MC</t>
  </si>
  <si>
    <t>M_MT</t>
  </si>
  <si>
    <t>NM_S</t>
  </si>
  <si>
    <t>NM_MC</t>
  </si>
  <si>
    <t>NM_MT</t>
  </si>
  <si>
    <t>NoData</t>
  </si>
  <si>
    <t>NOT_STARTED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</si>
</sst>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x14ac:knownFonts="1">
    <font>
      <sz val="10"/>
      <color theme="1"/>
      <name val="Arial"/>
      <family val="2"/>
    </font>
    <font>
      <sz val="10"/>
      <color theme="1"/>
      <name val="Arial"/>
      <family val="2"/>
    </font>
    <font>
      <sz val="10"/>
      <name val="Arial"/>
      <family val="2"/>
    </font>
    <font>
      <sz val="10"/>
      <color rgb="FF006100"/>
      <name val="Arial"/>
      <family val="2"/>
    </font>
    <font>
      <sz val="10"/>
      <color rgb="FF9C6500"/>
      <name val="Arial"/>
      <family val="2"/>
    </font>
    <font>
      <sz val="10"/>
      <color rgb="FF3F3F76"/>
      <name val="Arial"/>
      <family val="2"/>
    </font>
    <font>
      <b/>
      <sz val="10"/>
      <color theme="0"/>
      <name val="Arial"/>
      <family val="2"/>
    </font>
    <font>
      <sz val="10"/>
      <color rgb="FF9C0006"/>
      <name val="Arial"/>
      <family val="2"/>
    </font>
    <font>
      <sz val="11"/>
      <name val="Arial"/>
      <family val="1"/>
    </font>
    <font>
      <sz val="10"/>
      <color rgb="FF000000"/>
      <name val="Arial"/>
      <family val="2"/>
    </font>
    <font>
      <b/>
      <sz val="10"/>
      <name val="Arial"/>
      <family val="1"/>
    </font>
    <font>
      <sz val="10"/>
      <name val="Calibri"/>
      <family val="1"/>
    </font>
  </fonts>
  <fills count="9">
    <fill>
      <patternFill patternType="none"/>
    </fill>
    <fill>
      <patternFill patternType="gray125"/>
    </fill>
    <fill>
      <patternFill patternType="solid">
        <fgColor rgb="FFFFFFCC"/>
      </patternFill>
    </fill>
    <fill>
      <patternFill patternType="solid">
        <fgColor rgb="FFC6EFCE"/>
      </patternFill>
    </fill>
    <fill>
      <patternFill patternType="solid">
        <fgColor rgb="FFFFEB9C"/>
      </patternFill>
    </fill>
    <fill>
      <patternFill patternType="solid">
        <fgColor rgb="FFFFCC99"/>
      </patternFill>
    </fill>
    <fill>
      <patternFill patternType="solid">
        <fgColor rgb="FFA5A5A5"/>
      </patternFill>
    </fill>
    <fill>
      <patternFill patternType="solid">
        <fgColor rgb="FFFFC7CE"/>
      </patternFill>
    </fill>
    <fill>
      <patternFill patternType="solid">
        <fgColor theme="3"/>
        <bgColor indexed="64"/>
      </patternFill>
    </fill>
  </fills>
  <borders count="4">
    <border>
      <left/>
      <right/>
      <top/>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s>
  <cellStyleXfs count="12">
    <xf numFmtId="0" fontId="0" fillId="0" borderId="0"/>
    <xf numFmtId="0" fontId="1" fillId="2" borderId="1" applyNumberFormat="0" applyFont="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2" applyNumberFormat="0" applyAlignment="0" applyProtection="0"/>
    <xf numFmtId="0" fontId="6" fillId="6" borderId="3" applyNumberFormat="0" applyAlignment="0" applyProtection="0"/>
    <xf numFmtId="0" fontId="7" fillId="7" borderId="0" applyNumberFormat="0" applyBorder="0" applyAlignment="0" applyProtection="0"/>
    <xf numFmtId="0" fontId="8" fillId="0" borderId="0"/>
    <xf numFmtId="0" fontId="1" fillId="0" borderId="0"/>
    <xf numFmtId="9" fontId="1" fillId="0" borderId="0" applyFont="0" applyFill="0" applyBorder="0" applyAlignment="0" applyProtection="0"/>
    <xf numFmtId="0" fontId="1" fillId="2" borderId="1" applyNumberFormat="0" applyFont="0" applyAlignment="0" applyProtection="0"/>
    <xf numFmtId="0" fontId="8" fillId="0" borderId="0"/>
  </cellStyleXfs>
  <cellXfs count="37">
    <xf numFmtId="0" fontId="0" fillId="0" borderId="0" xfId="0"/>
    <xf numFmtId="0" fontId="5" fillId="5" borderId="2" xfId="4"/>
    <xf numFmtId="0" fontId="3" fillId="3" borderId="0" xfId="2"/>
    <xf numFmtId="0" fontId="4" fillId="4" borderId="2" xfId="3" applyBorder="1"/>
    <xf numFmtId="0" fontId="3" fillId="3" borderId="0" xfId="2" applyBorder="1" applyAlignment="1">
      <alignment vertical="top"/>
    </xf>
    <xf numFmtId="0" fontId="3" fillId="3" borderId="0" xfId="2" applyBorder="1"/>
    <xf numFmtId="0" fontId="0" fillId="2" borderId="0" xfId="1" applyFont="1" applyBorder="1"/>
    <xf numFmtId="0" fontId="6" fillId="6" borderId="0" xfId="5" applyBorder="1" applyAlignment="1">
      <alignment vertical="top"/>
    </xf>
    <xf numFmtId="0" fontId="6" fillId="6" borderId="1" xfId="5" applyBorder="1"/>
    <xf numFmtId="0" fontId="6" fillId="6" borderId="2" xfId="5" applyBorder="1" applyAlignment="1">
      <alignment vertical="top"/>
    </xf>
    <xf numFmtId="0" fontId="6" fillId="6" borderId="1" xfId="5" applyBorder="1" applyAlignment="1">
      <alignment vertical="top"/>
    </xf>
    <xf numFmtId="0" fontId="0" fillId="0" borderId="0" xfId="0" applyBorder="1"/>
    <xf numFmtId="0" fontId="6" fillId="6" borderId="0" xfId="5" applyBorder="1"/>
    <xf numFmtId="0" fontId="5" fillId="5" borderId="0" xfId="4" applyBorder="1" applyAlignment="1">
      <alignment vertical="top"/>
    </xf>
    <xf numFmtId="0" fontId="2" fillId="2" borderId="0" xfId="1" applyFont="1" applyBorder="1" applyAlignment="1">
      <alignment vertical="top"/>
    </xf>
    <xf numFmtId="0" fontId="7" fillId="7" borderId="0" xfId="6"/>
    <xf numFmtId="0" fontId="0" fillId="0" borderId="0" xfId="0" applyFill="1" applyBorder="1"/>
    <xf numFmtId="0" fontId="4" fillId="4" borderId="0" xfId="3"/>
    <xf numFmtId="0" fontId="0" fillId="0" borderId="0" xfId="0"/>
    <xf numFmtId="0" fontId="0" fillId="0" borderId="0" xfId="0" applyFill="1" applyBorder="1"/>
    <xf numFmtId="0" fontId="5" fillId="5" borderId="2" xfId="4"/>
    <xf numFmtId="0" fontId="5" fillId="5" borderId="0" xfId="4" applyBorder="1"/>
    <xf numFmtId="0" fontId="0" fillId="0" borderId="0" xfId="0"/>
    <xf numFmtId="0" fontId="0" fillId="0" borderId="0" xfId="0"/>
    <xf numFmtId="0" fontId="0" fillId="0" borderId="0" xfId="0" applyAlignment="1"/>
    <xf numFmtId="0" fontId="8" fillId="0" borderId="0" xfId="7"/>
    <xf numFmtId="0" fontId="2" fillId="0" borderId="0" xfId="0" applyFont="1" applyAlignment="1">
      <alignment horizontal="left"/>
    </xf>
    <xf numFmtId="0" fontId="0" fillId="0" borderId="0" xfId="0" applyAlignment="1">
      <alignment horizontal="left"/>
    </xf>
    <xf numFmtId="0" fontId="5" fillId="5" borderId="2" xfId="4" applyAlignment="1">
      <alignment horizontal="left"/>
    </xf>
    <xf numFmtId="0" fontId="0" fillId="0" borderId="0" xfId="0" applyFont="1" applyAlignment="1">
      <alignment horizontal="left"/>
    </xf>
    <xf numFmtId="0" fontId="1" fillId="0" borderId="0" xfId="0" applyFont="1" applyAlignment="1">
      <alignment vertical="center"/>
    </xf>
    <xf numFmtId="0" fontId="0" fillId="0" borderId="0" xfId="0" applyFont="1" applyAlignment="1">
      <alignment vertical="center"/>
    </xf>
    <xf numFmtId="0" fontId="0" fillId="2" borderId="1" xfId="10" applyFont="1" applyAlignment="1">
      <alignment horizontal="left"/>
    </xf>
    <xf numFmtId="0" fontId="0" fillId="8" borderId="0" xfId="0" applyFill="1"/>
    <xf numFmtId="0" fontId="1" fillId="2" borderId="1" xfId="10" applyFont="1" applyAlignment="1">
      <alignment vertical="center" wrapText="1"/>
    </xf>
    <xf numFmtId="0" fontId="10" fillId="0" borderId="0" xfId="7" applyFont="1" applyAlignment="1">
      <alignment horizontal="center"/>
    </xf>
    <xf numFmtId="0" fontId="11" fillId="0" borderId="0" xfId="7" applyFont="1" applyAlignment="1">
      <alignment horizontal="left"/>
    </xf>
  </cellXfs>
  <cellStyles count="12">
    <cellStyle name="Bad" xfId="6" builtinId="27"/>
    <cellStyle name="Check Cell" xfId="5" builtinId="23"/>
    <cellStyle name="Good" xfId="2" builtinId="26"/>
    <cellStyle name="Input" xfId="4" builtinId="20"/>
    <cellStyle name="Neutral" xfId="3" builtinId="28"/>
    <cellStyle name="Normal" xfId="0" builtinId="0"/>
    <cellStyle name="Normal 2" xfId="7"/>
    <cellStyle name="Normal 2 2" xfId="8"/>
    <cellStyle name="Normal 2 2 2" xfId="11"/>
    <cellStyle name="Note" xfId="1" builtinId="10"/>
    <cellStyle name="Note 2" xfId="10"/>
    <cellStyle name="Percent 2"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4.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2</xdr:col>
          <xdr:colOff>594360</xdr:colOff>
          <xdr:row>3</xdr:row>
          <xdr:rowOff>22860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Open the datafile and click me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R58"/>
  <sheetViews>
    <sheetView zoomScale="85" zoomScaleNormal="85" workbookViewId="0">
      <pane xSplit="3" ySplit="1" topLeftCell="D2" activePane="bottomRight" state="frozen"/>
      <selection pane="topRight" activeCell="D1" sqref="D1"/>
      <selection pane="bottomLeft" activeCell="A2" sqref="A2"/>
      <selection pane="bottomRight" activeCell="K11" sqref="K11"/>
    </sheetView>
  </sheetViews>
  <sheetFormatPr defaultRowHeight="13.2" x14ac:dyDescent="0.25"/>
  <cols>
    <col min="1" max="1" width="4" bestFit="1" customWidth="1"/>
    <col min="2" max="2" width="3.6640625" bestFit="1" customWidth="1"/>
    <col min="3" max="3" width="4" bestFit="1" customWidth="1"/>
    <col min="4" max="4" width="17.109375" style="18" customWidth="1"/>
    <col min="5" max="5" width="31.109375" style="11" bestFit="1" customWidth="1"/>
    <col min="6" max="6" width="8.44140625" bestFit="1" customWidth="1"/>
    <col min="7" max="7" width="13.88671875" customWidth="1"/>
    <col min="8" max="8" width="23.5546875" bestFit="1" customWidth="1"/>
    <col min="9" max="9" width="13.5546875" bestFit="1" customWidth="1"/>
    <col min="10" max="10" width="30.6640625" style="18" customWidth="1"/>
    <col min="11" max="11" width="28.6640625" bestFit="1" customWidth="1"/>
    <col min="12" max="12" width="18.6640625" bestFit="1" customWidth="1"/>
    <col min="13" max="13" width="44.109375" bestFit="1" customWidth="1"/>
    <col min="14" max="14" width="27.6640625" bestFit="1" customWidth="1"/>
    <col min="15" max="15" width="30.6640625" bestFit="1" customWidth="1"/>
    <col min="16" max="16" width="41.33203125" bestFit="1" customWidth="1"/>
    <col min="17" max="17" width="45.5546875" bestFit="1" customWidth="1"/>
    <col min="18" max="18" width="12" style="23" customWidth="1"/>
    <col min="19" max="19" width="12" style="33" customWidth="1"/>
    <col min="20" max="20" width="24.33203125" customWidth="1"/>
    <col min="21" max="21" width="30.88671875" style="11" bestFit="1" customWidth="1"/>
    <col min="22" max="22" width="8.44140625" bestFit="1" customWidth="1"/>
    <col min="23" max="23" width="13.6640625" bestFit="1" customWidth="1"/>
    <col min="24" max="24" width="4.6640625" bestFit="1" customWidth="1"/>
    <col min="25" max="25" width="21.88671875" style="18" customWidth="1"/>
    <col min="26" max="26" width="28.44140625" bestFit="1" customWidth="1"/>
    <col min="27" max="27" width="18.5546875" bestFit="1" customWidth="1"/>
    <col min="28" max="28" width="43.6640625" bestFit="1" customWidth="1"/>
    <col min="29" max="29" width="27.5546875" bestFit="1" customWidth="1"/>
    <col min="30" max="30" width="30.33203125" bestFit="1" customWidth="1"/>
    <col min="31" max="31" width="58.109375" bestFit="1" customWidth="1"/>
    <col min="32" max="32" width="46.6640625" bestFit="1" customWidth="1"/>
    <col min="33" max="33" width="15.5546875" customWidth="1"/>
    <col min="34" max="34" width="9.6640625" style="33" customWidth="1"/>
    <col min="35" max="35" width="10.6640625" customWidth="1"/>
    <col min="37" max="37" width="36.33203125" bestFit="1" customWidth="1"/>
    <col min="38" max="38" width="35.44140625" bestFit="1" customWidth="1"/>
    <col min="39" max="39" width="12.33203125" bestFit="1" customWidth="1"/>
    <col min="40" max="40" width="14.88671875" bestFit="1" customWidth="1"/>
    <col min="41" max="41" width="10" bestFit="1" customWidth="1"/>
    <col min="42" max="42" width="10" style="23" customWidth="1"/>
    <col min="43" max="43" width="10" style="33" customWidth="1"/>
    <col min="44" max="44" width="10" style="23" customWidth="1"/>
    <col min="45" max="45" width="48.109375" bestFit="1" customWidth="1"/>
    <col min="46" max="46" width="8.6640625" bestFit="1" customWidth="1"/>
    <col min="47" max="47" width="9.33203125" bestFit="1" customWidth="1"/>
    <col min="48" max="48" width="41.33203125" customWidth="1"/>
    <col min="49" max="49" width="26.109375" bestFit="1" customWidth="1"/>
    <col min="50" max="50" width="14.109375" bestFit="1" customWidth="1"/>
    <col min="51" max="51" width="21.6640625" bestFit="1" customWidth="1"/>
    <col min="52" max="52" width="23.109375" bestFit="1" customWidth="1"/>
    <col min="53" max="53" width="21.33203125" bestFit="1" customWidth="1"/>
    <col min="54" max="54" width="43.6640625" bestFit="1" customWidth="1"/>
    <col min="55" max="55" width="37.5546875" bestFit="1" customWidth="1"/>
    <col min="56" max="56" width="15.88671875" bestFit="1" customWidth="1"/>
    <col min="58" max="58" width="9.109375" style="33"/>
    <col min="64" max="64" width="15.5546875" bestFit="1" customWidth="1"/>
    <col min="65" max="65" width="20.88671875" bestFit="1" customWidth="1"/>
    <col min="66" max="66" width="24" bestFit="1" customWidth="1"/>
    <col min="67" max="67" width="24" style="23" customWidth="1"/>
    <col min="68" max="68" width="12.6640625" bestFit="1" customWidth="1"/>
    <col min="69" max="69" width="14" bestFit="1" customWidth="1"/>
    <col min="70" max="70" width="23.33203125" style="23" bestFit="1" customWidth="1"/>
    <col min="71" max="71" width="9.109375" style="23"/>
    <col min="73" max="73" width="34.109375" bestFit="1" customWidth="1"/>
    <col min="79" max="79" width="24.44140625" bestFit="1" customWidth="1"/>
    <col min="80" max="80" width="14" bestFit="1" customWidth="1"/>
    <col min="81" max="81" width="44.5546875" bestFit="1" customWidth="1"/>
    <col min="82" max="82" width="23.33203125" bestFit="1" customWidth="1"/>
    <col min="83" max="83" width="20.6640625" bestFit="1" customWidth="1"/>
    <col min="84" max="84" width="31.44140625" bestFit="1" customWidth="1"/>
    <col min="85" max="85" width="35.88671875" bestFit="1" customWidth="1"/>
    <col min="87" max="87" width="9.109375" style="33"/>
    <col min="89" max="89" width="12.88671875" bestFit="1" customWidth="1"/>
    <col min="90" max="90" width="28.44140625" style="27" bestFit="1" customWidth="1"/>
    <col min="91" max="91" width="6.6640625" bestFit="1" customWidth="1"/>
    <col min="92" max="92" width="8.6640625" bestFit="1" customWidth="1"/>
    <col min="93" max="93" width="4.88671875" bestFit="1" customWidth="1"/>
    <col min="94" max="94" width="7.6640625" bestFit="1" customWidth="1"/>
    <col min="95" max="95" width="40.88671875" bestFit="1" customWidth="1"/>
    <col min="96" max="96" width="24.33203125" bestFit="1" customWidth="1"/>
    <col min="97" max="97" width="14.6640625" bestFit="1" customWidth="1"/>
    <col min="98" max="98" width="37.44140625" bestFit="1" customWidth="1"/>
    <col min="99" max="99" width="24.33203125" bestFit="1" customWidth="1"/>
    <col min="100" max="100" width="22.88671875" bestFit="1" customWidth="1"/>
    <col min="101" max="101" width="33.44140625" bestFit="1" customWidth="1"/>
    <col min="102" max="102" width="38" bestFit="1" customWidth="1"/>
    <col min="104" max="104" width="9.109375" style="33"/>
    <col min="106" max="106" width="16.88671875" bestFit="1" customWidth="1"/>
    <col min="107" max="107" width="23.5546875" bestFit="1" customWidth="1"/>
    <col min="108" max="108" width="6.6640625" bestFit="1" customWidth="1"/>
    <col min="109" max="109" width="10.88671875" bestFit="1" customWidth="1"/>
    <col min="110" max="110" width="4.88671875" bestFit="1" customWidth="1"/>
    <col min="111" max="111" width="7.88671875" bestFit="1" customWidth="1"/>
    <col min="112" max="112" width="40.88671875" bestFit="1" customWidth="1"/>
    <col min="113" max="113" width="26.33203125" bestFit="1" customWidth="1"/>
    <col min="114" max="114" width="16" bestFit="1" customWidth="1"/>
    <col min="115" max="115" width="33.88671875" bestFit="1" customWidth="1"/>
    <col min="116" max="116" width="25.33203125" bestFit="1" customWidth="1"/>
    <col min="117" max="117" width="24.88671875" bestFit="1" customWidth="1"/>
    <col min="118" max="118" width="35.5546875" bestFit="1" customWidth="1"/>
    <col min="119" max="119" width="40" bestFit="1" customWidth="1"/>
  </cols>
  <sheetData>
    <row r="1" spans="1:122" x14ac:dyDescent="0.25">
      <c r="C1" s="1"/>
      <c r="D1" s="20"/>
      <c r="E1" s="20" t="s">
        <v>16</v>
      </c>
      <c r="F1" s="20" t="s">
        <v>15</v>
      </c>
      <c r="G1" s="20" t="s">
        <v>52</v>
      </c>
      <c r="I1" t="s">
        <v>136</v>
      </c>
      <c r="J1" s="21" t="s">
        <v>195</v>
      </c>
      <c r="K1" t="s">
        <v>4</v>
      </c>
      <c r="L1" s="20"/>
      <c r="N1" t="s">
        <v>137</v>
      </c>
      <c r="Q1" t="s">
        <v>139</v>
      </c>
      <c r="U1" s="11" t="s">
        <v>11</v>
      </c>
      <c r="V1" t="s">
        <v>15</v>
      </c>
      <c r="W1" t="s">
        <v>52</v>
      </c>
      <c r="Y1" s="20" t="s">
        <v>195</v>
      </c>
      <c r="Z1" t="s">
        <v>84</v>
      </c>
      <c r="AC1" s="20" t="s">
        <v>138</v>
      </c>
      <c r="AF1" s="20" t="s">
        <v>139</v>
      </c>
      <c r="AS1" t="s">
        <v>157</v>
      </c>
      <c r="AV1" s="20" t="s">
        <v>195</v>
      </c>
      <c r="AW1" t="s">
        <v>173</v>
      </c>
      <c r="AZ1" t="s">
        <v>175</v>
      </c>
      <c r="BC1" t="s">
        <v>139</v>
      </c>
      <c r="BH1" s="23" t="s">
        <v>157</v>
      </c>
      <c r="BI1" s="23"/>
      <c r="BJ1" s="23"/>
      <c r="BL1" t="s">
        <v>272</v>
      </c>
      <c r="BM1" t="s">
        <v>273</v>
      </c>
      <c r="BN1" t="s">
        <v>297</v>
      </c>
      <c r="BP1" t="s">
        <v>313</v>
      </c>
      <c r="CK1" t="s">
        <v>337</v>
      </c>
      <c r="CL1" s="28" t="s">
        <v>339</v>
      </c>
      <c r="CM1" s="20" t="s">
        <v>15</v>
      </c>
      <c r="CN1" s="20" t="s">
        <v>52</v>
      </c>
      <c r="CO1" s="23"/>
      <c r="CP1" s="23" t="s">
        <v>136</v>
      </c>
      <c r="CQ1" s="21" t="s">
        <v>195</v>
      </c>
      <c r="CR1" s="23"/>
      <c r="CS1" s="20"/>
      <c r="CT1" s="23"/>
      <c r="CU1" s="23" t="s">
        <v>137</v>
      </c>
      <c r="CV1" s="23"/>
      <c r="CW1" s="23"/>
      <c r="CX1" s="23" t="s">
        <v>139</v>
      </c>
      <c r="DB1" t="s">
        <v>338</v>
      </c>
      <c r="DC1" s="20" t="s">
        <v>16</v>
      </c>
      <c r="DD1" s="20" t="s">
        <v>15</v>
      </c>
      <c r="DE1" s="20" t="s">
        <v>52</v>
      </c>
      <c r="DF1" s="23"/>
      <c r="DG1" s="23" t="s">
        <v>136</v>
      </c>
      <c r="DH1" s="21" t="s">
        <v>195</v>
      </c>
      <c r="DI1" s="23" t="s">
        <v>4</v>
      </c>
      <c r="DJ1" s="20"/>
      <c r="DK1" s="23"/>
      <c r="DL1" s="23" t="s">
        <v>137</v>
      </c>
      <c r="DM1" s="23"/>
      <c r="DN1" s="23"/>
      <c r="DO1" s="23" t="s">
        <v>139</v>
      </c>
      <c r="DR1" t="s">
        <v>416</v>
      </c>
    </row>
    <row r="2" spans="1:122" ht="13.8" x14ac:dyDescent="0.25">
      <c r="A2">
        <v>65</v>
      </c>
      <c r="B2" t="str">
        <f>IF(A2&lt;91,CHAR(A2),"A"&amp;CHAR(A2-26))</f>
        <v>A</v>
      </c>
      <c r="C2" t="s">
        <v>177</v>
      </c>
      <c r="E2" s="11" t="s">
        <v>111</v>
      </c>
      <c r="F2" t="s">
        <v>45</v>
      </c>
      <c r="G2" t="str">
        <f t="shared" ref="G2:G8" si="0">$AN$2&amp;H2</f>
        <v>idARR</v>
      </c>
      <c r="H2" t="s">
        <v>86</v>
      </c>
      <c r="J2" s="24" t="s">
        <v>213</v>
      </c>
      <c r="K2" t="str">
        <f t="shared" ref="K2" si="1">"Public "&amp;G2&amp;" As "&amp;F2</f>
        <v>Public idARR As String</v>
      </c>
      <c r="L2" t="str">
        <f>$L$1&amp;G2&amp;" = """&amp;$B2&amp;""""</f>
        <v>idARR = "A"</v>
      </c>
      <c r="M2" t="str">
        <f t="shared" ref="M2" si="2">$M$1&amp;G2&amp;" = """&amp;E2&amp;""""</f>
        <v>idARR = "ARRANGEMENT_ID"</v>
      </c>
      <c r="N2" t="str">
        <f t="shared" ref="N2" si="3">"Public "&amp;G2&amp;" As String"</f>
        <v>Public idARR As String</v>
      </c>
      <c r="O2" t="str">
        <f>$O$1&amp;G2&amp;" = """&amp;G2&amp;""""</f>
        <v>idARR = "idARR"</v>
      </c>
      <c r="P2" t="str">
        <f t="shared" ref="P2" si="4">"a."&amp; G2 &amp; "= assign(ac." &amp; G2 &amp; ", i)"</f>
        <v>a.idARR= assign(ac.idARR, i)</v>
      </c>
      <c r="Q2" t="str">
        <f t="shared" ref="Q2" si="5">"Call "&amp;$Q$1&amp;"(ac." &amp; G2 &amp; ", row, a."&amp; G2 &amp;")"</f>
        <v>Call store(ac.idARR, row, a.idARR)</v>
      </c>
      <c r="U2" s="11" t="s">
        <v>111</v>
      </c>
      <c r="V2" t="s">
        <v>45</v>
      </c>
      <c r="W2" t="str">
        <f>$AN$2&amp;X2</f>
        <v>idARR</v>
      </c>
      <c r="X2" t="s">
        <v>86</v>
      </c>
      <c r="Z2" t="str">
        <f>"Public "&amp;W2&amp;" As "&amp;V2</f>
        <v>Public idARR As String</v>
      </c>
      <c r="AA2" t="str">
        <f>$AA$1&amp;W2&amp;" = """&amp;B2&amp;""""</f>
        <v>idARR = "A"</v>
      </c>
      <c r="AB2" t="str">
        <f>$AB$1&amp;W2&amp;" = """&amp;U2&amp;""""</f>
        <v>idARR = "ARRANGEMENT_ID"</v>
      </c>
      <c r="AC2" t="str">
        <f>"Public "&amp;W2&amp;" As String"</f>
        <v>Public idARR As String</v>
      </c>
      <c r="AD2" t="str">
        <f>$AB$1&amp;W2&amp;" = """&amp;W2&amp;""""</f>
        <v>idARR = "idARR"</v>
      </c>
      <c r="AE2" t="str">
        <f>IF(AND(V2 &lt;&gt; "Integer",V2 &lt;&gt; "Double",V2 &lt;&gt; "Long"),"e."&amp; W2 &amp;" = assign(ec." &amp; W2 &amp; ", i)","e."&amp; W2 &amp;" = e."&amp; W2 &amp;" + assign(ec." &amp; W2 &amp; ", i)")</f>
        <v>e.idARR = assign(ec.idARR, i)</v>
      </c>
      <c r="AF2" t="str">
        <f>"Call "&amp;$AF$1&amp;"(ec." &amp;W2 &amp; ", row, var." &amp; W2 &amp;")"</f>
        <v>Call store(ec.idARR, row, var.idARR)</v>
      </c>
      <c r="AN2" t="s">
        <v>119</v>
      </c>
      <c r="AS2" s="3" t="s">
        <v>9</v>
      </c>
      <c r="AT2" t="s">
        <v>45</v>
      </c>
      <c r="AU2" t="s">
        <v>162</v>
      </c>
      <c r="AW2" t="str">
        <f t="shared" ref="AW2" si="6">"Public "&amp;AU2&amp;" As "&amp;AT2</f>
        <v>Public step As String</v>
      </c>
      <c r="AX2" t="str">
        <f>$AA$1&amp;AU2&amp;" = """&amp;B2&amp;""""</f>
        <v>step = "A"</v>
      </c>
      <c r="AY2" t="str">
        <f>$AB$1&amp;AU2&amp;" = """&amp;AS2&amp;""""</f>
        <v>step = "Step"</v>
      </c>
      <c r="AZ2" t="str">
        <f>"Public "&amp;AU2&amp;" As String"</f>
        <v>Public step As String</v>
      </c>
      <c r="BA2" t="str">
        <f>$AB$1&amp;AU2&amp;" = """&amp;AU2&amp;""""</f>
        <v>step = "step"</v>
      </c>
      <c r="BB2" t="str">
        <f>IF(AND(AT2 &lt;&gt; "Integer",AT2 &lt;&gt; "Double",AT2 &lt;&gt; "Long"),"s."&amp; AU2 &amp;" = assign(sc." &amp; AU2 &amp; ", i)","s."&amp; AU2 &amp;" = s."&amp; AU2 &amp;" + assign(sc." &amp; AU2 &amp; ", i)")</f>
        <v>s.step = assign(sc.step, i)</v>
      </c>
      <c r="BC2" t="str">
        <f>"Call "&amp;$AF$1&amp;"(sc." &amp;AU2 &amp; ", row, var." &amp; AU2 &amp;")"</f>
        <v>Call store(sc.step, row, var.step)</v>
      </c>
      <c r="BD2" t="str">
        <f>"s."&amp;AU2&amp;" = kod"</f>
        <v>s.step = kod</v>
      </c>
      <c r="BH2" s="3" t="s">
        <v>9</v>
      </c>
      <c r="BI2" s="23" t="s">
        <v>45</v>
      </c>
      <c r="BJ2" s="23" t="s">
        <v>162</v>
      </c>
      <c r="BK2" t="str">
        <f>B2</f>
        <v>A</v>
      </c>
      <c r="BL2" s="25" t="s">
        <v>86</v>
      </c>
      <c r="BM2" s="25" t="s">
        <v>263</v>
      </c>
      <c r="BN2" s="25" t="s">
        <v>263</v>
      </c>
      <c r="BO2" s="25" t="s">
        <v>86</v>
      </c>
      <c r="BP2" s="25" t="str">
        <f>LOWER(BO2)</f>
        <v>arr</v>
      </c>
      <c r="BQ2" s="23" t="str">
        <f>$L$1&amp;BP2&amp;" = """&amp;$B2&amp;""""</f>
        <v>arr = "A"</v>
      </c>
      <c r="BR2" s="23" t="str">
        <f>"Public "&amp;BP2&amp;" As String"</f>
        <v>Public arr As String</v>
      </c>
      <c r="BU2" s="23" t="s">
        <v>157</v>
      </c>
      <c r="BV2" s="23" t="s">
        <v>45</v>
      </c>
      <c r="BW2" s="23" t="s">
        <v>162</v>
      </c>
      <c r="CA2" s="23" t="str">
        <f>"Public "&amp;BW2&amp;" As "&amp;BV2</f>
        <v>Public step As String</v>
      </c>
      <c r="CB2" s="23" t="str">
        <f>$L$1&amp;BW2&amp;" = """&amp;$B2&amp;""""</f>
        <v>step = "A"</v>
      </c>
      <c r="CC2" s="23" t="str">
        <f>$M$1&amp;BW2&amp;" = """&amp;BU2&amp;""""</f>
        <v>step = "Steps"</v>
      </c>
      <c r="CD2" s="23" t="str">
        <f>"Public "&amp;BW2&amp;" As String"</f>
        <v>Public step As String</v>
      </c>
      <c r="CE2" s="23" t="str">
        <f>$O$1&amp;BW2&amp;" = """&amp;BW2&amp;""""</f>
        <v>step = "step"</v>
      </c>
      <c r="CF2" s="23" t="str">
        <f>"a."&amp; BW2 &amp; "= assign(ac." &amp; BW2 &amp; ", i)"</f>
        <v>a.step= assign(ac.step, i)</v>
      </c>
      <c r="CG2" s="23" t="str">
        <f>"Call "&amp;$Q$1&amp;"(ac." &amp; BW2 &amp; ", row, a."&amp; BW2 &amp;")"</f>
        <v>Call store(ac.step, row, a.step)</v>
      </c>
      <c r="CL2" s="26" t="s">
        <v>353</v>
      </c>
      <c r="CM2" s="23" t="s">
        <v>45</v>
      </c>
      <c r="CN2" s="23" t="s">
        <v>344</v>
      </c>
      <c r="CO2" s="23" t="s">
        <v>86</v>
      </c>
      <c r="CP2" s="23"/>
      <c r="CQ2" s="24"/>
      <c r="CR2" s="23" t="str">
        <f t="shared" ref="CR2" si="7">"Public "&amp;CN2&amp;" As "&amp;CM2</f>
        <v>Public fromArr As String</v>
      </c>
      <c r="CS2" s="23" t="str">
        <f>$L$1&amp;CN2&amp;" = """&amp;$B2&amp;""""</f>
        <v>fromArr = "A"</v>
      </c>
      <c r="CT2" s="23" t="str">
        <f t="shared" ref="CT2" si="8">$M$1&amp;CN2&amp;" = """&amp;CL2&amp;""""</f>
        <v>fromArr = "FROM ARR"</v>
      </c>
      <c r="CU2" s="23" t="str">
        <f t="shared" ref="CU2" si="9">"Public "&amp;CN2&amp;" As String"</f>
        <v>Public fromArr As String</v>
      </c>
      <c r="CV2" s="23" t="str">
        <f>$O$1&amp;CN2&amp;" = """&amp;CN2&amp;""""</f>
        <v>fromArr = "fromArr"</v>
      </c>
      <c r="CW2" s="23" t="str">
        <f t="shared" ref="CW2" si="10">"a."&amp; CN2 &amp; "= assign(ac." &amp; CN2 &amp; ", i)"</f>
        <v>a.fromArr= assign(ac.fromArr, i)</v>
      </c>
      <c r="CX2" s="23" t="str">
        <f t="shared" ref="CX2" si="11">"Call "&amp;$Q$1&amp;"(ac." &amp; CN2 &amp; ", row, a."&amp; CN2 &amp;")"</f>
        <v>Call store(ac.fromArr, row, a.fromArr)</v>
      </c>
      <c r="DC2" s="26" t="s">
        <v>411</v>
      </c>
      <c r="DD2" s="23" t="s">
        <v>45</v>
      </c>
      <c r="DE2" s="23" t="str">
        <f>$AN$2&amp;DF2</f>
        <v>idARR</v>
      </c>
      <c r="DF2" s="23" t="s">
        <v>86</v>
      </c>
      <c r="DG2" s="23"/>
      <c r="DH2" s="24" t="s">
        <v>213</v>
      </c>
      <c r="DI2" s="23" t="str">
        <f t="shared" ref="DI2" si="12">"Public "&amp;DE2&amp;" As "&amp;DD2</f>
        <v>Public idARR As String</v>
      </c>
      <c r="DJ2" s="23" t="str">
        <f>$L$1&amp;DE2&amp;" = """&amp;$B2&amp;""""</f>
        <v>idARR = "A"</v>
      </c>
      <c r="DK2" s="23" t="str">
        <f t="shared" ref="DK2" si="13">$M$1&amp;DE2&amp;" = """&amp;DC2&amp;""""</f>
        <v>idARR = "Arrangement ID"</v>
      </c>
      <c r="DL2" s="23" t="str">
        <f t="shared" ref="DL2" si="14">"Public "&amp;DE2&amp;" As String"</f>
        <v>Public idARR As String</v>
      </c>
      <c r="DM2" s="23" t="str">
        <f>$O$1&amp;DE2&amp;" = """&amp;DE2&amp;""""</f>
        <v>idARR = "idARR"</v>
      </c>
      <c r="DN2" s="23" t="str">
        <f t="shared" ref="DN2" si="15">"a."&amp; DE2 &amp; "= assign(ac." &amp; DE2 &amp; ", i)"</f>
        <v>a.idARR= assign(ac.idARR, i)</v>
      </c>
      <c r="DO2" s="23" t="str">
        <f t="shared" ref="DO2" si="16">"Call "&amp;$Q$1&amp;"(ac." &amp; DE2 &amp; ", row, a."&amp; DE2 &amp;")"</f>
        <v>Call store(ac.idARR, row, a.idARR)</v>
      </c>
    </row>
    <row r="3" spans="1:122" ht="13.8" x14ac:dyDescent="0.25">
      <c r="A3">
        <v>66</v>
      </c>
      <c r="B3" t="str">
        <f t="shared" ref="B3:B43" si="17">IF(A3&lt;91,CHAR(A3),"A"&amp;CHAR(A3-26))</f>
        <v>B</v>
      </c>
      <c r="C3" t="s">
        <v>177</v>
      </c>
      <c r="E3" s="11" t="s">
        <v>112</v>
      </c>
      <c r="F3" t="s">
        <v>45</v>
      </c>
      <c r="G3" t="str">
        <f t="shared" si="0"/>
        <v>idECI</v>
      </c>
      <c r="H3" t="s">
        <v>85</v>
      </c>
      <c r="J3" s="24" t="s">
        <v>213</v>
      </c>
      <c r="K3" s="23" t="str">
        <f t="shared" ref="K3:K44" si="18">"Public "&amp;G3&amp;" As "&amp;F3</f>
        <v>Public idECI As String</v>
      </c>
      <c r="L3" s="23" t="str">
        <f t="shared" ref="L3:L44" si="19">$L$1&amp;G3&amp;" = """&amp;$B3&amp;""""</f>
        <v>idECI = "B"</v>
      </c>
      <c r="M3" s="23" t="str">
        <f t="shared" ref="M3:M44" si="20">$M$1&amp;G3&amp;" = """&amp;E3&amp;""""</f>
        <v>idECI = "CLNT_ECI_ID"</v>
      </c>
      <c r="N3" s="23" t="str">
        <f t="shared" ref="N3:N44" si="21">"Public "&amp;G3&amp;" As String"</f>
        <v>Public idECI As String</v>
      </c>
      <c r="O3" s="23" t="str">
        <f t="shared" ref="O3:O44" si="22">$O$1&amp;G3&amp;" = """&amp;G3&amp;""""</f>
        <v>idECI = "idECI"</v>
      </c>
      <c r="P3" s="23" t="str">
        <f t="shared" ref="P3:P44" si="23">"a."&amp; G3 &amp; "= assign(ac." &amp; G3 &amp; ", i)"</f>
        <v>a.idECI= assign(ac.idECI, i)</v>
      </c>
      <c r="Q3" s="23" t="str">
        <f t="shared" ref="Q3:Q44" si="24">"Call "&amp;$Q$1&amp;"(ac." &amp; G3 &amp; ", row, a."&amp; G3 &amp;")"</f>
        <v>Call store(ac.idECI, row, a.idECI)</v>
      </c>
      <c r="U3" s="11" t="s">
        <v>112</v>
      </c>
      <c r="V3" t="s">
        <v>45</v>
      </c>
      <c r="W3" t="str">
        <f>$AN$2&amp;X3</f>
        <v>idECI</v>
      </c>
      <c r="X3" t="s">
        <v>85</v>
      </c>
      <c r="Z3" t="str">
        <f t="shared" ref="Z3:Z16" si="25">"Public "&amp;W3&amp;" As "&amp;V3</f>
        <v>Public idECI As String</v>
      </c>
      <c r="AA3" t="str">
        <f t="shared" ref="AA3:AA16" si="26">$AA$1&amp;W3&amp;" = """&amp;B3&amp;""""</f>
        <v>idECI = "B"</v>
      </c>
      <c r="AB3" t="str">
        <f t="shared" ref="AB3:AB16" si="27">$AB$1&amp;W3&amp;" = """&amp;U3&amp;""""</f>
        <v>idECI = "CLNT_ECI_ID"</v>
      </c>
      <c r="AC3" t="str">
        <f t="shared" ref="AC3:AC16" si="28">"Public "&amp;W3&amp;" As String"</f>
        <v>Public idECI As String</v>
      </c>
      <c r="AD3" t="str">
        <f t="shared" ref="AD3:AD16" si="29">$AB$1&amp;W3&amp;" = """&amp;W3&amp;""""</f>
        <v>idECI = "idECI"</v>
      </c>
      <c r="AE3" t="str">
        <f t="shared" ref="AE3:AE16" si="30">IF(AND(V3 &lt;&gt; "Integer",V3 &lt;&gt; "Double",V3 &lt;&gt; "Long"),"e."&amp; W3 &amp;" = assign(ec." &amp; W3 &amp; ", i)","e."&amp; W3 &amp;" = e."&amp; W3 &amp;" + assign(ec." &amp; W3 &amp; ", i)")</f>
        <v>e.idECI = assign(ec.idECI, i)</v>
      </c>
      <c r="AF3" t="str">
        <f t="shared" ref="AF3:AF16" si="31">"Call "&amp;$AF$1&amp;"(ec." &amp;W3 &amp; ", row, var." &amp; W3 &amp;")"</f>
        <v>Call store(ec.idECI, row, var.idECI)</v>
      </c>
      <c r="AK3" t="s">
        <v>88</v>
      </c>
      <c r="AL3" s="10" t="s">
        <v>38</v>
      </c>
      <c r="AM3" t="s">
        <v>46</v>
      </c>
      <c r="AN3" t="s">
        <v>70</v>
      </c>
      <c r="AS3" s="1" t="s">
        <v>11</v>
      </c>
      <c r="AT3" t="s">
        <v>45</v>
      </c>
      <c r="AU3" t="s">
        <v>160</v>
      </c>
      <c r="AW3" s="18" t="str">
        <f t="shared" ref="AW3:AW28" si="32">"Public "&amp;AU3&amp;" As "&amp;AT3</f>
        <v>Public idExpo As String</v>
      </c>
      <c r="AX3" s="18" t="str">
        <f t="shared" ref="AX3:AX28" si="33">$AA$1&amp;AU3&amp;" = """&amp;B3&amp;""""</f>
        <v>idExpo = "B"</v>
      </c>
      <c r="AY3" s="18" t="str">
        <f t="shared" ref="AY3:AY28" si="34">$AB$1&amp;AU3&amp;" = """&amp;AS3&amp;""""</f>
        <v>idExpo = "Expo"</v>
      </c>
      <c r="AZ3" s="18" t="str">
        <f t="shared" ref="AZ3:AZ28" si="35">"Public "&amp;AU3&amp;" As String"</f>
        <v>Public idExpo As String</v>
      </c>
      <c r="BA3" s="18" t="str">
        <f t="shared" ref="BA3:BA28" si="36">$AB$1&amp;AU3&amp;" = """&amp;AU3&amp;""""</f>
        <v>idExpo = "idExpo"</v>
      </c>
      <c r="BB3" s="18" t="str">
        <f t="shared" ref="BB3:BB28" si="37">IF(AND(AT3 &lt;&gt; "Integer",AT3 &lt;&gt; "Double",AT3 &lt;&gt; "Long"),"s."&amp; AU3 &amp;" = assign(sc." &amp; AU3 &amp; ", i)","s."&amp; AU3 &amp;" = s."&amp; AU3 &amp;" + assign(sc." &amp; AU3 &amp; ", i)")</f>
        <v>s.idExpo = assign(sc.idExpo, i)</v>
      </c>
      <c r="BC3" s="18" t="str">
        <f t="shared" ref="BC3:BC28" si="38">"Call "&amp;$AF$1&amp;"(sc." &amp;AU3 &amp; ", row, var." &amp; AU3 &amp;")"</f>
        <v>Call store(sc.idExpo, row, var.idExpo)</v>
      </c>
      <c r="BD3" s="18" t="str">
        <f t="shared" ref="BD3:BD28" si="39">"s."&amp;AU3&amp;" = kod"</f>
        <v>s.idExpo = kod</v>
      </c>
      <c r="BH3" s="20" t="s">
        <v>11</v>
      </c>
      <c r="BI3" s="23" t="s">
        <v>45</v>
      </c>
      <c r="BJ3" s="23" t="s">
        <v>160</v>
      </c>
      <c r="BK3" s="23" t="str">
        <f t="shared" ref="BK3:BK22" si="40">B3</f>
        <v>B</v>
      </c>
      <c r="BL3" s="25" t="s">
        <v>85</v>
      </c>
      <c r="BM3" s="20" t="s">
        <v>85</v>
      </c>
      <c r="BN3" s="25" t="s">
        <v>85</v>
      </c>
      <c r="BO3" s="25" t="s">
        <v>298</v>
      </c>
      <c r="BP3" s="25" t="str">
        <f t="shared" ref="BP3:BP20" si="41">LOWER(BO3)</f>
        <v>step</v>
      </c>
      <c r="BQ3" s="23" t="str">
        <f t="shared" ref="BQ3:BQ20" si="42">$L$1&amp;BP3&amp;" = """&amp;$B3&amp;""""</f>
        <v>step = "B"</v>
      </c>
      <c r="BR3" s="23" t="str">
        <f t="shared" ref="BR3:BR20" si="43">"Public "&amp;BP3&amp;" As String"</f>
        <v>Public step As String</v>
      </c>
      <c r="BU3" s="23" t="s">
        <v>314</v>
      </c>
      <c r="BV3" s="23" t="s">
        <v>45</v>
      </c>
      <c r="BW3" s="23" t="s">
        <v>326</v>
      </c>
      <c r="CA3" s="23" t="str">
        <f t="shared" ref="CA3:CA17" si="44">"Public "&amp;BW3&amp;" As "&amp;BV3</f>
        <v>Public eng As String</v>
      </c>
      <c r="CB3" s="23" t="str">
        <f t="shared" ref="CB3:CB17" si="45">$L$1&amp;BW3&amp;" = """&amp;$B3&amp;""""</f>
        <v>eng = "B"</v>
      </c>
      <c r="CC3" s="23" t="str">
        <f t="shared" ref="CC3:CC17" si="46">$M$1&amp;BW3&amp;" = """&amp;BU3&amp;""""</f>
        <v>eng = "Engine"</v>
      </c>
      <c r="CD3" s="23" t="str">
        <f t="shared" ref="CD3:CD17" si="47">"Public "&amp;BW3&amp;" As String"</f>
        <v>Public eng As String</v>
      </c>
      <c r="CE3" s="23" t="str">
        <f t="shared" ref="CE3:CE17" si="48">$O$1&amp;BW3&amp;" = """&amp;BW3&amp;""""</f>
        <v>eng = "eng"</v>
      </c>
      <c r="CF3" s="23" t="str">
        <f t="shared" ref="CF3:CF17" si="49">"a."&amp; BW3 &amp; "= assign(ac." &amp; BW3 &amp; ", i)"</f>
        <v>a.eng= assign(ac.eng, i)</v>
      </c>
      <c r="CG3" s="23" t="str">
        <f t="shared" ref="CG3:CG17" si="50">"Call "&amp;$Q$1&amp;"(ac." &amp; BW3 &amp; ", row, a."&amp; BW3 &amp;")"</f>
        <v>Call store(ac.eng, row, a.eng)</v>
      </c>
      <c r="CL3" s="26" t="s">
        <v>354</v>
      </c>
      <c r="CM3" s="23" t="s">
        <v>45</v>
      </c>
      <c r="CN3" t="s">
        <v>345</v>
      </c>
      <c r="CR3" s="23" t="str">
        <f t="shared" ref="CR3:CR19" si="51">"Public "&amp;CN3&amp;" As "&amp;CM3</f>
        <v>Public destArr As String</v>
      </c>
      <c r="CS3" s="23" t="str">
        <f t="shared" ref="CS3:CS19" si="52">$L$1&amp;CN3&amp;" = """&amp;$B3&amp;""""</f>
        <v>destArr = "B"</v>
      </c>
      <c r="CT3" s="23" t="str">
        <f t="shared" ref="CT3:CT19" si="53">$M$1&amp;CN3&amp;" = """&amp;CL3&amp;""""</f>
        <v>destArr = "TO ARR"</v>
      </c>
      <c r="CU3" s="23" t="str">
        <f t="shared" ref="CU3:CU19" si="54">"Public "&amp;CN3&amp;" As String"</f>
        <v>Public destArr As String</v>
      </c>
      <c r="CV3" s="23" t="str">
        <f t="shared" ref="CV3:CV19" si="55">$O$1&amp;CN3&amp;" = """&amp;CN3&amp;""""</f>
        <v>destArr = "destArr"</v>
      </c>
      <c r="CW3" s="23" t="str">
        <f t="shared" ref="CW3:CW19" si="56">"a."&amp; CN3 &amp; "= assign(ac." &amp; CN3 &amp; ", i)"</f>
        <v>a.destArr= assign(ac.destArr, i)</v>
      </c>
      <c r="CX3" s="23" t="str">
        <f t="shared" ref="CX3:CX19" si="57">"Call "&amp;$Q$1&amp;"(ac." &amp; CN3 &amp; ", row, a."&amp; CN3 &amp;")"</f>
        <v>Call store(ac.destArr, row, a.destArr)</v>
      </c>
      <c r="DC3" s="26" t="s">
        <v>85</v>
      </c>
      <c r="DD3" s="23" t="s">
        <v>45</v>
      </c>
      <c r="DE3" s="23" t="str">
        <f>$AN$2&amp;DF3</f>
        <v>idECI</v>
      </c>
      <c r="DF3" s="23" t="s">
        <v>85</v>
      </c>
      <c r="DI3" s="23" t="str">
        <f t="shared" ref="DI3:DI36" si="58">"Public "&amp;DE3&amp;" As "&amp;DD3</f>
        <v>Public idECI As String</v>
      </c>
      <c r="DJ3" s="23" t="str">
        <f t="shared" ref="DJ3:DJ36" si="59">$L$1&amp;DE3&amp;" = """&amp;$B3&amp;""""</f>
        <v>idECI = "B"</v>
      </c>
      <c r="DK3" s="23" t="str">
        <f t="shared" ref="DK3:DK36" si="60">$M$1&amp;DE3&amp;" = """&amp;DC3&amp;""""</f>
        <v>idECI = "ECI"</v>
      </c>
      <c r="DL3" s="23" t="str">
        <f t="shared" ref="DL3:DL36" si="61">"Public "&amp;DE3&amp;" As String"</f>
        <v>Public idECI As String</v>
      </c>
      <c r="DM3" s="23" t="str">
        <f t="shared" ref="DM3:DM36" si="62">$O$1&amp;DE3&amp;" = """&amp;DE3&amp;""""</f>
        <v>idECI = "idECI"</v>
      </c>
      <c r="DN3" s="23" t="str">
        <f t="shared" ref="DN3:DN36" si="63">"a."&amp; DE3 &amp; "= assign(ac." &amp; DE3 &amp; ", i)"</f>
        <v>a.idECI= assign(ac.idECI, i)</v>
      </c>
      <c r="DO3" s="23" t="str">
        <f t="shared" ref="DO3:DO36" si="64">"Call "&amp;$Q$1&amp;"(ac." &amp; DE3 &amp; ", row, a."&amp; DE3 &amp;")"</f>
        <v>Call store(ac.idECI, row, a.idECI)</v>
      </c>
    </row>
    <row r="4" spans="1:122" ht="13.8" x14ac:dyDescent="0.25">
      <c r="A4">
        <v>67</v>
      </c>
      <c r="B4" t="str">
        <f t="shared" si="17"/>
        <v>C</v>
      </c>
      <c r="C4" t="s">
        <v>177</v>
      </c>
      <c r="E4" s="11" t="s">
        <v>113</v>
      </c>
      <c r="F4" t="s">
        <v>45</v>
      </c>
      <c r="G4" t="str">
        <f t="shared" si="0"/>
        <v>idACC</v>
      </c>
      <c r="H4" t="s">
        <v>116</v>
      </c>
      <c r="J4" s="24" t="s">
        <v>213</v>
      </c>
      <c r="K4" s="23" t="str">
        <f t="shared" si="18"/>
        <v>Public idACC As String</v>
      </c>
      <c r="L4" s="23" t="str">
        <f t="shared" si="19"/>
        <v>idACC = "C"</v>
      </c>
      <c r="M4" s="23" t="str">
        <f t="shared" si="20"/>
        <v>idACC = "CLNT_RPT_ACC_NBR"</v>
      </c>
      <c r="N4" s="23" t="str">
        <f t="shared" si="21"/>
        <v>Public idACC As String</v>
      </c>
      <c r="O4" s="23" t="str">
        <f t="shared" si="22"/>
        <v>idACC = "idACC"</v>
      </c>
      <c r="P4" s="23" t="str">
        <f t="shared" si="23"/>
        <v>a.idACC= assign(ac.idACC, i)</v>
      </c>
      <c r="Q4" s="23" t="str">
        <f t="shared" si="24"/>
        <v>Call store(ac.idACC, row, a.idACC)</v>
      </c>
      <c r="U4" s="16" t="s">
        <v>176</v>
      </c>
      <c r="V4" t="s">
        <v>45</v>
      </c>
      <c r="W4" t="str">
        <f>$AN$2&amp;X4</f>
        <v>idEXP</v>
      </c>
      <c r="X4" t="s">
        <v>174</v>
      </c>
      <c r="Z4" t="str">
        <f t="shared" si="25"/>
        <v>Public idEXP As String</v>
      </c>
      <c r="AA4" t="str">
        <f t="shared" si="26"/>
        <v>idEXP = "C"</v>
      </c>
      <c r="AB4" t="str">
        <f t="shared" si="27"/>
        <v>idEXP = "EXP_ID"</v>
      </c>
      <c r="AC4" t="str">
        <f t="shared" si="28"/>
        <v>Public idEXP As String</v>
      </c>
      <c r="AD4" t="str">
        <f t="shared" si="29"/>
        <v>idEXP = "idEXP"</v>
      </c>
      <c r="AE4" t="str">
        <f t="shared" si="30"/>
        <v>e.idEXP = assign(ec.idEXP, i)</v>
      </c>
      <c r="AF4" t="str">
        <f t="shared" si="31"/>
        <v>Call store(ec.idEXP, row, var.idEXP)</v>
      </c>
      <c r="AK4" t="s">
        <v>89</v>
      </c>
      <c r="AL4" s="8" t="s">
        <v>39</v>
      </c>
      <c r="AM4" t="s">
        <v>46</v>
      </c>
      <c r="AN4" t="s">
        <v>71</v>
      </c>
      <c r="AS4" s="1" t="s">
        <v>10</v>
      </c>
      <c r="AT4" t="s">
        <v>45</v>
      </c>
      <c r="AU4" t="s">
        <v>161</v>
      </c>
      <c r="AW4" s="18" t="str">
        <f t="shared" si="32"/>
        <v>Public idAsst As String</v>
      </c>
      <c r="AX4" s="18" t="str">
        <f t="shared" si="33"/>
        <v>idAsst = "C"</v>
      </c>
      <c r="AY4" s="18" t="str">
        <f t="shared" si="34"/>
        <v>idAsst = "Asset"</v>
      </c>
      <c r="AZ4" s="18" t="str">
        <f t="shared" si="35"/>
        <v>Public idAsst As String</v>
      </c>
      <c r="BA4" s="18" t="str">
        <f t="shared" si="36"/>
        <v>idAsst = "idAsst"</v>
      </c>
      <c r="BB4" s="18" t="str">
        <f t="shared" si="37"/>
        <v>s.idAsst = assign(sc.idAsst, i)</v>
      </c>
      <c r="BC4" s="18" t="str">
        <f t="shared" si="38"/>
        <v>Call store(sc.idAsst, row, var.idAsst)</v>
      </c>
      <c r="BD4" s="18" t="str">
        <f t="shared" si="39"/>
        <v>s.idAsst = kod</v>
      </c>
      <c r="BH4" s="20" t="s">
        <v>10</v>
      </c>
      <c r="BI4" s="23" t="s">
        <v>45</v>
      </c>
      <c r="BJ4" s="23" t="s">
        <v>161</v>
      </c>
      <c r="BK4" s="23" t="str">
        <f t="shared" si="40"/>
        <v>C</v>
      </c>
      <c r="BL4" s="25" t="s">
        <v>246</v>
      </c>
      <c r="BM4" s="20" t="s">
        <v>264</v>
      </c>
      <c r="BN4" s="25" t="s">
        <v>116</v>
      </c>
      <c r="BO4" s="25" t="s">
        <v>299</v>
      </c>
      <c r="BP4" s="25" t="str">
        <f t="shared" si="41"/>
        <v>asstinfo</v>
      </c>
      <c r="BQ4" s="23" t="str">
        <f t="shared" si="42"/>
        <v>asstinfo = "C"</v>
      </c>
      <c r="BR4" s="23" t="str">
        <f t="shared" si="43"/>
        <v>Public asstinfo As String</v>
      </c>
      <c r="BU4" s="23" t="s">
        <v>315</v>
      </c>
      <c r="BV4" s="23" t="s">
        <v>45</v>
      </c>
      <c r="BW4" s="23" t="s">
        <v>327</v>
      </c>
      <c r="CA4" s="23" t="str">
        <f t="shared" si="44"/>
        <v>Public mac As String</v>
      </c>
      <c r="CB4" s="23" t="str">
        <f t="shared" si="45"/>
        <v>mac = "C"</v>
      </c>
      <c r="CC4" s="23" t="str">
        <f t="shared" si="46"/>
        <v>mac = "Macro"</v>
      </c>
      <c r="CD4" s="23" t="str">
        <f t="shared" si="47"/>
        <v>Public mac As String</v>
      </c>
      <c r="CE4" s="23" t="str">
        <f t="shared" si="48"/>
        <v>mac = "mac"</v>
      </c>
      <c r="CF4" s="23" t="str">
        <f t="shared" si="49"/>
        <v>a.mac= assign(ac.mac, i)</v>
      </c>
      <c r="CG4" s="23" t="str">
        <f t="shared" si="50"/>
        <v>Call store(ac.mac, row, a.mac)</v>
      </c>
      <c r="CL4" s="26" t="s">
        <v>355</v>
      </c>
      <c r="CM4" s="23" t="s">
        <v>45</v>
      </c>
      <c r="CN4" t="s">
        <v>343</v>
      </c>
      <c r="CR4" s="23" t="str">
        <f t="shared" si="51"/>
        <v>Public pldgType As String</v>
      </c>
      <c r="CS4" s="23" t="str">
        <f t="shared" si="52"/>
        <v>pldgType = "C"</v>
      </c>
      <c r="CT4" s="23" t="str">
        <f t="shared" si="53"/>
        <v>pldgType = "PLDG TYPE"</v>
      </c>
      <c r="CU4" s="23" t="str">
        <f t="shared" si="54"/>
        <v>Public pldgType As String</v>
      </c>
      <c r="CV4" s="23" t="str">
        <f t="shared" si="55"/>
        <v>pldgType = "pldgType"</v>
      </c>
      <c r="CW4" s="23" t="str">
        <f t="shared" si="56"/>
        <v>a.pldgType= assign(ac.pldgType, i)</v>
      </c>
      <c r="CX4" s="23" t="str">
        <f t="shared" si="57"/>
        <v>Call store(ac.pldgType, row, a.pldgType)</v>
      </c>
      <c r="DC4" s="26" t="s">
        <v>412</v>
      </c>
      <c r="DD4" s="23" t="s">
        <v>45</v>
      </c>
      <c r="DE4" t="s">
        <v>404</v>
      </c>
      <c r="DI4" s="23" t="str">
        <f t="shared" si="58"/>
        <v>Public region As String</v>
      </c>
      <c r="DJ4" s="23" t="str">
        <f t="shared" si="59"/>
        <v>region = "C"</v>
      </c>
      <c r="DK4" s="23" t="str">
        <f t="shared" si="60"/>
        <v>region = "Region"</v>
      </c>
      <c r="DL4" s="23" t="str">
        <f t="shared" si="61"/>
        <v>Public region As String</v>
      </c>
      <c r="DM4" s="23" t="str">
        <f t="shared" si="62"/>
        <v>region = "region"</v>
      </c>
      <c r="DN4" s="23" t="str">
        <f t="shared" si="63"/>
        <v>a.region= assign(ac.region, i)</v>
      </c>
      <c r="DO4" s="23" t="str">
        <f t="shared" si="64"/>
        <v>Call store(ac.region, row, a.region)</v>
      </c>
    </row>
    <row r="5" spans="1:122" ht="13.8" x14ac:dyDescent="0.25">
      <c r="A5">
        <v>68</v>
      </c>
      <c r="B5" t="str">
        <f t="shared" si="17"/>
        <v>D</v>
      </c>
      <c r="C5" t="s">
        <v>177</v>
      </c>
      <c r="E5" s="11" t="s">
        <v>114</v>
      </c>
      <c r="F5" t="s">
        <v>45</v>
      </c>
      <c r="G5" t="str">
        <f t="shared" si="0"/>
        <v>idBSC</v>
      </c>
      <c r="H5" t="s">
        <v>117</v>
      </c>
      <c r="J5" s="24" t="s">
        <v>213</v>
      </c>
      <c r="K5" s="23" t="str">
        <f t="shared" si="18"/>
        <v>Public idBSC As String</v>
      </c>
      <c r="L5" s="23" t="str">
        <f t="shared" si="19"/>
        <v>idBSC = "D"</v>
      </c>
      <c r="M5" s="23" t="str">
        <f t="shared" si="20"/>
        <v>idBSC = "BUS_SYS_CODE"</v>
      </c>
      <c r="N5" s="23" t="str">
        <f t="shared" si="21"/>
        <v>Public idBSC As String</v>
      </c>
      <c r="O5" s="23" t="str">
        <f t="shared" si="22"/>
        <v>idBSC = "idBSC"</v>
      </c>
      <c r="P5" s="23" t="str">
        <f t="shared" si="23"/>
        <v>a.idBSC= assign(ac.idBSC, i)</v>
      </c>
      <c r="Q5" s="23" t="str">
        <f t="shared" si="24"/>
        <v>Call store(ac.idBSC, row, a.idBSC)</v>
      </c>
      <c r="U5" s="5" t="s">
        <v>15</v>
      </c>
      <c r="V5" t="s">
        <v>45</v>
      </c>
      <c r="W5" t="s">
        <v>78</v>
      </c>
      <c r="Z5" t="str">
        <f t="shared" si="25"/>
        <v>Public expoType As String</v>
      </c>
      <c r="AA5" t="str">
        <f t="shared" si="26"/>
        <v>expoType = "D"</v>
      </c>
      <c r="AB5" t="str">
        <f t="shared" si="27"/>
        <v>expoType = "Type"</v>
      </c>
      <c r="AC5" t="str">
        <f t="shared" si="28"/>
        <v>Public expoType As String</v>
      </c>
      <c r="AD5" t="str">
        <f t="shared" si="29"/>
        <v>expoType = "expoType"</v>
      </c>
      <c r="AE5" t="str">
        <f t="shared" si="30"/>
        <v>e.expoType = assign(ec.expoType, i)</v>
      </c>
      <c r="AF5" t="str">
        <f t="shared" si="31"/>
        <v>Call store(ec.expoType, row, var.expoType)</v>
      </c>
      <c r="AK5" t="s">
        <v>90</v>
      </c>
      <c r="AL5" s="9" t="s">
        <v>40</v>
      </c>
      <c r="AM5" t="s">
        <v>46</v>
      </c>
      <c r="AN5" t="s">
        <v>72</v>
      </c>
      <c r="AS5" s="18" t="s">
        <v>196</v>
      </c>
      <c r="AT5" s="18" t="s">
        <v>45</v>
      </c>
      <c r="AU5" s="19" t="s">
        <v>182</v>
      </c>
      <c r="AW5" s="18" t="str">
        <f t="shared" si="32"/>
        <v>Public expNbr As String</v>
      </c>
      <c r="AX5" s="18" t="str">
        <f t="shared" si="33"/>
        <v>expNbr = "D"</v>
      </c>
      <c r="AY5" s="18" t="str">
        <f t="shared" si="34"/>
        <v>expNbr = "Exposure Number"</v>
      </c>
      <c r="AZ5" s="18" t="str">
        <f t="shared" si="35"/>
        <v>Public expNbr As String</v>
      </c>
      <c r="BA5" s="18" t="str">
        <f t="shared" si="36"/>
        <v>expNbr = "expNbr"</v>
      </c>
      <c r="BB5" s="18" t="str">
        <f t="shared" si="37"/>
        <v>s.expNbr = assign(sc.expNbr, i)</v>
      </c>
      <c r="BC5" s="18" t="str">
        <f t="shared" si="38"/>
        <v>Call store(sc.expNbr, row, var.expNbr)</v>
      </c>
      <c r="BD5" s="18" t="str">
        <f t="shared" si="39"/>
        <v>s.expNbr = kod</v>
      </c>
      <c r="BH5" s="23" t="s">
        <v>196</v>
      </c>
      <c r="BI5" s="23" t="s">
        <v>45</v>
      </c>
      <c r="BJ5" s="19" t="s">
        <v>182</v>
      </c>
      <c r="BK5" s="23" t="str">
        <f t="shared" si="40"/>
        <v>D</v>
      </c>
      <c r="BL5" s="25" t="s">
        <v>247</v>
      </c>
      <c r="BM5" s="20" t="s">
        <v>265</v>
      </c>
      <c r="BN5" s="25" t="s">
        <v>274</v>
      </c>
      <c r="BO5" s="25" t="s">
        <v>300</v>
      </c>
      <c r="BP5" s="25" t="str">
        <f t="shared" si="41"/>
        <v>expnbr</v>
      </c>
      <c r="BQ5" s="23" t="str">
        <f t="shared" si="42"/>
        <v>expnbr = "D"</v>
      </c>
      <c r="BR5" s="23" t="str">
        <f t="shared" si="43"/>
        <v>Public expnbr As String</v>
      </c>
      <c r="BU5" s="23" t="s">
        <v>316</v>
      </c>
      <c r="BV5" s="23" t="s">
        <v>45</v>
      </c>
      <c r="BW5" s="23" t="s">
        <v>328</v>
      </c>
      <c r="CA5" s="23" t="str">
        <f t="shared" si="44"/>
        <v>Public diff As String</v>
      </c>
      <c r="CB5" s="23" t="str">
        <f t="shared" si="45"/>
        <v>diff = "D"</v>
      </c>
      <c r="CC5" s="23" t="str">
        <f t="shared" si="46"/>
        <v>diff = "Difference"</v>
      </c>
      <c r="CD5" s="23" t="str">
        <f t="shared" si="47"/>
        <v>Public diff As String</v>
      </c>
      <c r="CE5" s="23" t="str">
        <f t="shared" si="48"/>
        <v>diff = "diff"</v>
      </c>
      <c r="CF5" s="23" t="str">
        <f t="shared" si="49"/>
        <v>a.diff= assign(ac.diff, i)</v>
      </c>
      <c r="CG5" s="23" t="str">
        <f t="shared" si="50"/>
        <v>Call store(ac.diff, row, a.diff)</v>
      </c>
      <c r="CL5" s="26" t="s">
        <v>356</v>
      </c>
      <c r="CM5" s="23" t="s">
        <v>45</v>
      </c>
      <c r="CN5" t="s">
        <v>340</v>
      </c>
      <c r="CR5" s="23" t="str">
        <f t="shared" si="51"/>
        <v>Public lvlArr As String</v>
      </c>
      <c r="CS5" s="23" t="str">
        <f t="shared" si="52"/>
        <v>lvlArr = "D"</v>
      </c>
      <c r="CT5" s="23" t="str">
        <f t="shared" si="53"/>
        <v>lvlArr = "ARR LVL FLAG"</v>
      </c>
      <c r="CU5" s="23" t="str">
        <f t="shared" si="54"/>
        <v>Public lvlArr As String</v>
      </c>
      <c r="CV5" s="23" t="str">
        <f t="shared" si="55"/>
        <v>lvlArr = "lvlArr"</v>
      </c>
      <c r="CW5" s="23" t="str">
        <f t="shared" si="56"/>
        <v>a.lvlArr= assign(ac.lvlArr, i)</v>
      </c>
      <c r="CX5" s="23" t="str">
        <f t="shared" si="57"/>
        <v>Call store(ac.lvlArr, row, a.lvlArr)</v>
      </c>
      <c r="DC5" s="26" t="s">
        <v>413</v>
      </c>
      <c r="DD5" s="23" t="s">
        <v>45</v>
      </c>
      <c r="DE5" t="s">
        <v>403</v>
      </c>
      <c r="DI5" s="23" t="str">
        <f t="shared" si="58"/>
        <v>Public idScen As String</v>
      </c>
      <c r="DJ5" s="23" t="str">
        <f t="shared" si="59"/>
        <v>idScen = "D"</v>
      </c>
      <c r="DK5" s="23" t="str">
        <f t="shared" si="60"/>
        <v>idScen = "Scenario ID"</v>
      </c>
      <c r="DL5" s="23" t="str">
        <f t="shared" si="61"/>
        <v>Public idScen As String</v>
      </c>
      <c r="DM5" s="23" t="str">
        <f t="shared" si="62"/>
        <v>idScen = "idScen"</v>
      </c>
      <c r="DN5" s="23" t="str">
        <f t="shared" si="63"/>
        <v>a.idScen= assign(ac.idScen, i)</v>
      </c>
      <c r="DO5" s="23" t="str">
        <f t="shared" si="64"/>
        <v>Call store(ac.idScen, row, a.idScen)</v>
      </c>
    </row>
    <row r="6" spans="1:122" ht="13.8" x14ac:dyDescent="0.25">
      <c r="A6">
        <v>69</v>
      </c>
      <c r="B6" t="str">
        <f t="shared" si="17"/>
        <v>E</v>
      </c>
      <c r="C6" t="s">
        <v>177</v>
      </c>
      <c r="E6" s="26" t="s">
        <v>367</v>
      </c>
      <c r="F6" s="27" t="s">
        <v>45</v>
      </c>
      <c r="G6" s="32" t="str">
        <f t="shared" si="0"/>
        <v>idSLR</v>
      </c>
      <c r="H6" s="27" t="s">
        <v>352</v>
      </c>
      <c r="J6" s="24" t="s">
        <v>213</v>
      </c>
      <c r="K6" s="23" t="str">
        <f t="shared" si="18"/>
        <v>Public idSLR As String</v>
      </c>
      <c r="L6" s="23" t="str">
        <f t="shared" si="19"/>
        <v>idSLR = "E"</v>
      </c>
      <c r="M6" s="23" t="str">
        <f t="shared" si="20"/>
        <v>idSLR = "ACCT SUBLDGR TYPE CODE"</v>
      </c>
      <c r="N6" s="23" t="str">
        <f t="shared" si="21"/>
        <v>Public idSLR As String</v>
      </c>
      <c r="O6" s="23" t="str">
        <f t="shared" si="22"/>
        <v>idSLR = "idSLR"</v>
      </c>
      <c r="P6" s="23" t="str">
        <f t="shared" si="23"/>
        <v>a.idSLR= assign(ac.idSLR, i)</v>
      </c>
      <c r="Q6" s="23" t="str">
        <f t="shared" si="24"/>
        <v>Call store(ac.idSLR, row, a.idSLR)</v>
      </c>
      <c r="U6" s="5" t="s">
        <v>8</v>
      </c>
      <c r="V6" t="s">
        <v>45</v>
      </c>
      <c r="W6" t="s">
        <v>2</v>
      </c>
      <c r="Z6" t="str">
        <f t="shared" si="25"/>
        <v>Public CCY As String</v>
      </c>
      <c r="AA6" t="str">
        <f t="shared" si="26"/>
        <v>CCY = "E"</v>
      </c>
      <c r="AB6" t="str">
        <f t="shared" si="27"/>
        <v>CCY = "Currency"</v>
      </c>
      <c r="AC6" t="str">
        <f t="shared" si="28"/>
        <v>Public CCY As String</v>
      </c>
      <c r="AD6" t="str">
        <f t="shared" si="29"/>
        <v>CCY = "CCY"</v>
      </c>
      <c r="AE6" t="str">
        <f t="shared" si="30"/>
        <v>e.CCY = assign(ec.CCY, i)</v>
      </c>
      <c r="AF6" t="str">
        <f t="shared" si="31"/>
        <v>Call store(ec.CCY, row, var.CCY)</v>
      </c>
      <c r="AK6" t="s">
        <v>91</v>
      </c>
      <c r="AL6" s="2" t="s">
        <v>147</v>
      </c>
      <c r="AS6" s="18" t="s">
        <v>197</v>
      </c>
      <c r="AT6" s="18" t="s">
        <v>45</v>
      </c>
      <c r="AU6" s="19" t="s">
        <v>183</v>
      </c>
      <c r="AW6" s="18" t="str">
        <f t="shared" si="32"/>
        <v>Public instNbr As String</v>
      </c>
      <c r="AX6" s="18" t="str">
        <f t="shared" si="33"/>
        <v>instNbr = "E"</v>
      </c>
      <c r="AY6" s="18" t="str">
        <f t="shared" si="34"/>
        <v>instNbr = "Instrument Number"</v>
      </c>
      <c r="AZ6" s="18" t="str">
        <f t="shared" si="35"/>
        <v>Public instNbr As String</v>
      </c>
      <c r="BA6" s="18" t="str">
        <f t="shared" si="36"/>
        <v>instNbr = "instNbr"</v>
      </c>
      <c r="BB6" s="18" t="str">
        <f t="shared" si="37"/>
        <v>s.instNbr = assign(sc.instNbr, i)</v>
      </c>
      <c r="BC6" s="18" t="str">
        <f t="shared" si="38"/>
        <v>Call store(sc.instNbr, row, var.instNbr)</v>
      </c>
      <c r="BD6" s="18" t="str">
        <f t="shared" si="39"/>
        <v>s.instNbr = kod</v>
      </c>
      <c r="BH6" s="23" t="s">
        <v>197</v>
      </c>
      <c r="BI6" s="23" t="s">
        <v>45</v>
      </c>
      <c r="BJ6" s="19" t="s">
        <v>183</v>
      </c>
      <c r="BK6" s="23" t="str">
        <f t="shared" si="40"/>
        <v>E</v>
      </c>
      <c r="BL6" s="25" t="s">
        <v>248</v>
      </c>
      <c r="BM6" s="20" t="s">
        <v>2</v>
      </c>
      <c r="BN6" s="25" t="s">
        <v>275</v>
      </c>
      <c r="BO6" s="25" t="s">
        <v>301</v>
      </c>
      <c r="BP6" s="25" t="str">
        <f t="shared" si="41"/>
        <v>instnbr</v>
      </c>
      <c r="BQ6" s="23" t="str">
        <f t="shared" si="42"/>
        <v>instnbr = "E"</v>
      </c>
      <c r="BR6" s="23" t="str">
        <f t="shared" si="43"/>
        <v>Public instnbr As String</v>
      </c>
      <c r="BT6">
        <v>2</v>
      </c>
      <c r="BU6" t="s">
        <v>317</v>
      </c>
      <c r="BV6" s="23" t="s">
        <v>45</v>
      </c>
      <c r="BW6" s="23" t="s">
        <v>329</v>
      </c>
      <c r="CA6" s="23" t="str">
        <f t="shared" si="44"/>
        <v>Public res As String</v>
      </c>
      <c r="CB6" s="23" t="str">
        <f t="shared" si="45"/>
        <v>res = "E"</v>
      </c>
      <c r="CC6" s="23" t="str">
        <f t="shared" si="46"/>
        <v>res = "Result"</v>
      </c>
      <c r="CD6" s="23" t="str">
        <f t="shared" si="47"/>
        <v>Public res As String</v>
      </c>
      <c r="CE6" s="23" t="str">
        <f t="shared" si="48"/>
        <v>res = "res"</v>
      </c>
      <c r="CF6" s="23" t="str">
        <f t="shared" si="49"/>
        <v>a.res= assign(ac.res, i)</v>
      </c>
      <c r="CG6" s="23" t="str">
        <f t="shared" si="50"/>
        <v>Call store(ac.res, row, a.res)</v>
      </c>
      <c r="CL6" s="26" t="s">
        <v>357</v>
      </c>
      <c r="CM6" s="23" t="s">
        <v>45</v>
      </c>
      <c r="CN6" t="s">
        <v>341</v>
      </c>
      <c r="CR6" s="23" t="str">
        <f t="shared" si="51"/>
        <v>Public lvlAcc As String</v>
      </c>
      <c r="CS6" s="23" t="str">
        <f t="shared" si="52"/>
        <v>lvlAcc = "E"</v>
      </c>
      <c r="CT6" s="23" t="str">
        <f t="shared" si="53"/>
        <v>lvlAcc = "ACC LVL FLAG"</v>
      </c>
      <c r="CU6" s="23" t="str">
        <f t="shared" si="54"/>
        <v>Public lvlAcc As String</v>
      </c>
      <c r="CV6" s="23" t="str">
        <f t="shared" si="55"/>
        <v>lvlAcc = "lvlAcc"</v>
      </c>
      <c r="CW6" s="23" t="str">
        <f t="shared" si="56"/>
        <v>a.lvlAcc= assign(ac.lvlAcc, i)</v>
      </c>
      <c r="CX6" s="23" t="str">
        <f t="shared" si="57"/>
        <v>Call store(ac.lvlAcc, row, a.lvlAcc)</v>
      </c>
      <c r="DC6" s="26" t="s">
        <v>258</v>
      </c>
      <c r="DD6" s="23" t="s">
        <v>45</v>
      </c>
      <c r="DE6" t="s">
        <v>402</v>
      </c>
      <c r="DI6" s="23" t="str">
        <f t="shared" si="58"/>
        <v>Public codeQ As String</v>
      </c>
      <c r="DJ6" s="23" t="str">
        <f t="shared" si="59"/>
        <v>codeQ = "E"</v>
      </c>
      <c r="DK6" s="23" t="str">
        <f t="shared" si="60"/>
        <v>codeQ = "Q_CODE"</v>
      </c>
      <c r="DL6" s="23" t="str">
        <f t="shared" si="61"/>
        <v>Public codeQ As String</v>
      </c>
      <c r="DM6" s="23" t="str">
        <f t="shared" si="62"/>
        <v>codeQ = "codeQ"</v>
      </c>
      <c r="DN6" s="23" t="str">
        <f t="shared" si="63"/>
        <v>a.codeQ= assign(ac.codeQ, i)</v>
      </c>
      <c r="DO6" s="23" t="str">
        <f t="shared" si="64"/>
        <v>Call store(ac.codeQ, row, a.codeQ)</v>
      </c>
    </row>
    <row r="7" spans="1:122" ht="13.8" x14ac:dyDescent="0.25">
      <c r="A7">
        <v>70</v>
      </c>
      <c r="B7" t="str">
        <f t="shared" si="17"/>
        <v>F</v>
      </c>
      <c r="E7" s="26" t="s">
        <v>368</v>
      </c>
      <c r="F7" s="27" t="s">
        <v>45</v>
      </c>
      <c r="G7" s="32" t="str">
        <f t="shared" si="0"/>
        <v>idIBSC</v>
      </c>
      <c r="H7" s="27" t="s">
        <v>274</v>
      </c>
      <c r="J7" s="24"/>
      <c r="K7" s="23" t="str">
        <f t="shared" si="18"/>
        <v>Public idIBSC As String</v>
      </c>
      <c r="L7" s="23" t="str">
        <f t="shared" si="19"/>
        <v>idIBSC = "F"</v>
      </c>
      <c r="M7" s="23" t="str">
        <f t="shared" si="20"/>
        <v>idIBSC = "INST BUS SYS CODE"</v>
      </c>
      <c r="N7" s="23" t="str">
        <f t="shared" si="21"/>
        <v>Public idIBSC As String</v>
      </c>
      <c r="O7" s="23" t="str">
        <f t="shared" si="22"/>
        <v>idIBSC = "idIBSC"</v>
      </c>
      <c r="P7" s="23" t="str">
        <f t="shared" si="23"/>
        <v>a.idIBSC= assign(ac.idIBSC, i)</v>
      </c>
      <c r="Q7" s="23" t="str">
        <f t="shared" si="24"/>
        <v>Call store(ac.idIBSC, row, a.idIBSC)</v>
      </c>
      <c r="U7" s="5" t="s">
        <v>7</v>
      </c>
      <c r="V7" t="s">
        <v>46</v>
      </c>
      <c r="W7" t="s">
        <v>69</v>
      </c>
      <c r="Z7" t="str">
        <f t="shared" si="25"/>
        <v>Public hcCCY As Double</v>
      </c>
      <c r="AA7" t="str">
        <f t="shared" si="26"/>
        <v>hcCCY = "F"</v>
      </c>
      <c r="AB7" t="str">
        <f t="shared" si="27"/>
        <v>hcCCY = "Haircut"</v>
      </c>
      <c r="AC7" t="str">
        <f t="shared" si="28"/>
        <v>Public hcCCY As String</v>
      </c>
      <c r="AD7" t="str">
        <f t="shared" si="29"/>
        <v>hcCCY = "hcCCY"</v>
      </c>
      <c r="AE7" t="str">
        <f t="shared" si="30"/>
        <v>e.hcCCY = e.hcCCY + assign(ec.hcCCY, i)</v>
      </c>
      <c r="AF7" t="str">
        <f t="shared" si="31"/>
        <v>Call store(ec.hcCCY, row, var.hcCCY)</v>
      </c>
      <c r="AK7" t="s">
        <v>92</v>
      </c>
      <c r="AL7" t="s">
        <v>107</v>
      </c>
      <c r="AM7" t="s">
        <v>180</v>
      </c>
      <c r="AN7" t="str">
        <f>"tag"&amp;AM7</f>
        <v>tagNotConsumed</v>
      </c>
      <c r="AS7" t="s">
        <v>12</v>
      </c>
      <c r="AT7" t="s">
        <v>45</v>
      </c>
      <c r="AU7" t="s">
        <v>163</v>
      </c>
      <c r="AV7" s="23"/>
      <c r="AW7" s="18" t="str">
        <f t="shared" si="32"/>
        <v>Public expoCCY As String</v>
      </c>
      <c r="AX7" s="18" t="str">
        <f t="shared" si="33"/>
        <v>expoCCY = "F"</v>
      </c>
      <c r="AY7" s="18" t="str">
        <f t="shared" si="34"/>
        <v>expoCCY = "Expo CCY"</v>
      </c>
      <c r="AZ7" s="18" t="str">
        <f t="shared" si="35"/>
        <v>Public expoCCY As String</v>
      </c>
      <c r="BA7" s="18" t="str">
        <f t="shared" si="36"/>
        <v>expoCCY = "expoCCY"</v>
      </c>
      <c r="BB7" s="18" t="str">
        <f t="shared" si="37"/>
        <v>s.expoCCY = assign(sc.expoCCY, i)</v>
      </c>
      <c r="BC7" s="18" t="str">
        <f t="shared" si="38"/>
        <v>Call store(sc.expoCCY, row, var.expoCCY)</v>
      </c>
      <c r="BD7" s="18" t="str">
        <f t="shared" si="39"/>
        <v>s.expoCCY = kod</v>
      </c>
      <c r="BH7" s="23" t="s">
        <v>12</v>
      </c>
      <c r="BI7" s="23" t="s">
        <v>45</v>
      </c>
      <c r="BJ7" s="23" t="s">
        <v>163</v>
      </c>
      <c r="BK7" s="23" t="str">
        <f t="shared" si="40"/>
        <v>F</v>
      </c>
      <c r="BL7" s="25" t="s">
        <v>249</v>
      </c>
      <c r="BM7" s="20" t="s">
        <v>266</v>
      </c>
      <c r="BN7" s="25" t="s">
        <v>276</v>
      </c>
      <c r="BO7" s="25" t="s">
        <v>302</v>
      </c>
      <c r="BP7" s="25" t="str">
        <f t="shared" si="41"/>
        <v>expoccy</v>
      </c>
      <c r="BQ7" s="23" t="str">
        <f t="shared" si="42"/>
        <v>expoccy = "F"</v>
      </c>
      <c r="BR7" s="23" t="str">
        <f t="shared" si="43"/>
        <v>Public expoccy As String</v>
      </c>
      <c r="BT7">
        <v>3</v>
      </c>
      <c r="BU7" s="23" t="s">
        <v>240</v>
      </c>
      <c r="BV7" s="23" t="s">
        <v>8</v>
      </c>
      <c r="BW7" s="23" t="s">
        <v>185</v>
      </c>
      <c r="CA7" s="23" t="str">
        <f t="shared" si="44"/>
        <v>Public PERC As Currency</v>
      </c>
      <c r="CB7" s="23" t="str">
        <f t="shared" si="45"/>
        <v>PERC = "F"</v>
      </c>
      <c r="CC7" s="23" t="str">
        <f t="shared" si="46"/>
        <v>PERC = "Total Purpose Exposure remaining"</v>
      </c>
      <c r="CD7" s="23" t="str">
        <f t="shared" si="47"/>
        <v>Public PERC As String</v>
      </c>
      <c r="CE7" s="23" t="str">
        <f t="shared" si="48"/>
        <v>PERC = "PERC"</v>
      </c>
      <c r="CF7" s="23" t="str">
        <f t="shared" si="49"/>
        <v>a.PERC= assign(ac.PERC, i)</v>
      </c>
      <c r="CG7" s="23" t="str">
        <f t="shared" si="50"/>
        <v>Call store(ac.PERC, row, a.PERC)</v>
      </c>
      <c r="CL7" s="26" t="s">
        <v>358</v>
      </c>
      <c r="CM7" s="23" t="s">
        <v>45</v>
      </c>
      <c r="CN7" t="s">
        <v>342</v>
      </c>
      <c r="CR7" s="23" t="str">
        <f t="shared" si="51"/>
        <v>Public lvlPos As String</v>
      </c>
      <c r="CS7" s="23" t="str">
        <f t="shared" si="52"/>
        <v>lvlPos = "F"</v>
      </c>
      <c r="CT7" s="23" t="str">
        <f t="shared" si="53"/>
        <v>lvlPos = "POS LVL FLAG"</v>
      </c>
      <c r="CU7" s="23" t="str">
        <f t="shared" si="54"/>
        <v>Public lvlPos As String</v>
      </c>
      <c r="CV7" s="23" t="str">
        <f t="shared" si="55"/>
        <v>lvlPos = "lvlPos"</v>
      </c>
      <c r="CW7" s="23" t="str">
        <f t="shared" si="56"/>
        <v>a.lvlPos= assign(ac.lvlPos, i)</v>
      </c>
      <c r="CX7" s="23" t="str">
        <f t="shared" si="57"/>
        <v>Call store(ac.lvlPos, row, a.lvlPos)</v>
      </c>
      <c r="DC7" s="26" t="s">
        <v>185</v>
      </c>
      <c r="DD7" s="23" t="s">
        <v>46</v>
      </c>
      <c r="DE7" s="23" t="s">
        <v>185</v>
      </c>
      <c r="DI7" s="23" t="str">
        <f t="shared" si="58"/>
        <v>Public PERC As Double</v>
      </c>
      <c r="DJ7" s="23" t="str">
        <f t="shared" si="59"/>
        <v>PERC = "F"</v>
      </c>
      <c r="DK7" s="23" t="str">
        <f t="shared" si="60"/>
        <v>PERC = "PERC"</v>
      </c>
      <c r="DL7" s="23" t="str">
        <f t="shared" si="61"/>
        <v>Public PERC As String</v>
      </c>
      <c r="DM7" s="23" t="str">
        <f t="shared" si="62"/>
        <v>PERC = "PERC"</v>
      </c>
      <c r="DN7" s="23" t="str">
        <f t="shared" si="63"/>
        <v>a.PERC= assign(ac.PERC, i)</v>
      </c>
      <c r="DO7" s="23" t="str">
        <f t="shared" si="64"/>
        <v>Call store(ac.PERC, row, a.PERC)</v>
      </c>
    </row>
    <row r="8" spans="1:122" ht="13.8" x14ac:dyDescent="0.25">
      <c r="A8">
        <v>71</v>
      </c>
      <c r="B8" t="str">
        <f t="shared" si="17"/>
        <v>G</v>
      </c>
      <c r="E8" s="11" t="s">
        <v>115</v>
      </c>
      <c r="F8" t="s">
        <v>45</v>
      </c>
      <c r="G8" t="str">
        <f t="shared" si="0"/>
        <v>idINST</v>
      </c>
      <c r="H8" t="s">
        <v>118</v>
      </c>
      <c r="J8" s="24" t="s">
        <v>214</v>
      </c>
      <c r="K8" s="23" t="str">
        <f t="shared" si="18"/>
        <v>Public idINST As String</v>
      </c>
      <c r="L8" s="23" t="str">
        <f t="shared" si="19"/>
        <v>idINST = "G"</v>
      </c>
      <c r="M8" s="23" t="str">
        <f t="shared" si="20"/>
        <v>idINST = "INST_UNIQUI_ID"</v>
      </c>
      <c r="N8" s="23" t="str">
        <f t="shared" si="21"/>
        <v>Public idINST As String</v>
      </c>
      <c r="O8" s="23" t="str">
        <f t="shared" si="22"/>
        <v>idINST = "idINST"</v>
      </c>
      <c r="P8" s="23" t="str">
        <f t="shared" si="23"/>
        <v>a.idINST= assign(ac.idINST, i)</v>
      </c>
      <c r="Q8" s="23" t="str">
        <f t="shared" si="24"/>
        <v>Call store(ac.idINST, row, a.idINST)</v>
      </c>
      <c r="U8" s="5" t="s">
        <v>51</v>
      </c>
      <c r="V8" s="22" t="s">
        <v>8</v>
      </c>
      <c r="W8" t="s">
        <v>82</v>
      </c>
      <c r="Z8" t="str">
        <f t="shared" si="25"/>
        <v>Public expoAmt As Currency</v>
      </c>
      <c r="AA8" t="str">
        <f t="shared" si="26"/>
        <v>expoAmt = "G"</v>
      </c>
      <c r="AB8" t="str">
        <f t="shared" si="27"/>
        <v>expoAmt = "Exposure Amount"</v>
      </c>
      <c r="AC8" t="str">
        <f t="shared" si="28"/>
        <v>Public expoAmt As String</v>
      </c>
      <c r="AD8" t="str">
        <f t="shared" si="29"/>
        <v>expoAmt = "expoAmt"</v>
      </c>
      <c r="AE8" t="str">
        <f t="shared" si="30"/>
        <v>e.expoAmt = assign(ec.expoAmt, i)</v>
      </c>
      <c r="AF8" t="str">
        <f t="shared" si="31"/>
        <v>Call store(ec.expoAmt, row, var.expoAmt)</v>
      </c>
      <c r="AK8" t="s">
        <v>93</v>
      </c>
      <c r="AL8" t="s">
        <v>108</v>
      </c>
      <c r="AM8" t="s">
        <v>110</v>
      </c>
      <c r="AN8" s="18" t="str">
        <f t="shared" ref="AN8:AN14" si="65">"tag"&amp;AM8</f>
        <v>tagPartial</v>
      </c>
      <c r="AS8" t="s">
        <v>13</v>
      </c>
      <c r="AT8" t="s">
        <v>45</v>
      </c>
      <c r="AU8" t="s">
        <v>164</v>
      </c>
      <c r="AV8" s="23"/>
      <c r="AW8" s="18" t="str">
        <f t="shared" si="32"/>
        <v>Public asstCCY As String</v>
      </c>
      <c r="AX8" s="18" t="str">
        <f t="shared" si="33"/>
        <v>asstCCY = "G"</v>
      </c>
      <c r="AY8" s="18" t="str">
        <f t="shared" si="34"/>
        <v>asstCCY = "Asset CCY"</v>
      </c>
      <c r="AZ8" s="18" t="str">
        <f t="shared" si="35"/>
        <v>Public asstCCY As String</v>
      </c>
      <c r="BA8" s="18" t="str">
        <f t="shared" si="36"/>
        <v>asstCCY = "asstCCY"</v>
      </c>
      <c r="BB8" s="18" t="str">
        <f t="shared" si="37"/>
        <v>s.asstCCY = assign(sc.asstCCY, i)</v>
      </c>
      <c r="BC8" s="18" t="str">
        <f t="shared" si="38"/>
        <v>Call store(sc.asstCCY, row, var.asstCCY)</v>
      </c>
      <c r="BD8" s="18" t="str">
        <f t="shared" si="39"/>
        <v>s.asstCCY = kod</v>
      </c>
      <c r="BH8" s="23" t="s">
        <v>13</v>
      </c>
      <c r="BI8" s="23" t="s">
        <v>45</v>
      </c>
      <c r="BJ8" s="23" t="s">
        <v>164</v>
      </c>
      <c r="BK8" s="23" t="str">
        <f t="shared" si="40"/>
        <v>G</v>
      </c>
      <c r="BL8" s="25" t="s">
        <v>250</v>
      </c>
      <c r="BM8" s="20" t="s">
        <v>267</v>
      </c>
      <c r="BN8" s="25" t="s">
        <v>277</v>
      </c>
      <c r="BO8" s="25" t="s">
        <v>303</v>
      </c>
      <c r="BP8" s="25" t="str">
        <f t="shared" si="41"/>
        <v>asstccy</v>
      </c>
      <c r="BQ8" s="23" t="str">
        <f t="shared" si="42"/>
        <v>asstccy = "G"</v>
      </c>
      <c r="BR8" s="23" t="str">
        <f t="shared" si="43"/>
        <v>Public asstccy As String</v>
      </c>
      <c r="BT8" s="23">
        <v>4</v>
      </c>
      <c r="BU8" s="23" t="s">
        <v>244</v>
      </c>
      <c r="BV8" s="23" t="s">
        <v>8</v>
      </c>
      <c r="BW8" s="23" t="s">
        <v>184</v>
      </c>
      <c r="CA8" s="23" t="str">
        <f t="shared" si="44"/>
        <v>Public NPERC As Currency</v>
      </c>
      <c r="CB8" s="23" t="str">
        <f t="shared" si="45"/>
        <v>NPERC = "G"</v>
      </c>
      <c r="CC8" s="23" t="str">
        <f t="shared" si="46"/>
        <v>NPERC = "Total Non Purpose Exposure remaining"</v>
      </c>
      <c r="CD8" s="23" t="str">
        <f t="shared" si="47"/>
        <v>Public NPERC As String</v>
      </c>
      <c r="CE8" s="23" t="str">
        <f t="shared" si="48"/>
        <v>NPERC = "NPERC"</v>
      </c>
      <c r="CF8" s="23" t="str">
        <f t="shared" si="49"/>
        <v>a.NPERC= assign(ac.NPERC, i)</v>
      </c>
      <c r="CG8" s="23" t="str">
        <f t="shared" si="50"/>
        <v>Call store(ac.NPERC, row, a.NPERC)</v>
      </c>
      <c r="CL8" s="26" t="s">
        <v>359</v>
      </c>
      <c r="CM8" s="23" t="s">
        <v>46</v>
      </c>
      <c r="CN8" t="s">
        <v>346</v>
      </c>
      <c r="CR8" s="23" t="str">
        <f t="shared" si="51"/>
        <v>Public maxPct As Double</v>
      </c>
      <c r="CS8" s="23" t="str">
        <f t="shared" si="52"/>
        <v>maxPct = "G"</v>
      </c>
      <c r="CT8" s="23" t="str">
        <f t="shared" si="53"/>
        <v>maxPct = "MAX PERCENTAGE"</v>
      </c>
      <c r="CU8" s="23" t="str">
        <f t="shared" si="54"/>
        <v>Public maxPct As String</v>
      </c>
      <c r="CV8" s="23" t="str">
        <f t="shared" si="55"/>
        <v>maxPct = "maxPct"</v>
      </c>
      <c r="CW8" s="23" t="str">
        <f t="shared" si="56"/>
        <v>a.maxPct= assign(ac.maxPct, i)</v>
      </c>
      <c r="CX8" s="23" t="str">
        <f t="shared" si="57"/>
        <v>Call store(ac.maxPct, row, a.maxPct)</v>
      </c>
      <c r="DC8" s="26" t="s">
        <v>184</v>
      </c>
      <c r="DD8" s="23" t="s">
        <v>46</v>
      </c>
      <c r="DE8" s="23" t="s">
        <v>184</v>
      </c>
      <c r="DI8" s="23" t="str">
        <f t="shared" si="58"/>
        <v>Public NPERC As Double</v>
      </c>
      <c r="DJ8" s="23" t="str">
        <f t="shared" si="59"/>
        <v>NPERC = "G"</v>
      </c>
      <c r="DK8" s="23" t="str">
        <f t="shared" si="60"/>
        <v>NPERC = "NPERC"</v>
      </c>
      <c r="DL8" s="23" t="str">
        <f t="shared" si="61"/>
        <v>Public NPERC As String</v>
      </c>
      <c r="DM8" s="23" t="str">
        <f t="shared" si="62"/>
        <v>NPERC = "NPERC"</v>
      </c>
      <c r="DN8" s="23" t="str">
        <f t="shared" si="63"/>
        <v>a.NPERC= assign(ac.NPERC, i)</v>
      </c>
      <c r="DO8" s="23" t="str">
        <f t="shared" si="64"/>
        <v>Call store(ac.NPERC, row, a.NPERC)</v>
      </c>
    </row>
    <row r="9" spans="1:122" ht="13.8" x14ac:dyDescent="0.25">
      <c r="A9">
        <v>72</v>
      </c>
      <c r="B9" t="str">
        <f t="shared" si="17"/>
        <v>H</v>
      </c>
      <c r="C9" t="s">
        <v>177</v>
      </c>
      <c r="E9" s="4" t="s">
        <v>17</v>
      </c>
      <c r="F9" t="s">
        <v>45</v>
      </c>
      <c r="G9" t="s">
        <v>53</v>
      </c>
      <c r="J9" s="24" t="s">
        <v>215</v>
      </c>
      <c r="K9" s="23" t="str">
        <f t="shared" si="18"/>
        <v>Public posDesc As String</v>
      </c>
      <c r="L9" s="23" t="str">
        <f t="shared" si="19"/>
        <v>posDesc = "H"</v>
      </c>
      <c r="M9" s="23" t="str">
        <f t="shared" si="20"/>
        <v>posDesc = "Position Description"</v>
      </c>
      <c r="N9" s="23" t="str">
        <f t="shared" si="21"/>
        <v>Public posDesc As String</v>
      </c>
      <c r="O9" s="23" t="str">
        <f t="shared" si="22"/>
        <v>posDesc = "posDesc"</v>
      </c>
      <c r="P9" s="23" t="str">
        <f t="shared" si="23"/>
        <v>a.posDesc= assign(ac.posDesc, i)</v>
      </c>
      <c r="Q9" s="23" t="str">
        <f t="shared" si="24"/>
        <v>Call store(ac.posDesc, row, a.posDesc)</v>
      </c>
      <c r="U9" s="7" t="s">
        <v>140</v>
      </c>
      <c r="V9" t="s">
        <v>46</v>
      </c>
      <c r="W9" t="str">
        <f>$AN3&amp;X9</f>
        <v>hcOverrideFAC</v>
      </c>
      <c r="X9" t="s">
        <v>104</v>
      </c>
      <c r="Z9" t="str">
        <f t="shared" si="25"/>
        <v>Public hcOverrideFAC As Double</v>
      </c>
      <c r="AA9" t="str">
        <f t="shared" si="26"/>
        <v>hcOverrideFAC = "H"</v>
      </c>
      <c r="AB9" t="str">
        <f t="shared" si="27"/>
        <v>hcOverrideFAC = "FAC Haircut Override"</v>
      </c>
      <c r="AC9" t="str">
        <f t="shared" si="28"/>
        <v>Public hcOverrideFAC As String</v>
      </c>
      <c r="AD9" t="str">
        <f t="shared" si="29"/>
        <v>hcOverrideFAC = "hcOverrideFAC"</v>
      </c>
      <c r="AE9" t="str">
        <f t="shared" si="30"/>
        <v>e.hcOverrideFAC = e.hcOverrideFAC + assign(ec.hcOverrideFAC, i)</v>
      </c>
      <c r="AF9" t="str">
        <f t="shared" si="31"/>
        <v>Call store(ec.hcOverrideFAC, row, var.hcOverrideFAC)</v>
      </c>
      <c r="AK9" t="s">
        <v>94</v>
      </c>
      <c r="AL9" s="17" t="s">
        <v>109</v>
      </c>
      <c r="AM9" s="17" t="s">
        <v>131</v>
      </c>
      <c r="AN9" s="18" t="str">
        <f t="shared" si="65"/>
        <v>tagSplit</v>
      </c>
      <c r="AS9" t="s">
        <v>145</v>
      </c>
      <c r="AT9" t="s">
        <v>45</v>
      </c>
      <c r="AU9" t="s">
        <v>78</v>
      </c>
      <c r="AV9" s="23"/>
      <c r="AW9" s="18" t="str">
        <f t="shared" si="32"/>
        <v>Public expoType As String</v>
      </c>
      <c r="AX9" s="18" t="str">
        <f t="shared" si="33"/>
        <v>expoType = "H"</v>
      </c>
      <c r="AY9" s="18" t="str">
        <f t="shared" si="34"/>
        <v>expoType = "Expo Type"</v>
      </c>
      <c r="AZ9" s="18" t="str">
        <f t="shared" si="35"/>
        <v>Public expoType As String</v>
      </c>
      <c r="BA9" s="18" t="str">
        <f t="shared" si="36"/>
        <v>expoType = "expoType"</v>
      </c>
      <c r="BB9" s="18" t="str">
        <f t="shared" si="37"/>
        <v>s.expoType = assign(sc.expoType, i)</v>
      </c>
      <c r="BC9" s="18" t="str">
        <f t="shared" si="38"/>
        <v>Call store(sc.expoType, row, var.expoType)</v>
      </c>
      <c r="BD9" s="18" t="str">
        <f t="shared" si="39"/>
        <v>s.expoType = kod</v>
      </c>
      <c r="BH9" s="23" t="s">
        <v>145</v>
      </c>
      <c r="BI9" s="23" t="s">
        <v>45</v>
      </c>
      <c r="BJ9" s="23" t="s">
        <v>78</v>
      </c>
      <c r="BK9" s="23" t="str">
        <f t="shared" si="40"/>
        <v>H</v>
      </c>
      <c r="BL9" s="25" t="s">
        <v>251</v>
      </c>
      <c r="BM9" s="25" t="s">
        <v>268</v>
      </c>
      <c r="BN9" s="25" t="s">
        <v>278</v>
      </c>
      <c r="BO9" s="25" t="s">
        <v>304</v>
      </c>
      <c r="BP9" s="25" t="str">
        <f t="shared" si="41"/>
        <v>expotype</v>
      </c>
      <c r="BQ9" s="23" t="str">
        <f t="shared" si="42"/>
        <v>expotype = "H"</v>
      </c>
      <c r="BR9" s="23" t="str">
        <f t="shared" si="43"/>
        <v>Public expotype As String</v>
      </c>
      <c r="BT9" s="23">
        <v>5</v>
      </c>
      <c r="BU9" s="23" t="s">
        <v>35</v>
      </c>
      <c r="BV9" s="23" t="s">
        <v>8</v>
      </c>
      <c r="BW9" s="23" t="s">
        <v>67</v>
      </c>
      <c r="CA9" s="23" t="str">
        <f t="shared" si="44"/>
        <v>Public PBA As Currency</v>
      </c>
      <c r="CB9" s="23" t="str">
        <f t="shared" si="45"/>
        <v>PBA = "H"</v>
      </c>
      <c r="CC9" s="23" t="str">
        <f t="shared" si="46"/>
        <v>PBA = "Purpose Borrowing Availability"</v>
      </c>
      <c r="CD9" s="23" t="str">
        <f t="shared" si="47"/>
        <v>Public PBA As String</v>
      </c>
      <c r="CE9" s="23" t="str">
        <f t="shared" si="48"/>
        <v>PBA = "PBA"</v>
      </c>
      <c r="CF9" s="23" t="str">
        <f t="shared" si="49"/>
        <v>a.PBA= assign(ac.PBA, i)</v>
      </c>
      <c r="CG9" s="23" t="str">
        <f t="shared" si="50"/>
        <v>Call store(ac.PBA, row, a.PBA)</v>
      </c>
      <c r="CL9" s="26" t="s">
        <v>360</v>
      </c>
      <c r="CM9" s="23" t="s">
        <v>46</v>
      </c>
      <c r="CN9" t="s">
        <v>347</v>
      </c>
      <c r="CR9" s="23" t="str">
        <f t="shared" si="51"/>
        <v>Public maxShr As Double</v>
      </c>
      <c r="CS9" s="23" t="str">
        <f t="shared" si="52"/>
        <v>maxShr = "H"</v>
      </c>
      <c r="CT9" s="23" t="str">
        <f t="shared" si="53"/>
        <v>maxShr = "MAX SHARES"</v>
      </c>
      <c r="CU9" s="23" t="str">
        <f t="shared" si="54"/>
        <v>Public maxShr As String</v>
      </c>
      <c r="CV9" s="23" t="str">
        <f t="shared" si="55"/>
        <v>maxShr = "maxShr"</v>
      </c>
      <c r="CW9" s="23" t="str">
        <f t="shared" si="56"/>
        <v>a.maxShr= assign(ac.maxShr, i)</v>
      </c>
      <c r="CX9" s="23" t="str">
        <f t="shared" si="57"/>
        <v>Call store(ac.maxShr, row, a.maxShr)</v>
      </c>
      <c r="DC9" s="26" t="s">
        <v>423</v>
      </c>
      <c r="DD9" s="23" t="s">
        <v>46</v>
      </c>
      <c r="DE9" t="s">
        <v>395</v>
      </c>
      <c r="DI9" s="23" t="str">
        <f t="shared" si="58"/>
        <v>Public availP As Double</v>
      </c>
      <c r="DJ9" s="23" t="str">
        <f t="shared" si="59"/>
        <v>availP = "H"</v>
      </c>
      <c r="DK9" s="23" t="str">
        <f t="shared" si="60"/>
        <v>availP = "PB Availab"</v>
      </c>
      <c r="DL9" s="23" t="str">
        <f t="shared" si="61"/>
        <v>Public availP As String</v>
      </c>
      <c r="DM9" s="23" t="str">
        <f t="shared" si="62"/>
        <v>availP = "availP"</v>
      </c>
      <c r="DN9" s="23" t="str">
        <f t="shared" si="63"/>
        <v>a.availP= assign(ac.availP, i)</v>
      </c>
      <c r="DO9" s="23" t="str">
        <f t="shared" si="64"/>
        <v>Call store(ac.availP, row, a.availP)</v>
      </c>
    </row>
    <row r="10" spans="1:122" ht="13.8" x14ac:dyDescent="0.25">
      <c r="A10">
        <v>73</v>
      </c>
      <c r="B10" t="str">
        <f t="shared" si="17"/>
        <v>I</v>
      </c>
      <c r="E10" s="4" t="s">
        <v>18</v>
      </c>
      <c r="F10" t="s">
        <v>45</v>
      </c>
      <c r="G10" t="s">
        <v>54</v>
      </c>
      <c r="J10" s="24" t="s">
        <v>216</v>
      </c>
      <c r="K10" s="23" t="str">
        <f t="shared" si="18"/>
        <v>Public asstClass As String</v>
      </c>
      <c r="L10" s="23" t="str">
        <f t="shared" si="19"/>
        <v>asstClass = "I"</v>
      </c>
      <c r="M10" s="23" t="str">
        <f t="shared" si="20"/>
        <v>asstClass = "Asset Class"</v>
      </c>
      <c r="N10" s="23" t="str">
        <f t="shared" si="21"/>
        <v>Public asstClass As String</v>
      </c>
      <c r="O10" s="23" t="str">
        <f t="shared" si="22"/>
        <v>asstClass = "asstClass"</v>
      </c>
      <c r="P10" s="23" t="str">
        <f t="shared" si="23"/>
        <v>a.asstClass= assign(ac.asstClass, i)</v>
      </c>
      <c r="Q10" s="23" t="str">
        <f t="shared" si="24"/>
        <v>Call store(ac.asstClass, row, a.asstClass)</v>
      </c>
      <c r="U10" s="12" t="s">
        <v>141</v>
      </c>
      <c r="V10" t="s">
        <v>106</v>
      </c>
      <c r="W10" t="str">
        <f>$AN4&amp;X10</f>
        <v>hcExpiryFAC</v>
      </c>
      <c r="X10" t="s">
        <v>104</v>
      </c>
      <c r="Z10" t="str">
        <f t="shared" si="25"/>
        <v>Public hcExpiryFAC As Date</v>
      </c>
      <c r="AA10" t="str">
        <f t="shared" si="26"/>
        <v>hcExpiryFAC = "I"</v>
      </c>
      <c r="AB10" t="str">
        <f t="shared" si="27"/>
        <v>hcExpiryFAC = "FAC Haircut Override Expiry Date"</v>
      </c>
      <c r="AC10" t="str">
        <f t="shared" si="28"/>
        <v>Public hcExpiryFAC As String</v>
      </c>
      <c r="AD10" t="str">
        <f t="shared" si="29"/>
        <v>hcExpiryFAC = "hcExpiryFAC"</v>
      </c>
      <c r="AE10" t="str">
        <f t="shared" si="30"/>
        <v>e.hcExpiryFAC = assign(ec.hcExpiryFAC, i)</v>
      </c>
      <c r="AF10" t="str">
        <f t="shared" si="31"/>
        <v>Call store(ec.hcExpiryFAC, row, var.hcExpiryFAC)</v>
      </c>
      <c r="AK10" t="s">
        <v>95</v>
      </c>
      <c r="AL10" t="s">
        <v>155</v>
      </c>
      <c r="AM10" t="s">
        <v>156</v>
      </c>
      <c r="AN10" s="18" t="str">
        <f t="shared" si="65"/>
        <v>tagConsumed</v>
      </c>
      <c r="AS10" t="s">
        <v>146</v>
      </c>
      <c r="AT10" t="s">
        <v>45</v>
      </c>
      <c r="AU10" t="s">
        <v>79</v>
      </c>
      <c r="AV10" s="23"/>
      <c r="AW10" s="18" t="str">
        <f t="shared" si="32"/>
        <v>Public asstType As String</v>
      </c>
      <c r="AX10" s="18" t="str">
        <f t="shared" si="33"/>
        <v>asstType = "I"</v>
      </c>
      <c r="AY10" s="18" t="str">
        <f t="shared" si="34"/>
        <v>asstType = "Asst Type"</v>
      </c>
      <c r="AZ10" s="18" t="str">
        <f t="shared" si="35"/>
        <v>Public asstType As String</v>
      </c>
      <c r="BA10" s="18" t="str">
        <f t="shared" si="36"/>
        <v>asstType = "asstType"</v>
      </c>
      <c r="BB10" s="18" t="str">
        <f t="shared" si="37"/>
        <v>s.asstType = assign(sc.asstType, i)</v>
      </c>
      <c r="BC10" s="18" t="str">
        <f t="shared" si="38"/>
        <v>Call store(sc.asstType, row, var.asstType)</v>
      </c>
      <c r="BD10" s="18" t="str">
        <f t="shared" si="39"/>
        <v>s.asstType = kod</v>
      </c>
      <c r="BH10" s="23" t="s">
        <v>146</v>
      </c>
      <c r="BI10" s="23" t="s">
        <v>45</v>
      </c>
      <c r="BJ10" s="23" t="s">
        <v>79</v>
      </c>
      <c r="BK10" s="23" t="str">
        <f t="shared" si="40"/>
        <v>I</v>
      </c>
      <c r="BL10" s="25" t="s">
        <v>252</v>
      </c>
      <c r="BM10" s="25" t="s">
        <v>269</v>
      </c>
      <c r="BN10" s="25" t="s">
        <v>2</v>
      </c>
      <c r="BO10" s="25" t="s">
        <v>278</v>
      </c>
      <c r="BP10" s="25" t="str">
        <f t="shared" si="41"/>
        <v>assttype</v>
      </c>
      <c r="BQ10" s="23" t="str">
        <f t="shared" si="42"/>
        <v>assttype = "I"</v>
      </c>
      <c r="BR10" s="23" t="str">
        <f t="shared" si="43"/>
        <v>Public assttype As String</v>
      </c>
      <c r="BU10" s="23" t="s">
        <v>318</v>
      </c>
      <c r="BV10" s="23" t="s">
        <v>8</v>
      </c>
      <c r="BW10" t="s">
        <v>68</v>
      </c>
      <c r="CA10" s="23" t="str">
        <f t="shared" si="44"/>
        <v>Public NPBA As Currency</v>
      </c>
      <c r="CB10" s="23" t="str">
        <f t="shared" si="45"/>
        <v>NPBA = "I"</v>
      </c>
      <c r="CC10" s="23" t="str">
        <f t="shared" si="46"/>
        <v>NPBA = "Non Purpose Borrowing Availability"</v>
      </c>
      <c r="CD10" s="23" t="str">
        <f t="shared" si="47"/>
        <v>Public NPBA As String</v>
      </c>
      <c r="CE10" s="23" t="str">
        <f t="shared" si="48"/>
        <v>NPBA = "NPBA"</v>
      </c>
      <c r="CF10" s="23" t="str">
        <f t="shared" si="49"/>
        <v>a.NPBA= assign(ac.NPBA, i)</v>
      </c>
      <c r="CG10" s="23" t="str">
        <f t="shared" si="50"/>
        <v>Call store(ac.NPBA, row, a.NPBA)</v>
      </c>
      <c r="CL10" s="26" t="s">
        <v>361</v>
      </c>
      <c r="CM10" t="s">
        <v>46</v>
      </c>
      <c r="CN10" t="s">
        <v>348</v>
      </c>
      <c r="CR10" s="23" t="str">
        <f t="shared" si="51"/>
        <v>Public maxAmt As Double</v>
      </c>
      <c r="CS10" s="23" t="str">
        <f t="shared" si="52"/>
        <v>maxAmt = "I"</v>
      </c>
      <c r="CT10" s="23" t="str">
        <f t="shared" si="53"/>
        <v>maxAmt = "MAX AMOUNT"</v>
      </c>
      <c r="CU10" s="23" t="str">
        <f t="shared" si="54"/>
        <v>Public maxAmt As String</v>
      </c>
      <c r="CV10" s="23" t="str">
        <f t="shared" si="55"/>
        <v>maxAmt = "maxAmt"</v>
      </c>
      <c r="CW10" s="23" t="str">
        <f t="shared" si="56"/>
        <v>a.maxAmt= assign(ac.maxAmt, i)</v>
      </c>
      <c r="CX10" s="23" t="str">
        <f t="shared" si="57"/>
        <v>Call store(ac.maxAmt, row, a.maxAmt)</v>
      </c>
      <c r="DC10" s="26" t="s">
        <v>424</v>
      </c>
      <c r="DD10" s="23" t="s">
        <v>46</v>
      </c>
      <c r="DE10" t="s">
        <v>398</v>
      </c>
      <c r="DI10" s="23" t="str">
        <f t="shared" si="58"/>
        <v>Public availNP As Double</v>
      </c>
      <c r="DJ10" s="23" t="str">
        <f t="shared" si="59"/>
        <v>availNP = "I"</v>
      </c>
      <c r="DK10" s="23" t="str">
        <f t="shared" si="60"/>
        <v>availNP = "NPB Availab"</v>
      </c>
      <c r="DL10" s="23" t="str">
        <f t="shared" si="61"/>
        <v>Public availNP As String</v>
      </c>
      <c r="DM10" s="23" t="str">
        <f t="shared" si="62"/>
        <v>availNP = "availNP"</v>
      </c>
      <c r="DN10" s="23" t="str">
        <f t="shared" si="63"/>
        <v>a.availNP= assign(ac.availNP, i)</v>
      </c>
      <c r="DO10" s="23" t="str">
        <f t="shared" si="64"/>
        <v>Call store(ac.availNP, row, a.availNP)</v>
      </c>
    </row>
    <row r="11" spans="1:122" ht="13.8" x14ac:dyDescent="0.25">
      <c r="A11">
        <v>74</v>
      </c>
      <c r="B11" t="str">
        <f t="shared" si="17"/>
        <v>J</v>
      </c>
      <c r="E11" s="4" t="s">
        <v>19</v>
      </c>
      <c r="F11" t="s">
        <v>45</v>
      </c>
      <c r="G11" t="s">
        <v>79</v>
      </c>
      <c r="J11" s="24"/>
      <c r="K11" s="23" t="str">
        <f t="shared" si="18"/>
        <v>Public asstType As String</v>
      </c>
      <c r="L11" s="23" t="str">
        <f t="shared" si="19"/>
        <v>asstType = "J"</v>
      </c>
      <c r="M11" s="23" t="str">
        <f t="shared" si="20"/>
        <v>asstType = "Margin Stock Indicator"</v>
      </c>
      <c r="N11" s="23" t="str">
        <f t="shared" si="21"/>
        <v>Public asstType As String</v>
      </c>
      <c r="O11" s="23" t="str">
        <f t="shared" si="22"/>
        <v>asstType = "asstType"</v>
      </c>
      <c r="P11" s="23" t="str">
        <f t="shared" si="23"/>
        <v>a.asstType= assign(ac.asstType, i)</v>
      </c>
      <c r="Q11" s="23" t="str">
        <f t="shared" si="24"/>
        <v>Call store(ac.asstType, row, a.asstType)</v>
      </c>
      <c r="U11" s="7" t="s">
        <v>142</v>
      </c>
      <c r="V11" t="s">
        <v>105</v>
      </c>
      <c r="W11" t="str">
        <f>$AN5&amp;X11</f>
        <v>hcFlagFAC</v>
      </c>
      <c r="X11" t="s">
        <v>104</v>
      </c>
      <c r="Z11" t="str">
        <f t="shared" si="25"/>
        <v>Public hcFlagFAC As Boolean</v>
      </c>
      <c r="AA11" t="str">
        <f t="shared" si="26"/>
        <v>hcFlagFAC = "J"</v>
      </c>
      <c r="AB11" t="str">
        <f t="shared" si="27"/>
        <v>hcFlagFAC = "FAC Haircut On / Off"</v>
      </c>
      <c r="AC11" t="str">
        <f t="shared" si="28"/>
        <v>Public hcFlagFAC As String</v>
      </c>
      <c r="AD11" t="str">
        <f t="shared" si="29"/>
        <v>hcFlagFAC = "hcFlagFAC"</v>
      </c>
      <c r="AE11" t="str">
        <f t="shared" si="30"/>
        <v>e.hcFlagFAC = assign(ec.hcFlagFAC, i)</v>
      </c>
      <c r="AF11" t="str">
        <f t="shared" si="31"/>
        <v>Call store(ec.hcFlagFAC, row, var.hcFlagFAC)</v>
      </c>
      <c r="AL11" s="2" t="s">
        <v>148</v>
      </c>
      <c r="AN11" s="18" t="str">
        <f t="shared" si="65"/>
        <v>tag</v>
      </c>
      <c r="AS11" t="s">
        <v>51</v>
      </c>
      <c r="AT11" s="22" t="s">
        <v>8</v>
      </c>
      <c r="AU11" t="s">
        <v>82</v>
      </c>
      <c r="AV11" s="23"/>
      <c r="AW11" s="18" t="str">
        <f t="shared" si="32"/>
        <v>Public expoAmt As Currency</v>
      </c>
      <c r="AX11" s="18" t="str">
        <f t="shared" si="33"/>
        <v>expoAmt = "J"</v>
      </c>
      <c r="AY11" s="18" t="str">
        <f t="shared" si="34"/>
        <v>expoAmt = "Exposure Amount"</v>
      </c>
      <c r="AZ11" s="18" t="str">
        <f t="shared" si="35"/>
        <v>Public expoAmt As String</v>
      </c>
      <c r="BA11" s="18" t="str">
        <f t="shared" si="36"/>
        <v>expoAmt = "expoAmt"</v>
      </c>
      <c r="BB11" s="18" t="str">
        <f t="shared" si="37"/>
        <v>s.expoAmt = assign(sc.expoAmt, i)</v>
      </c>
      <c r="BC11" s="18" t="str">
        <f t="shared" si="38"/>
        <v>Call store(sc.expoAmt, row, var.expoAmt)</v>
      </c>
      <c r="BD11" s="18" t="str">
        <f t="shared" si="39"/>
        <v>s.expoAmt = kod</v>
      </c>
      <c r="BH11" s="23" t="s">
        <v>51</v>
      </c>
      <c r="BI11" s="23" t="s">
        <v>8</v>
      </c>
      <c r="BJ11" s="23" t="s">
        <v>82</v>
      </c>
      <c r="BK11" s="23" t="str">
        <f t="shared" si="40"/>
        <v>J</v>
      </c>
      <c r="BL11" s="25" t="s">
        <v>253</v>
      </c>
      <c r="BM11" s="25" t="s">
        <v>270</v>
      </c>
      <c r="BN11" s="25" t="s">
        <v>279</v>
      </c>
      <c r="BO11" s="25" t="s">
        <v>305</v>
      </c>
      <c r="BP11" s="25" t="str">
        <f t="shared" si="41"/>
        <v>expoamt</v>
      </c>
      <c r="BQ11" s="23" t="str">
        <f t="shared" si="42"/>
        <v>expoamt = "J"</v>
      </c>
      <c r="BR11" s="23" t="str">
        <f t="shared" si="43"/>
        <v>Public expoamt As String</v>
      </c>
      <c r="BU11" t="s">
        <v>319</v>
      </c>
      <c r="BV11" s="23" t="s">
        <v>45</v>
      </c>
      <c r="BW11" t="s">
        <v>330</v>
      </c>
      <c r="CA11" s="23" t="str">
        <f t="shared" si="44"/>
        <v>Public engStep As String</v>
      </c>
      <c r="CB11" s="23" t="str">
        <f t="shared" si="45"/>
        <v>engStep = "J"</v>
      </c>
      <c r="CC11" s="23" t="str">
        <f t="shared" si="46"/>
        <v>engStep = "Engine Step"</v>
      </c>
      <c r="CD11" s="23" t="str">
        <f t="shared" si="47"/>
        <v>Public engStep As String</v>
      </c>
      <c r="CE11" s="23" t="str">
        <f t="shared" si="48"/>
        <v>engStep = "engStep"</v>
      </c>
      <c r="CF11" s="23" t="str">
        <f t="shared" si="49"/>
        <v>a.engStep= assign(ac.engStep, i)</v>
      </c>
      <c r="CG11" s="23" t="str">
        <f t="shared" si="50"/>
        <v>Call store(ac.engStep, row, a.engStep)</v>
      </c>
      <c r="CL11" s="26" t="s">
        <v>362</v>
      </c>
      <c r="CM11" t="s">
        <v>106</v>
      </c>
      <c r="CN11" t="s">
        <v>349</v>
      </c>
      <c r="CR11" s="23" t="str">
        <f t="shared" si="51"/>
        <v>Public pldgExp As Date</v>
      </c>
      <c r="CS11" s="23" t="str">
        <f t="shared" si="52"/>
        <v>pldgExp = "J"</v>
      </c>
      <c r="CT11" s="23" t="str">
        <f t="shared" si="53"/>
        <v>pldgExp = "PLDG EXPIRY DATE"</v>
      </c>
      <c r="CU11" s="23" t="str">
        <f t="shared" si="54"/>
        <v>Public pldgExp As String</v>
      </c>
      <c r="CV11" s="23" t="str">
        <f t="shared" si="55"/>
        <v>pldgExp = "pldgExp"</v>
      </c>
      <c r="CW11" s="23" t="str">
        <f t="shared" si="56"/>
        <v>a.pldgExp= assign(ac.pldgExp, i)</v>
      </c>
      <c r="CX11" s="23" t="str">
        <f t="shared" si="57"/>
        <v>Call store(ac.pldgExp, row, a.pldgExp)</v>
      </c>
      <c r="DC11" s="26" t="s">
        <v>425</v>
      </c>
      <c r="DD11" s="23" t="s">
        <v>45</v>
      </c>
      <c r="DE11" t="s">
        <v>399</v>
      </c>
      <c r="DI11" s="23" t="str">
        <f t="shared" si="58"/>
        <v>Public statusP As String</v>
      </c>
      <c r="DJ11" s="23" t="str">
        <f t="shared" si="59"/>
        <v>statusP = "J"</v>
      </c>
      <c r="DK11" s="23" t="str">
        <f t="shared" si="60"/>
        <v>statusP = "PE_Status"</v>
      </c>
      <c r="DL11" s="23" t="str">
        <f t="shared" si="61"/>
        <v>Public statusP As String</v>
      </c>
      <c r="DM11" s="23" t="str">
        <f t="shared" si="62"/>
        <v>statusP = "statusP"</v>
      </c>
      <c r="DN11" s="23" t="str">
        <f t="shared" si="63"/>
        <v>a.statusP= assign(ac.statusP, i)</v>
      </c>
      <c r="DO11" s="23" t="str">
        <f t="shared" si="64"/>
        <v>Call store(ac.statusP, row, a.statusP)</v>
      </c>
    </row>
    <row r="12" spans="1:122" ht="13.8" x14ac:dyDescent="0.25">
      <c r="A12">
        <v>75</v>
      </c>
      <c r="B12" t="str">
        <f t="shared" si="17"/>
        <v>K</v>
      </c>
      <c r="E12" s="4" t="s">
        <v>8</v>
      </c>
      <c r="F12" t="s">
        <v>45</v>
      </c>
      <c r="G12" t="s">
        <v>2</v>
      </c>
      <c r="J12" s="24" t="s">
        <v>217</v>
      </c>
      <c r="K12" s="23" t="str">
        <f t="shared" si="18"/>
        <v>Public CCY As String</v>
      </c>
      <c r="L12" s="23" t="str">
        <f t="shared" si="19"/>
        <v>CCY = "K"</v>
      </c>
      <c r="M12" s="23" t="str">
        <f t="shared" si="20"/>
        <v>CCY = "Currency"</v>
      </c>
      <c r="N12" s="23" t="str">
        <f t="shared" si="21"/>
        <v>Public CCY As String</v>
      </c>
      <c r="O12" s="23" t="str">
        <f t="shared" si="22"/>
        <v>CCY = "CCY"</v>
      </c>
      <c r="P12" s="23" t="str">
        <f t="shared" si="23"/>
        <v>a.CCY= assign(ac.CCY, i)</v>
      </c>
      <c r="Q12" s="23" t="str">
        <f t="shared" si="24"/>
        <v>Call store(ac.CCY, row, a.CCY)</v>
      </c>
      <c r="U12" s="6" t="s">
        <v>14</v>
      </c>
      <c r="V12" t="s">
        <v>47</v>
      </c>
      <c r="W12" t="s">
        <v>77</v>
      </c>
      <c r="Z12" t="str">
        <f t="shared" si="25"/>
        <v>Public expoGroup As Long</v>
      </c>
      <c r="AA12" t="str">
        <f t="shared" si="26"/>
        <v>expoGroup = "K"</v>
      </c>
      <c r="AB12" t="str">
        <f t="shared" si="27"/>
        <v>expoGroup = "Group"</v>
      </c>
      <c r="AC12" t="str">
        <f t="shared" si="28"/>
        <v>Public expoGroup As String</v>
      </c>
      <c r="AD12" t="str">
        <f t="shared" si="29"/>
        <v>expoGroup = "expoGroup"</v>
      </c>
      <c r="AE12" t="str">
        <f t="shared" si="30"/>
        <v>e.expoGroup = e.expoGroup + assign(ec.expoGroup, i)</v>
      </c>
      <c r="AF12" t="str">
        <f t="shared" si="31"/>
        <v>Call store(ec.expoGroup, row, var.expoGroup)</v>
      </c>
      <c r="AK12" t="s">
        <v>96</v>
      </c>
      <c r="AL12" t="s">
        <v>152</v>
      </c>
      <c r="AM12" t="s">
        <v>151</v>
      </c>
      <c r="AN12" s="18" t="str">
        <f t="shared" si="65"/>
        <v>tagUnprocessed</v>
      </c>
      <c r="AS12" t="s">
        <v>237</v>
      </c>
      <c r="AT12" s="22" t="s">
        <v>8</v>
      </c>
      <c r="AU12" t="s">
        <v>165</v>
      </c>
      <c r="AV12" s="23" t="s">
        <v>201</v>
      </c>
      <c r="AW12" s="18" t="str">
        <f t="shared" si="32"/>
        <v>Public initLV As Currency</v>
      </c>
      <c r="AX12" s="18" t="str">
        <f t="shared" si="33"/>
        <v>initLV = "K"</v>
      </c>
      <c r="AY12" s="18" t="str">
        <f t="shared" si="34"/>
        <v>initLV = "Initial Lending Value (without Haircut)"</v>
      </c>
      <c r="AZ12" s="18" t="str">
        <f t="shared" si="35"/>
        <v>Public initLV As String</v>
      </c>
      <c r="BA12" s="18" t="str">
        <f t="shared" si="36"/>
        <v>initLV = "initLV"</v>
      </c>
      <c r="BB12" s="18" t="str">
        <f t="shared" si="37"/>
        <v>s.initLV = assign(sc.initLV, i)</v>
      </c>
      <c r="BC12" s="18" t="str">
        <f t="shared" si="38"/>
        <v>Call store(sc.initLV, row, var.initLV)</v>
      </c>
      <c r="BD12" s="18" t="str">
        <f t="shared" si="39"/>
        <v>s.initLV = kod</v>
      </c>
      <c r="BH12" s="23" t="s">
        <v>237</v>
      </c>
      <c r="BI12" s="23" t="s">
        <v>8</v>
      </c>
      <c r="BJ12" s="23" t="s">
        <v>165</v>
      </c>
      <c r="BK12" s="23" t="str">
        <f t="shared" si="40"/>
        <v>K</v>
      </c>
      <c r="BL12" s="25" t="s">
        <v>254</v>
      </c>
      <c r="BM12" s="25" t="s">
        <v>271</v>
      </c>
      <c r="BN12" s="25" t="s">
        <v>280</v>
      </c>
      <c r="BO12" s="25" t="s">
        <v>306</v>
      </c>
      <c r="BP12" s="25" t="str">
        <f t="shared" si="41"/>
        <v>hcapplied</v>
      </c>
      <c r="BQ12" s="23" t="str">
        <f t="shared" si="42"/>
        <v>hcapplied = "K"</v>
      </c>
      <c r="BR12" s="23" t="str">
        <f t="shared" si="43"/>
        <v>Public hcapplied As String</v>
      </c>
      <c r="BU12" t="s">
        <v>320</v>
      </c>
      <c r="BV12" s="23" t="s">
        <v>45</v>
      </c>
      <c r="BW12" t="s">
        <v>331</v>
      </c>
      <c r="BX12" s="23"/>
      <c r="BY12" s="23"/>
      <c r="BZ12" s="23"/>
      <c r="CA12" s="23" t="str">
        <f t="shared" si="44"/>
        <v>Public engAsst As String</v>
      </c>
      <c r="CB12" s="23" t="str">
        <f t="shared" si="45"/>
        <v>engAsst = "K"</v>
      </c>
      <c r="CC12" s="23" t="str">
        <f t="shared" si="46"/>
        <v>engAsst = "Engine Assets"</v>
      </c>
      <c r="CD12" s="23" t="str">
        <f t="shared" si="47"/>
        <v>Public engAsst As String</v>
      </c>
      <c r="CE12" s="23" t="str">
        <f t="shared" si="48"/>
        <v>engAsst = "engAsst"</v>
      </c>
      <c r="CF12" s="23" t="str">
        <f t="shared" si="49"/>
        <v>a.engAsst= assign(ac.engAsst, i)</v>
      </c>
      <c r="CG12" s="23" t="str">
        <f t="shared" si="50"/>
        <v>Call store(ac.engAsst, row, a.engAsst)</v>
      </c>
      <c r="CL12" s="26" t="s">
        <v>363</v>
      </c>
      <c r="CM12" s="23" t="s">
        <v>45</v>
      </c>
      <c r="CN12" t="s">
        <v>350</v>
      </c>
      <c r="CR12" s="23" t="str">
        <f t="shared" si="51"/>
        <v>Public pldgSeq As String</v>
      </c>
      <c r="CS12" s="23" t="str">
        <f t="shared" si="52"/>
        <v>pldgSeq = "K"</v>
      </c>
      <c r="CT12" s="23" t="str">
        <f t="shared" si="53"/>
        <v>pldgSeq = "PLDG SEQUENCE ID"</v>
      </c>
      <c r="CU12" s="23" t="str">
        <f t="shared" si="54"/>
        <v>Public pldgSeq As String</v>
      </c>
      <c r="CV12" s="23" t="str">
        <f t="shared" si="55"/>
        <v>pldgSeq = "pldgSeq"</v>
      </c>
      <c r="CW12" s="23" t="str">
        <f t="shared" si="56"/>
        <v>a.pldgSeq= assign(ac.pldgSeq, i)</v>
      </c>
      <c r="CX12" s="23" t="str">
        <f t="shared" si="57"/>
        <v>Call store(ac.pldgSeq, row, a.pldgSeq)</v>
      </c>
      <c r="DC12" s="26" t="s">
        <v>426</v>
      </c>
      <c r="DD12" s="23" t="s">
        <v>45</v>
      </c>
      <c r="DE12" t="s">
        <v>400</v>
      </c>
      <c r="DI12" s="23" t="str">
        <f t="shared" si="58"/>
        <v>Public statusNP As String</v>
      </c>
      <c r="DJ12" s="23" t="str">
        <f t="shared" si="59"/>
        <v>statusNP = "K"</v>
      </c>
      <c r="DK12" s="23" t="str">
        <f t="shared" si="60"/>
        <v>statusNP = "NPE_Status"</v>
      </c>
      <c r="DL12" s="23" t="str">
        <f t="shared" si="61"/>
        <v>Public statusNP As String</v>
      </c>
      <c r="DM12" s="23" t="str">
        <f t="shared" si="62"/>
        <v>statusNP = "statusNP"</v>
      </c>
      <c r="DN12" s="23" t="str">
        <f t="shared" si="63"/>
        <v>a.statusNP= assign(ac.statusNP, i)</v>
      </c>
      <c r="DO12" s="23" t="str">
        <f t="shared" si="64"/>
        <v>Call store(ac.statusNP, row, a.statusNP)</v>
      </c>
    </row>
    <row r="13" spans="1:122" ht="13.8" x14ac:dyDescent="0.25">
      <c r="A13">
        <v>76</v>
      </c>
      <c r="B13" t="str">
        <f t="shared" si="17"/>
        <v>L</v>
      </c>
      <c r="C13" t="s">
        <v>177</v>
      </c>
      <c r="E13" s="4" t="s">
        <v>133</v>
      </c>
      <c r="F13" t="s">
        <v>46</v>
      </c>
      <c r="G13" t="s">
        <v>134</v>
      </c>
      <c r="J13" s="24" t="s">
        <v>218</v>
      </c>
      <c r="K13" s="23" t="str">
        <f t="shared" si="18"/>
        <v>Public unitPrice As Double</v>
      </c>
      <c r="L13" s="23" t="str">
        <f t="shared" si="19"/>
        <v>unitPrice = "L"</v>
      </c>
      <c r="M13" s="23" t="str">
        <f t="shared" si="20"/>
        <v>unitPrice = "Unit Price"</v>
      </c>
      <c r="N13" s="23" t="str">
        <f t="shared" si="21"/>
        <v>Public unitPrice As String</v>
      </c>
      <c r="O13" s="23" t="str">
        <f t="shared" si="22"/>
        <v>unitPrice = "unitPrice"</v>
      </c>
      <c r="P13" s="23" t="str">
        <f t="shared" si="23"/>
        <v>a.unitPrice= assign(ac.unitPrice, i)</v>
      </c>
      <c r="Q13" s="23" t="str">
        <f t="shared" si="24"/>
        <v>Call store(ac.unitPrice, row, a.unitPrice)</v>
      </c>
      <c r="U13" s="6" t="s">
        <v>49</v>
      </c>
      <c r="V13" t="s">
        <v>45</v>
      </c>
      <c r="W13" t="s">
        <v>81</v>
      </c>
      <c r="Z13" t="str">
        <f t="shared" si="25"/>
        <v>Public status As String</v>
      </c>
      <c r="AA13" t="str">
        <f t="shared" si="26"/>
        <v>status = "L"</v>
      </c>
      <c r="AB13" t="str">
        <f t="shared" si="27"/>
        <v>status = "Status"</v>
      </c>
      <c r="AC13" t="str">
        <f t="shared" si="28"/>
        <v>Public status As String</v>
      </c>
      <c r="AD13" t="str">
        <f t="shared" si="29"/>
        <v>status = "status"</v>
      </c>
      <c r="AE13" t="str">
        <f t="shared" si="30"/>
        <v>e.status = assign(ec.status, i)</v>
      </c>
      <c r="AF13" t="str">
        <f t="shared" si="31"/>
        <v>Call store(ec.status, row, var.status)</v>
      </c>
      <c r="AK13" t="s">
        <v>97</v>
      </c>
      <c r="AL13" t="s">
        <v>153</v>
      </c>
      <c r="AM13" t="s">
        <v>154</v>
      </c>
      <c r="AN13" s="18" t="str">
        <f t="shared" si="65"/>
        <v>tagIn-Process</v>
      </c>
      <c r="AS13" t="s">
        <v>198</v>
      </c>
      <c r="AT13" t="s">
        <v>46</v>
      </c>
      <c r="AU13" t="s">
        <v>73</v>
      </c>
      <c r="AV13" s="23" t="s">
        <v>202</v>
      </c>
      <c r="AW13" s="18" t="str">
        <f t="shared" si="32"/>
        <v>Public hcApplied As Double</v>
      </c>
      <c r="AX13" s="18" t="str">
        <f t="shared" si="33"/>
        <v>hcApplied = "L"</v>
      </c>
      <c r="AY13" s="18" t="str">
        <f t="shared" si="34"/>
        <v>hcApplied = "Applied Haircut Value"</v>
      </c>
      <c r="AZ13" s="18" t="str">
        <f t="shared" si="35"/>
        <v>Public hcApplied As String</v>
      </c>
      <c r="BA13" s="18" t="str">
        <f t="shared" si="36"/>
        <v>hcApplied = "hcApplied"</v>
      </c>
      <c r="BB13" s="18" t="str">
        <f t="shared" si="37"/>
        <v>s.hcApplied = s.hcApplied + assign(sc.hcApplied, i)</v>
      </c>
      <c r="BC13" s="18" t="str">
        <f t="shared" si="38"/>
        <v>Call store(sc.hcApplied, row, var.hcApplied)</v>
      </c>
      <c r="BD13" s="18" t="str">
        <f t="shared" si="39"/>
        <v>s.hcApplied = kod</v>
      </c>
      <c r="BH13" s="23" t="s">
        <v>198</v>
      </c>
      <c r="BI13" s="23" t="s">
        <v>46</v>
      </c>
      <c r="BJ13" s="23" t="s">
        <v>73</v>
      </c>
      <c r="BK13" s="23" t="str">
        <f t="shared" si="40"/>
        <v>L</v>
      </c>
      <c r="BL13" s="25" t="s">
        <v>255</v>
      </c>
      <c r="BM13" s="25"/>
      <c r="BN13" s="25" t="s">
        <v>3</v>
      </c>
      <c r="BO13" s="25" t="s">
        <v>307</v>
      </c>
      <c r="BP13" s="25" t="str">
        <f t="shared" si="41"/>
        <v>hclv</v>
      </c>
      <c r="BQ13" s="23" t="str">
        <f t="shared" si="42"/>
        <v>hclv = "L"</v>
      </c>
      <c r="BR13" s="23" t="str">
        <f t="shared" si="43"/>
        <v>Public hclv As String</v>
      </c>
      <c r="BU13" t="s">
        <v>321</v>
      </c>
      <c r="BV13" s="23" t="s">
        <v>45</v>
      </c>
      <c r="BW13" t="s">
        <v>336</v>
      </c>
      <c r="BX13" s="23"/>
      <c r="BY13" s="23"/>
      <c r="BZ13" s="23"/>
      <c r="CA13" s="23" t="str">
        <f t="shared" si="44"/>
        <v>Public engExpo As String</v>
      </c>
      <c r="CB13" s="23" t="str">
        <f t="shared" si="45"/>
        <v>engExpo = "L"</v>
      </c>
      <c r="CC13" s="23" t="str">
        <f t="shared" si="46"/>
        <v>engExpo = "Engine Exposures"</v>
      </c>
      <c r="CD13" s="23" t="str">
        <f t="shared" si="47"/>
        <v>Public engExpo As String</v>
      </c>
      <c r="CE13" s="23" t="str">
        <f t="shared" si="48"/>
        <v>engExpo = "engExpo"</v>
      </c>
      <c r="CF13" s="23" t="str">
        <f t="shared" si="49"/>
        <v>a.engExpo= assign(ac.engExpo, i)</v>
      </c>
      <c r="CG13" s="23" t="str">
        <f t="shared" si="50"/>
        <v>Call store(ac.engExpo, row, a.engExpo)</v>
      </c>
      <c r="CL13" s="26" t="s">
        <v>364</v>
      </c>
      <c r="CM13" s="23" t="s">
        <v>45</v>
      </c>
      <c r="CN13" t="s">
        <v>351</v>
      </c>
      <c r="CR13" s="23" t="str">
        <f t="shared" si="51"/>
        <v>Public pldgStatus As String</v>
      </c>
      <c r="CS13" s="23" t="str">
        <f t="shared" si="52"/>
        <v>pldgStatus = "L"</v>
      </c>
      <c r="CT13" s="23" t="str">
        <f t="shared" si="53"/>
        <v>pldgStatus = "PLDG STATUS"</v>
      </c>
      <c r="CU13" s="23" t="str">
        <f t="shared" si="54"/>
        <v>Public pldgStatus As String</v>
      </c>
      <c r="CV13" s="23" t="str">
        <f t="shared" si="55"/>
        <v>pldgStatus = "pldgStatus"</v>
      </c>
      <c r="CW13" s="23" t="str">
        <f t="shared" si="56"/>
        <v>a.pldgStatus= assign(ac.pldgStatus, i)</v>
      </c>
      <c r="CX13" s="23" t="str">
        <f t="shared" si="57"/>
        <v>Call store(ac.pldgStatus, row, a.pldgStatus)</v>
      </c>
      <c r="DC13" s="26" t="s">
        <v>257</v>
      </c>
      <c r="DD13" s="23" t="s">
        <v>45</v>
      </c>
      <c r="DE13" t="s">
        <v>401</v>
      </c>
      <c r="DI13" s="23" t="str">
        <f t="shared" si="58"/>
        <v>Public statusArr As String</v>
      </c>
      <c r="DJ13" s="23" t="str">
        <f t="shared" si="59"/>
        <v>statusArr = "L"</v>
      </c>
      <c r="DK13" s="23" t="str">
        <f t="shared" si="60"/>
        <v>statusArr = "ARR_STAT"</v>
      </c>
      <c r="DL13" s="23" t="str">
        <f t="shared" si="61"/>
        <v>Public statusArr As String</v>
      </c>
      <c r="DM13" s="23" t="str">
        <f t="shared" si="62"/>
        <v>statusArr = "statusArr"</v>
      </c>
      <c r="DN13" s="23" t="str">
        <f t="shared" si="63"/>
        <v>a.statusArr= assign(ac.statusArr, i)</v>
      </c>
      <c r="DO13" s="23" t="str">
        <f t="shared" si="64"/>
        <v>Call store(ac.statusArr, row, a.statusArr)</v>
      </c>
    </row>
    <row r="14" spans="1:122" ht="13.8" x14ac:dyDescent="0.25">
      <c r="A14">
        <v>77</v>
      </c>
      <c r="B14" t="str">
        <f t="shared" si="17"/>
        <v>M</v>
      </c>
      <c r="E14" s="4" t="s">
        <v>20</v>
      </c>
      <c r="F14" t="s">
        <v>46</v>
      </c>
      <c r="G14" t="s">
        <v>55</v>
      </c>
      <c r="J14" s="24"/>
      <c r="K14" s="23" t="str">
        <f t="shared" si="18"/>
        <v>Public qty As Double</v>
      </c>
      <c r="L14" s="23" t="str">
        <f t="shared" si="19"/>
        <v>qty = "M"</v>
      </c>
      <c r="M14" s="23" t="str">
        <f t="shared" si="20"/>
        <v>qty = "Quantity"</v>
      </c>
      <c r="N14" s="23" t="str">
        <f t="shared" si="21"/>
        <v>Public qty As String</v>
      </c>
      <c r="O14" s="23" t="str">
        <f t="shared" si="22"/>
        <v>qty = "qty"</v>
      </c>
      <c r="P14" s="23" t="str">
        <f t="shared" si="23"/>
        <v>a.qty= assign(ac.qty, i)</v>
      </c>
      <c r="Q14" s="23" t="str">
        <f t="shared" si="24"/>
        <v>Call store(ac.qty, row, a.qty)</v>
      </c>
      <c r="U14" s="6" t="s">
        <v>50</v>
      </c>
      <c r="V14" s="22" t="s">
        <v>8</v>
      </c>
      <c r="W14" t="s">
        <v>83</v>
      </c>
      <c r="Z14" t="str">
        <f t="shared" si="25"/>
        <v>Public remAmt As Currency</v>
      </c>
      <c r="AA14" t="str">
        <f t="shared" si="26"/>
        <v>remAmt = "M"</v>
      </c>
      <c r="AB14" t="str">
        <f t="shared" si="27"/>
        <v>remAmt = "Remaining Amount"</v>
      </c>
      <c r="AC14" t="str">
        <f t="shared" si="28"/>
        <v>Public remAmt As String</v>
      </c>
      <c r="AD14" t="str">
        <f t="shared" si="29"/>
        <v>remAmt = "remAmt"</v>
      </c>
      <c r="AE14" t="str">
        <f t="shared" si="30"/>
        <v>e.remAmt = assign(ec.remAmt, i)</v>
      </c>
      <c r="AF14" t="str">
        <f t="shared" si="31"/>
        <v>Call store(ec.remAmt, row, var.remAmt)</v>
      </c>
      <c r="AK14" t="s">
        <v>98</v>
      </c>
      <c r="AL14" t="s">
        <v>159</v>
      </c>
      <c r="AM14" t="s">
        <v>158</v>
      </c>
      <c r="AN14" s="18" t="str">
        <f t="shared" si="65"/>
        <v>tagOver</v>
      </c>
      <c r="AS14" t="s">
        <v>236</v>
      </c>
      <c r="AT14" s="22" t="s">
        <v>8</v>
      </c>
      <c r="AU14" t="s">
        <v>167</v>
      </c>
      <c r="AV14" s="23" t="s">
        <v>203</v>
      </c>
      <c r="AW14" s="18" t="str">
        <f t="shared" si="32"/>
        <v>Public hcLV As Currency</v>
      </c>
      <c r="AX14" s="18" t="str">
        <f t="shared" si="33"/>
        <v>hcLV = "M"</v>
      </c>
      <c r="AY14" s="18" t="str">
        <f t="shared" si="34"/>
        <v>hcLV = "Lending Value after Haircut"</v>
      </c>
      <c r="AZ14" s="18" t="str">
        <f t="shared" si="35"/>
        <v>Public hcLV As String</v>
      </c>
      <c r="BA14" s="18" t="str">
        <f t="shared" si="36"/>
        <v>hcLV = "hcLV"</v>
      </c>
      <c r="BB14" s="18" t="str">
        <f t="shared" si="37"/>
        <v>s.hcLV = assign(sc.hcLV, i)</v>
      </c>
      <c r="BC14" s="18" t="str">
        <f t="shared" si="38"/>
        <v>Call store(sc.hcLV, row, var.hcLV)</v>
      </c>
      <c r="BD14" s="18" t="str">
        <f t="shared" si="39"/>
        <v>s.hcLV = kod</v>
      </c>
      <c r="BH14" s="23" t="s">
        <v>236</v>
      </c>
      <c r="BI14" s="23" t="s">
        <v>8</v>
      </c>
      <c r="BJ14" s="23" t="s">
        <v>167</v>
      </c>
      <c r="BK14" s="23" t="str">
        <f t="shared" si="40"/>
        <v>M</v>
      </c>
      <c r="BL14" s="25" t="s">
        <v>256</v>
      </c>
      <c r="BM14" s="25"/>
      <c r="BN14" s="25" t="s">
        <v>266</v>
      </c>
      <c r="BO14" s="25" t="s">
        <v>308</v>
      </c>
      <c r="BP14" s="25" t="str">
        <f t="shared" si="41"/>
        <v>remexpo</v>
      </c>
      <c r="BQ14" s="23" t="str">
        <f t="shared" si="42"/>
        <v>remexpo = "M"</v>
      </c>
      <c r="BR14" s="23" t="str">
        <f t="shared" si="43"/>
        <v>Public remexpo As String</v>
      </c>
      <c r="BU14" t="s">
        <v>322</v>
      </c>
      <c r="BV14" s="23" t="s">
        <v>45</v>
      </c>
      <c r="BW14" t="s">
        <v>332</v>
      </c>
      <c r="BX14" s="23"/>
      <c r="BY14" s="23"/>
      <c r="BZ14" s="23"/>
      <c r="CA14" s="23" t="str">
        <f t="shared" si="44"/>
        <v>Public macStep As String</v>
      </c>
      <c r="CB14" s="23" t="str">
        <f t="shared" si="45"/>
        <v>macStep = "M"</v>
      </c>
      <c r="CC14" s="23" t="str">
        <f t="shared" si="46"/>
        <v>macStep = "Macro  Step"</v>
      </c>
      <c r="CD14" s="23" t="str">
        <f t="shared" si="47"/>
        <v>Public macStep As String</v>
      </c>
      <c r="CE14" s="23" t="str">
        <f t="shared" si="48"/>
        <v>macStep = "macStep"</v>
      </c>
      <c r="CF14" s="23" t="str">
        <f t="shared" si="49"/>
        <v>a.macStep= assign(ac.macStep, i)</v>
      </c>
      <c r="CG14" s="23" t="str">
        <f t="shared" si="50"/>
        <v>Call store(ac.macStep, row, a.macStep)</v>
      </c>
      <c r="CL14" s="26" t="s">
        <v>365</v>
      </c>
      <c r="CM14" s="23" t="s">
        <v>45</v>
      </c>
      <c r="CN14" s="23" t="str">
        <f>$AN$2&amp;CO14</f>
        <v>idACC</v>
      </c>
      <c r="CO14" s="23" t="s">
        <v>116</v>
      </c>
      <c r="CR14" s="23" t="str">
        <f t="shared" si="51"/>
        <v>Public idACC As String</v>
      </c>
      <c r="CS14" s="23" t="str">
        <f t="shared" si="52"/>
        <v>idACC = "M"</v>
      </c>
      <c r="CT14" s="23" t="str">
        <f t="shared" si="53"/>
        <v>idACC = "CLNT RPT ACC NBR"</v>
      </c>
      <c r="CU14" s="23" t="str">
        <f t="shared" si="54"/>
        <v>Public idACC As String</v>
      </c>
      <c r="CV14" s="23" t="str">
        <f t="shared" si="55"/>
        <v>idACC = "idACC"</v>
      </c>
      <c r="CW14" s="23" t="str">
        <f t="shared" si="56"/>
        <v>a.idACC= assign(ac.idACC, i)</v>
      </c>
      <c r="CX14" s="23" t="str">
        <f t="shared" si="57"/>
        <v>Call store(ac.idACC, row, a.idACC)</v>
      </c>
      <c r="DC14" s="26" t="s">
        <v>371</v>
      </c>
      <c r="DD14" s="23" t="s">
        <v>46</v>
      </c>
      <c r="DE14" t="s">
        <v>396</v>
      </c>
      <c r="DI14" s="23" t="str">
        <f t="shared" si="58"/>
        <v>Public availPldgP As Double</v>
      </c>
      <c r="DJ14" s="23" t="str">
        <f t="shared" si="59"/>
        <v>availPldgP = "M"</v>
      </c>
      <c r="DK14" s="23" t="str">
        <f t="shared" si="60"/>
        <v>availPldgP = "PLDGD_PBAV"</v>
      </c>
      <c r="DL14" s="23" t="str">
        <f t="shared" si="61"/>
        <v>Public availPldgP As String</v>
      </c>
      <c r="DM14" s="23" t="str">
        <f t="shared" si="62"/>
        <v>availPldgP = "availPldgP"</v>
      </c>
      <c r="DN14" s="23" t="str">
        <f t="shared" si="63"/>
        <v>a.availPldgP= assign(ac.availPldgP, i)</v>
      </c>
      <c r="DO14" s="23" t="str">
        <f t="shared" si="64"/>
        <v>Call store(ac.availPldgP, row, a.availPldgP)</v>
      </c>
    </row>
    <row r="15" spans="1:122" ht="13.8" x14ac:dyDescent="0.25">
      <c r="A15">
        <v>78</v>
      </c>
      <c r="B15" t="str">
        <f t="shared" si="17"/>
        <v>N</v>
      </c>
      <c r="E15" s="4" t="s">
        <v>22</v>
      </c>
      <c r="F15" s="22" t="s">
        <v>8</v>
      </c>
      <c r="G15" t="s">
        <v>3</v>
      </c>
      <c r="J15" s="24"/>
      <c r="K15" s="23" t="str">
        <f t="shared" si="18"/>
        <v>Public MV As Currency</v>
      </c>
      <c r="L15" s="23" t="str">
        <f t="shared" si="19"/>
        <v>MV = "N"</v>
      </c>
      <c r="M15" s="23" t="str">
        <f t="shared" si="20"/>
        <v>MV = "Market Value"</v>
      </c>
      <c r="N15" s="23" t="str">
        <f t="shared" si="21"/>
        <v>Public MV As String</v>
      </c>
      <c r="O15" s="23" t="str">
        <f t="shared" si="22"/>
        <v>MV = "MV"</v>
      </c>
      <c r="P15" s="23" t="str">
        <f t="shared" si="23"/>
        <v>a.MV= assign(ac.MV, i)</v>
      </c>
      <c r="Q15" s="23" t="str">
        <f t="shared" si="24"/>
        <v>Call store(ac.MV, row, a.MV)</v>
      </c>
      <c r="U15" s="6" t="s">
        <v>48</v>
      </c>
      <c r="V15" t="s">
        <v>45</v>
      </c>
      <c r="W15" t="s">
        <v>80</v>
      </c>
      <c r="Z15" t="str">
        <f t="shared" si="25"/>
        <v>Public asstList As String</v>
      </c>
      <c r="AA15" t="str">
        <f t="shared" si="26"/>
        <v>asstList = "N"</v>
      </c>
      <c r="AB15" t="str">
        <f t="shared" si="27"/>
        <v>asstList = "AssetList"</v>
      </c>
      <c r="AC15" t="str">
        <f t="shared" si="28"/>
        <v>Public asstList As String</v>
      </c>
      <c r="AD15" t="str">
        <f t="shared" si="29"/>
        <v>asstList = "asstList"</v>
      </c>
      <c r="AE15" t="str">
        <f t="shared" si="30"/>
        <v>e.asstList = assign(ec.asstList, i)</v>
      </c>
      <c r="AF15" t="str">
        <f t="shared" si="31"/>
        <v>Call store(ec.asstList, row, var.asstList)</v>
      </c>
      <c r="AK15" t="s">
        <v>99</v>
      </c>
      <c r="AS15" t="s">
        <v>199</v>
      </c>
      <c r="AT15" s="22" t="s">
        <v>8</v>
      </c>
      <c r="AU15" t="s">
        <v>168</v>
      </c>
      <c r="AV15" s="23" t="s">
        <v>204</v>
      </c>
      <c r="AW15" s="18" t="str">
        <f t="shared" si="32"/>
        <v>Public remExpo As Currency</v>
      </c>
      <c r="AX15" s="18" t="str">
        <f t="shared" si="33"/>
        <v>remExpo = "N"</v>
      </c>
      <c r="AY15" s="18" t="str">
        <f t="shared" si="34"/>
        <v>remExpo = "Remaining Exposure Amount"</v>
      </c>
      <c r="AZ15" s="18" t="str">
        <f t="shared" si="35"/>
        <v>Public remExpo As String</v>
      </c>
      <c r="BA15" s="18" t="str">
        <f t="shared" si="36"/>
        <v>remExpo = "remExpo"</v>
      </c>
      <c r="BB15" s="18" t="str">
        <f t="shared" si="37"/>
        <v>s.remExpo = assign(sc.remExpo, i)</v>
      </c>
      <c r="BC15" s="18" t="str">
        <f t="shared" si="38"/>
        <v>Call store(sc.remExpo, row, var.remExpo)</v>
      </c>
      <c r="BD15" s="18" t="str">
        <f t="shared" si="39"/>
        <v>s.remExpo = kod</v>
      </c>
      <c r="BK15" s="23" t="str">
        <f t="shared" si="40"/>
        <v>N</v>
      </c>
      <c r="BL15" s="25" t="s">
        <v>257</v>
      </c>
      <c r="BM15" s="25"/>
      <c r="BN15" s="25" t="s">
        <v>281</v>
      </c>
      <c r="BO15" s="25" t="s">
        <v>309</v>
      </c>
      <c r="BP15" s="25" t="str">
        <f t="shared" si="41"/>
        <v>remplv</v>
      </c>
      <c r="BQ15" s="23" t="str">
        <f t="shared" si="42"/>
        <v>remplv = "N"</v>
      </c>
      <c r="BR15" s="23" t="str">
        <f t="shared" si="43"/>
        <v>Public remplv As String</v>
      </c>
      <c r="BU15" t="s">
        <v>323</v>
      </c>
      <c r="BV15" s="23" t="s">
        <v>45</v>
      </c>
      <c r="BW15" t="s">
        <v>333</v>
      </c>
      <c r="BX15" s="23"/>
      <c r="BY15" s="23"/>
      <c r="BZ15" s="23"/>
      <c r="CA15" s="23" t="str">
        <f t="shared" si="44"/>
        <v>Public macAsst As String</v>
      </c>
      <c r="CB15" s="23" t="str">
        <f t="shared" si="45"/>
        <v>macAsst = "N"</v>
      </c>
      <c r="CC15" s="23" t="str">
        <f t="shared" si="46"/>
        <v>macAsst = "Macro  Assets"</v>
      </c>
      <c r="CD15" s="23" t="str">
        <f t="shared" si="47"/>
        <v>Public macAsst As String</v>
      </c>
      <c r="CE15" s="23" t="str">
        <f t="shared" si="48"/>
        <v>macAsst = "macAsst"</v>
      </c>
      <c r="CF15" s="23" t="str">
        <f t="shared" si="49"/>
        <v>a.macAsst= assign(ac.macAsst, i)</v>
      </c>
      <c r="CG15" s="23" t="str">
        <f t="shared" si="50"/>
        <v>Call store(ac.macAsst, row, a.macAsst)</v>
      </c>
      <c r="CL15" s="26" t="s">
        <v>366</v>
      </c>
      <c r="CM15" s="23" t="s">
        <v>45</v>
      </c>
      <c r="CN15" s="23" t="str">
        <f>$AN$2&amp;CO15</f>
        <v>idBSC</v>
      </c>
      <c r="CO15" s="23" t="s">
        <v>117</v>
      </c>
      <c r="CR15" s="23" t="str">
        <f t="shared" si="51"/>
        <v>Public idBSC As String</v>
      </c>
      <c r="CS15" s="23" t="str">
        <f t="shared" si="52"/>
        <v>idBSC = "N"</v>
      </c>
      <c r="CT15" s="23" t="str">
        <f t="shared" si="53"/>
        <v>idBSC = "BUS SYS CODE"</v>
      </c>
      <c r="CU15" s="23" t="str">
        <f t="shared" si="54"/>
        <v>Public idBSC As String</v>
      </c>
      <c r="CV15" s="23" t="str">
        <f t="shared" si="55"/>
        <v>idBSC = "idBSC"</v>
      </c>
      <c r="CW15" s="23" t="str">
        <f t="shared" si="56"/>
        <v>a.idBSC= assign(ac.idBSC, i)</v>
      </c>
      <c r="CX15" s="23" t="str">
        <f t="shared" si="57"/>
        <v>Call store(ac.idBSC, row, a.idBSC)</v>
      </c>
      <c r="DC15" s="26" t="s">
        <v>372</v>
      </c>
      <c r="DD15" s="23" t="s">
        <v>46</v>
      </c>
      <c r="DE15" t="s">
        <v>397</v>
      </c>
      <c r="DI15" s="23" t="str">
        <f t="shared" si="58"/>
        <v>Public availPldgNP As Double</v>
      </c>
      <c r="DJ15" s="23" t="str">
        <f t="shared" si="59"/>
        <v>availPldgNP = "N"</v>
      </c>
      <c r="DK15" s="23" t="str">
        <f t="shared" si="60"/>
        <v>availPldgNP = "PLDGD_NPBAV"</v>
      </c>
      <c r="DL15" s="23" t="str">
        <f t="shared" si="61"/>
        <v>Public availPldgNP As String</v>
      </c>
      <c r="DM15" s="23" t="str">
        <f t="shared" si="62"/>
        <v>availPldgNP = "availPldgNP"</v>
      </c>
      <c r="DN15" s="23" t="str">
        <f t="shared" si="63"/>
        <v>a.availPldgNP= assign(ac.availPldgNP, i)</v>
      </c>
      <c r="DO15" s="23" t="str">
        <f t="shared" si="64"/>
        <v>Call store(ac.availPldgNP, row, a.availPldgNP)</v>
      </c>
    </row>
    <row r="16" spans="1:122" ht="13.8" x14ac:dyDescent="0.25">
      <c r="A16">
        <v>79</v>
      </c>
      <c r="B16" t="str">
        <f t="shared" si="17"/>
        <v>O</v>
      </c>
      <c r="E16" s="4" t="s">
        <v>37</v>
      </c>
      <c r="F16" t="s">
        <v>46</v>
      </c>
      <c r="G16" t="s">
        <v>69</v>
      </c>
      <c r="J16" s="24"/>
      <c r="K16" s="23" t="str">
        <f t="shared" si="18"/>
        <v>Public hcCCY As Double</v>
      </c>
      <c r="L16" s="23" t="str">
        <f t="shared" si="19"/>
        <v>hcCCY = "O"</v>
      </c>
      <c r="M16" s="23" t="str">
        <f t="shared" si="20"/>
        <v>hcCCY = "Currency Haircut"</v>
      </c>
      <c r="N16" s="23" t="str">
        <f t="shared" si="21"/>
        <v>Public hcCCY As String</v>
      </c>
      <c r="O16" s="23" t="str">
        <f t="shared" si="22"/>
        <v>hcCCY = "hcCCY"</v>
      </c>
      <c r="P16" s="23" t="str">
        <f t="shared" si="23"/>
        <v>a.hcCCY= assign(ac.hcCCY, i)</v>
      </c>
      <c r="Q16" s="23" t="str">
        <f t="shared" si="24"/>
        <v>Call store(ac.hcCCY, row, a.hcCCY)</v>
      </c>
      <c r="U16" s="6" t="s">
        <v>143</v>
      </c>
      <c r="V16" t="s">
        <v>45</v>
      </c>
      <c r="W16" t="s">
        <v>144</v>
      </c>
      <c r="Z16" t="str">
        <f t="shared" si="25"/>
        <v>Public expoList As String</v>
      </c>
      <c r="AA16" t="str">
        <f t="shared" si="26"/>
        <v>expoList = "O"</v>
      </c>
      <c r="AB16" t="str">
        <f t="shared" si="27"/>
        <v>expoList = "Exposure List"</v>
      </c>
      <c r="AC16" t="str">
        <f t="shared" si="28"/>
        <v>Public expoList As String</v>
      </c>
      <c r="AD16" t="str">
        <f t="shared" si="29"/>
        <v>expoList = "expoList"</v>
      </c>
      <c r="AE16" t="str">
        <f t="shared" si="30"/>
        <v>e.expoList = assign(ec.expoList, i)</v>
      </c>
      <c r="AF16" t="str">
        <f t="shared" si="31"/>
        <v>Call store(ec.expoList, row, var.expoList)</v>
      </c>
      <c r="AK16" t="s">
        <v>100</v>
      </c>
      <c r="AM16" s="18" t="s">
        <v>181</v>
      </c>
      <c r="AO16" t="s">
        <v>150</v>
      </c>
      <c r="AS16" t="s">
        <v>238</v>
      </c>
      <c r="AT16" s="22" t="s">
        <v>8</v>
      </c>
      <c r="AU16" t="s">
        <v>169</v>
      </c>
      <c r="AV16" s="23" t="s">
        <v>205</v>
      </c>
      <c r="AW16" s="18" t="str">
        <f t="shared" si="32"/>
        <v>Public remLV As Currency</v>
      </c>
      <c r="AX16" s="18" t="str">
        <f t="shared" si="33"/>
        <v>remLV = "O"</v>
      </c>
      <c r="AY16" s="18" t="str">
        <f t="shared" si="34"/>
        <v>remLV = "Remaining Lending Value"</v>
      </c>
      <c r="AZ16" s="18" t="str">
        <f t="shared" si="35"/>
        <v>Public remLV As String</v>
      </c>
      <c r="BA16" s="18" t="str">
        <f t="shared" si="36"/>
        <v>remLV = "remLV"</v>
      </c>
      <c r="BB16" s="18" t="str">
        <f t="shared" si="37"/>
        <v>s.remLV = assign(sc.remLV, i)</v>
      </c>
      <c r="BC16" s="18" t="str">
        <f t="shared" si="38"/>
        <v>Call store(sc.remLV, row, var.remLV)</v>
      </c>
      <c r="BD16" s="18" t="str">
        <f t="shared" si="39"/>
        <v>s.remLV = kod</v>
      </c>
      <c r="BK16" s="23" t="str">
        <f t="shared" si="40"/>
        <v>O</v>
      </c>
      <c r="BL16" s="25" t="s">
        <v>258</v>
      </c>
      <c r="BM16" s="25"/>
      <c r="BN16" s="25" t="s">
        <v>282</v>
      </c>
      <c r="BO16" s="25" t="s">
        <v>310</v>
      </c>
      <c r="BP16" s="25" t="str">
        <f t="shared" si="41"/>
        <v>remelv</v>
      </c>
      <c r="BQ16" s="23" t="str">
        <f t="shared" si="42"/>
        <v>remelv = "O"</v>
      </c>
      <c r="BR16" s="23" t="str">
        <f t="shared" si="43"/>
        <v>Public remelv As String</v>
      </c>
      <c r="BU16" t="s">
        <v>324</v>
      </c>
      <c r="BV16" s="23" t="s">
        <v>45</v>
      </c>
      <c r="BW16" t="s">
        <v>334</v>
      </c>
      <c r="BX16" s="23"/>
      <c r="BY16" s="23"/>
      <c r="BZ16" s="23"/>
      <c r="CA16" s="23" t="str">
        <f t="shared" si="44"/>
        <v>Public macExpo As String</v>
      </c>
      <c r="CB16" s="23" t="str">
        <f t="shared" si="45"/>
        <v>macExpo = "O"</v>
      </c>
      <c r="CC16" s="23" t="str">
        <f t="shared" si="46"/>
        <v>macExpo = "Macro  Exposures"</v>
      </c>
      <c r="CD16" s="23" t="str">
        <f t="shared" si="47"/>
        <v>Public macExpo As String</v>
      </c>
      <c r="CE16" s="23" t="str">
        <f t="shared" si="48"/>
        <v>macExpo = "macExpo"</v>
      </c>
      <c r="CF16" s="23" t="str">
        <f t="shared" si="49"/>
        <v>a.macExpo= assign(ac.macExpo, i)</v>
      </c>
      <c r="CG16" s="23" t="str">
        <f t="shared" si="50"/>
        <v>Call store(ac.macExpo, row, a.macExpo)</v>
      </c>
      <c r="CL16" s="26" t="s">
        <v>367</v>
      </c>
      <c r="CM16" s="23" t="s">
        <v>45</v>
      </c>
      <c r="CN16" s="23" t="str">
        <f>$AN$2&amp;CO16</f>
        <v>idSLR</v>
      </c>
      <c r="CO16" s="23" t="s">
        <v>352</v>
      </c>
      <c r="CR16" s="23" t="str">
        <f t="shared" si="51"/>
        <v>Public idSLR As String</v>
      </c>
      <c r="CS16" s="23" t="str">
        <f t="shared" si="52"/>
        <v>idSLR = "O"</v>
      </c>
      <c r="CT16" s="23" t="str">
        <f t="shared" si="53"/>
        <v>idSLR = "ACCT SUBLDGR TYPE CODE"</v>
      </c>
      <c r="CU16" s="23" t="str">
        <f t="shared" si="54"/>
        <v>Public idSLR As String</v>
      </c>
      <c r="CV16" s="23" t="str">
        <f t="shared" si="55"/>
        <v>idSLR = "idSLR"</v>
      </c>
      <c r="CW16" s="23" t="str">
        <f t="shared" si="56"/>
        <v>a.idSLR= assign(ac.idSLR, i)</v>
      </c>
      <c r="CX16" s="23" t="str">
        <f t="shared" si="57"/>
        <v>Call store(ac.idSLR, row, a.idSLR)</v>
      </c>
      <c r="DC16" s="26" t="s">
        <v>373</v>
      </c>
      <c r="DD16" t="s">
        <v>427</v>
      </c>
      <c r="DE16" t="s">
        <v>393</v>
      </c>
      <c r="DI16" s="23" t="str">
        <f t="shared" si="58"/>
        <v>Public pldgIns As Integer</v>
      </c>
      <c r="DJ16" s="23" t="str">
        <f t="shared" si="59"/>
        <v>pldgIns = "O"</v>
      </c>
      <c r="DK16" s="23" t="str">
        <f t="shared" si="60"/>
        <v>pldgIns = "IN_PLEDGES"</v>
      </c>
      <c r="DL16" s="23" t="str">
        <f t="shared" si="61"/>
        <v>Public pldgIns As String</v>
      </c>
      <c r="DM16" s="23" t="str">
        <f t="shared" si="62"/>
        <v>pldgIns = "pldgIns"</v>
      </c>
      <c r="DN16" s="23" t="str">
        <f t="shared" si="63"/>
        <v>a.pldgIns= assign(ac.pldgIns, i)</v>
      </c>
      <c r="DO16" s="23" t="str">
        <f t="shared" si="64"/>
        <v>Call store(ac.pldgIns, row, a.pldgIns)</v>
      </c>
    </row>
    <row r="17" spans="1:119" ht="13.8" x14ac:dyDescent="0.25">
      <c r="A17">
        <v>80</v>
      </c>
      <c r="B17" t="str">
        <f t="shared" si="17"/>
        <v>P</v>
      </c>
      <c r="E17" s="4" t="s">
        <v>21</v>
      </c>
      <c r="F17" t="s">
        <v>46</v>
      </c>
      <c r="G17" t="s">
        <v>56</v>
      </c>
      <c r="J17" s="24"/>
      <c r="K17" s="23" t="str">
        <f t="shared" si="18"/>
        <v>Public qtyWithLV As Double</v>
      </c>
      <c r="L17" s="23" t="str">
        <f t="shared" si="19"/>
        <v>qtyWithLV = "P"</v>
      </c>
      <c r="M17" s="23" t="str">
        <f t="shared" si="20"/>
        <v>qtyWithLV = "Quantity with LV"</v>
      </c>
      <c r="N17" s="23" t="str">
        <f t="shared" si="21"/>
        <v>Public qtyWithLV As String</v>
      </c>
      <c r="O17" s="23" t="str">
        <f t="shared" si="22"/>
        <v>qtyWithLV = "qtyWithLV"</v>
      </c>
      <c r="P17" s="23" t="str">
        <f t="shared" si="23"/>
        <v>a.qtyWithLV= assign(ac.qtyWithLV, i)</v>
      </c>
      <c r="Q17" s="23" t="str">
        <f t="shared" si="24"/>
        <v>Call store(ac.qtyWithLV, row, a.qtyWithLV)</v>
      </c>
      <c r="U17"/>
      <c r="AK17" t="s">
        <v>101</v>
      </c>
      <c r="AO17" t="s">
        <v>149</v>
      </c>
      <c r="AS17" t="s">
        <v>239</v>
      </c>
      <c r="AT17" s="22" t="s">
        <v>8</v>
      </c>
      <c r="AU17" t="s">
        <v>166</v>
      </c>
      <c r="AV17" s="23" t="s">
        <v>206</v>
      </c>
      <c r="AW17" s="18" t="str">
        <f t="shared" si="32"/>
        <v>Public finLV As Currency</v>
      </c>
      <c r="AX17" s="18" t="str">
        <f t="shared" si="33"/>
        <v>finLV = "P"</v>
      </c>
      <c r="AY17" s="18" t="str">
        <f t="shared" si="34"/>
        <v>finLV = "Final Lending Value (after Haircut is removed)"</v>
      </c>
      <c r="AZ17" s="18" t="str">
        <f t="shared" si="35"/>
        <v>Public finLV As String</v>
      </c>
      <c r="BA17" s="18" t="str">
        <f t="shared" si="36"/>
        <v>finLV = "finLV"</v>
      </c>
      <c r="BB17" s="18" t="str">
        <f t="shared" si="37"/>
        <v>s.finLV = assign(sc.finLV, i)</v>
      </c>
      <c r="BC17" s="18" t="str">
        <f t="shared" si="38"/>
        <v>Call store(sc.finLV, row, var.finLV)</v>
      </c>
      <c r="BD17" s="18" t="str">
        <f t="shared" si="39"/>
        <v>s.finLV = kod</v>
      </c>
      <c r="BK17" s="23" t="str">
        <f t="shared" si="40"/>
        <v>P</v>
      </c>
      <c r="BL17" s="25" t="s">
        <v>185</v>
      </c>
      <c r="BM17" s="25"/>
      <c r="BN17" s="25" t="s">
        <v>283</v>
      </c>
      <c r="BO17" s="25" t="s">
        <v>311</v>
      </c>
      <c r="BP17" s="25" t="str">
        <f t="shared" si="41"/>
        <v>expotag</v>
      </c>
      <c r="BQ17" s="23" t="str">
        <f t="shared" si="42"/>
        <v>expotag = "P"</v>
      </c>
      <c r="BR17" s="23" t="str">
        <f t="shared" si="43"/>
        <v>Public expotag As String</v>
      </c>
      <c r="BU17" t="s">
        <v>325</v>
      </c>
      <c r="BV17" s="23" t="s">
        <v>45</v>
      </c>
      <c r="BW17" t="s">
        <v>335</v>
      </c>
      <c r="BY17" s="23"/>
      <c r="BZ17" s="23"/>
      <c r="CA17" s="23" t="str">
        <f t="shared" si="44"/>
        <v>Public comm As String</v>
      </c>
      <c r="CB17" s="23" t="str">
        <f t="shared" si="45"/>
        <v>comm = "P"</v>
      </c>
      <c r="CC17" s="23" t="str">
        <f t="shared" si="46"/>
        <v>comm = "Comments "</v>
      </c>
      <c r="CD17" s="23" t="str">
        <f t="shared" si="47"/>
        <v>Public comm As String</v>
      </c>
      <c r="CE17" s="23" t="str">
        <f t="shared" si="48"/>
        <v>comm = "comm"</v>
      </c>
      <c r="CF17" s="23" t="str">
        <f t="shared" si="49"/>
        <v>a.comm= assign(ac.comm, i)</v>
      </c>
      <c r="CG17" s="23" t="str">
        <f t="shared" si="50"/>
        <v>Call store(ac.comm, row, a.comm)</v>
      </c>
      <c r="CL17" s="26" t="s">
        <v>368</v>
      </c>
      <c r="CM17" s="23" t="s">
        <v>45</v>
      </c>
      <c r="CN17" s="23" t="str">
        <f>$AN$2&amp;CO17</f>
        <v>idIBSC</v>
      </c>
      <c r="CO17" s="23" t="s">
        <v>274</v>
      </c>
      <c r="CR17" s="23" t="str">
        <f t="shared" si="51"/>
        <v>Public idIBSC As String</v>
      </c>
      <c r="CS17" s="23" t="str">
        <f t="shared" si="52"/>
        <v>idIBSC = "P"</v>
      </c>
      <c r="CT17" s="23" t="str">
        <f t="shared" si="53"/>
        <v>idIBSC = "INST BUS SYS CODE"</v>
      </c>
      <c r="CU17" s="23" t="str">
        <f t="shared" si="54"/>
        <v>Public idIBSC As String</v>
      </c>
      <c r="CV17" s="23" t="str">
        <f t="shared" si="55"/>
        <v>idIBSC = "idIBSC"</v>
      </c>
      <c r="CW17" s="23" t="str">
        <f t="shared" si="56"/>
        <v>a.idIBSC= assign(ac.idIBSC, i)</v>
      </c>
      <c r="CX17" s="23" t="str">
        <f t="shared" si="57"/>
        <v>Call store(ac.idIBSC, row, a.idIBSC)</v>
      </c>
      <c r="DC17" s="26" t="s">
        <v>374</v>
      </c>
      <c r="DD17" s="23" t="s">
        <v>427</v>
      </c>
      <c r="DE17" t="s">
        <v>394</v>
      </c>
      <c r="DI17" s="23" t="str">
        <f t="shared" si="58"/>
        <v>Public pldgOuts As Integer</v>
      </c>
      <c r="DJ17" s="23" t="str">
        <f t="shared" si="59"/>
        <v>pldgOuts = "P"</v>
      </c>
      <c r="DK17" s="23" t="str">
        <f t="shared" si="60"/>
        <v>pldgOuts = "OUT_PLEDGES"</v>
      </c>
      <c r="DL17" s="23" t="str">
        <f t="shared" si="61"/>
        <v>Public pldgOuts As String</v>
      </c>
      <c r="DM17" s="23" t="str">
        <f t="shared" si="62"/>
        <v>pldgOuts = "pldgOuts"</v>
      </c>
      <c r="DN17" s="23" t="str">
        <f t="shared" si="63"/>
        <v>a.pldgOuts= assign(ac.pldgOuts, i)</v>
      </c>
      <c r="DO17" s="23" t="str">
        <f t="shared" si="64"/>
        <v>Call store(ac.pldgOuts, row, a.pldgOuts)</v>
      </c>
    </row>
    <row r="18" spans="1:119" ht="13.8" x14ac:dyDescent="0.25">
      <c r="A18">
        <v>81</v>
      </c>
      <c r="B18" t="str">
        <f t="shared" si="17"/>
        <v>Q</v>
      </c>
      <c r="E18" s="4" t="s">
        <v>23</v>
      </c>
      <c r="F18" s="22" t="s">
        <v>8</v>
      </c>
      <c r="G18" t="s">
        <v>57</v>
      </c>
      <c r="J18" s="24"/>
      <c r="K18" s="23" t="str">
        <f t="shared" si="18"/>
        <v>Public MVwithLV As Currency</v>
      </c>
      <c r="L18" s="23" t="str">
        <f t="shared" si="19"/>
        <v>MVwithLV = "Q"</v>
      </c>
      <c r="M18" s="23" t="str">
        <f t="shared" si="20"/>
        <v>MVwithLV = "Market Value with LV"</v>
      </c>
      <c r="N18" s="23" t="str">
        <f t="shared" si="21"/>
        <v>Public MVwithLV As String</v>
      </c>
      <c r="O18" s="23" t="str">
        <f t="shared" si="22"/>
        <v>MVwithLV = "MVwithLV"</v>
      </c>
      <c r="P18" s="23" t="str">
        <f t="shared" si="23"/>
        <v>a.MVwithLV= assign(ac.MVwithLV, i)</v>
      </c>
      <c r="Q18" s="23" t="str">
        <f t="shared" si="24"/>
        <v>Call store(ac.MVwithLV, row, a.MVwithLV)</v>
      </c>
      <c r="AK18" t="s">
        <v>102</v>
      </c>
      <c r="AS18" s="2" t="s">
        <v>148</v>
      </c>
      <c r="AT18" t="s">
        <v>45</v>
      </c>
      <c r="AU18" t="s">
        <v>170</v>
      </c>
      <c r="AV18" s="23"/>
      <c r="AW18" s="18" t="str">
        <f t="shared" si="32"/>
        <v>Public expoTag As String</v>
      </c>
      <c r="AX18" s="18" t="str">
        <f t="shared" si="33"/>
        <v>expoTag = "Q"</v>
      </c>
      <c r="AY18" s="18" t="str">
        <f t="shared" si="34"/>
        <v>expoTag = "Expo Tag"</v>
      </c>
      <c r="AZ18" s="18" t="str">
        <f t="shared" si="35"/>
        <v>Public expoTag As String</v>
      </c>
      <c r="BA18" s="18" t="str">
        <f t="shared" si="36"/>
        <v>expoTag = "expoTag"</v>
      </c>
      <c r="BB18" s="18" t="str">
        <f t="shared" si="37"/>
        <v>s.expoTag = assign(sc.expoTag, i)</v>
      </c>
      <c r="BC18" s="18" t="str">
        <f t="shared" si="38"/>
        <v>Call store(sc.expoTag, row, var.expoTag)</v>
      </c>
      <c r="BD18" s="18" t="str">
        <f t="shared" si="39"/>
        <v>s.expoTag = kod</v>
      </c>
      <c r="BK18" s="23" t="str">
        <f t="shared" si="40"/>
        <v>Q</v>
      </c>
      <c r="BL18" s="25" t="s">
        <v>184</v>
      </c>
      <c r="BM18" s="25"/>
      <c r="BN18" s="25" t="s">
        <v>284</v>
      </c>
      <c r="BO18" s="25" t="s">
        <v>312</v>
      </c>
      <c r="BP18" s="25" t="str">
        <f t="shared" si="41"/>
        <v>assttag</v>
      </c>
      <c r="BQ18" s="23" t="str">
        <f t="shared" si="42"/>
        <v>assttag = "Q"</v>
      </c>
      <c r="BR18" s="23" t="str">
        <f t="shared" si="43"/>
        <v>Public assttag As String</v>
      </c>
      <c r="BY18" s="23"/>
      <c r="CA18" s="23"/>
      <c r="CL18" s="26" t="s">
        <v>369</v>
      </c>
      <c r="CM18" s="23" t="s">
        <v>45</v>
      </c>
      <c r="CN18" s="23" t="str">
        <f>$AN$2&amp;CO18</f>
        <v>idINST</v>
      </c>
      <c r="CO18" s="23" t="s">
        <v>118</v>
      </c>
      <c r="CR18" s="23" t="str">
        <f t="shared" si="51"/>
        <v>Public idINST As String</v>
      </c>
      <c r="CS18" s="23" t="str">
        <f t="shared" si="52"/>
        <v>idINST = "Q"</v>
      </c>
      <c r="CT18" s="23" t="str">
        <f t="shared" si="53"/>
        <v>idINST = "INST UNIQUI ID"</v>
      </c>
      <c r="CU18" s="23" t="str">
        <f t="shared" si="54"/>
        <v>Public idINST As String</v>
      </c>
      <c r="CV18" s="23" t="str">
        <f t="shared" si="55"/>
        <v>idINST = "idINST"</v>
      </c>
      <c r="CW18" s="23" t="str">
        <f t="shared" si="56"/>
        <v>a.idINST= assign(ac.idINST, i)</v>
      </c>
      <c r="CX18" s="23" t="str">
        <f t="shared" si="57"/>
        <v>Call store(ac.idINST, row, a.idINST)</v>
      </c>
      <c r="DC18" s="26" t="s">
        <v>261</v>
      </c>
      <c r="DD18" s="23" t="s">
        <v>427</v>
      </c>
      <c r="DE18" t="s">
        <v>387</v>
      </c>
      <c r="DI18" s="23" t="str">
        <f t="shared" si="58"/>
        <v>Public depth As Integer</v>
      </c>
      <c r="DJ18" s="23" t="str">
        <f t="shared" si="59"/>
        <v>depth = "Q"</v>
      </c>
      <c r="DK18" s="23" t="str">
        <f t="shared" si="60"/>
        <v>depth = "DEPTH"</v>
      </c>
      <c r="DL18" s="23" t="str">
        <f t="shared" si="61"/>
        <v>Public depth As String</v>
      </c>
      <c r="DM18" s="23" t="str">
        <f t="shared" si="62"/>
        <v>depth = "depth"</v>
      </c>
      <c r="DN18" s="23" t="str">
        <f t="shared" si="63"/>
        <v>a.depth= assign(ac.depth, i)</v>
      </c>
      <c r="DO18" s="23" t="str">
        <f t="shared" si="64"/>
        <v>Call store(ac.depth, row, a.depth)</v>
      </c>
    </row>
    <row r="19" spans="1:119" ht="13.8" x14ac:dyDescent="0.25">
      <c r="A19">
        <v>82</v>
      </c>
      <c r="B19" t="str">
        <f t="shared" si="17"/>
        <v>R</v>
      </c>
      <c r="E19" s="7" t="s">
        <v>120</v>
      </c>
      <c r="F19" t="s">
        <v>46</v>
      </c>
      <c r="G19" t="str">
        <f>$AN3&amp;H19</f>
        <v>hcOverrideARR</v>
      </c>
      <c r="H19" t="s">
        <v>86</v>
      </c>
      <c r="J19" s="24"/>
      <c r="K19" s="23" t="str">
        <f t="shared" si="18"/>
        <v>Public hcOverrideARR As Double</v>
      </c>
      <c r="L19" s="23" t="str">
        <f t="shared" si="19"/>
        <v>hcOverrideARR = "R"</v>
      </c>
      <c r="M19" s="23" t="str">
        <f t="shared" si="20"/>
        <v>hcOverrideARR = "ARR Haircut Override"</v>
      </c>
      <c r="N19" s="23" t="str">
        <f t="shared" si="21"/>
        <v>Public hcOverrideARR As String</v>
      </c>
      <c r="O19" s="23" t="str">
        <f t="shared" si="22"/>
        <v>hcOverrideARR = "hcOverrideARR"</v>
      </c>
      <c r="P19" s="23" t="str">
        <f t="shared" si="23"/>
        <v>a.hcOverrideARR= assign(ac.hcOverrideARR, i)</v>
      </c>
      <c r="Q19" s="23" t="str">
        <f t="shared" si="24"/>
        <v>Call store(ac.hcOverrideARR, row, a.hcOverrideARR)</v>
      </c>
      <c r="AK19" t="s">
        <v>103</v>
      </c>
      <c r="AS19" s="2" t="s">
        <v>147</v>
      </c>
      <c r="AT19" t="s">
        <v>45</v>
      </c>
      <c r="AU19" t="s">
        <v>171</v>
      </c>
      <c r="AV19" s="23"/>
      <c r="AW19" s="18" t="str">
        <f t="shared" si="32"/>
        <v>Public asstTag As String</v>
      </c>
      <c r="AX19" s="18" t="str">
        <f t="shared" si="33"/>
        <v>asstTag = "R"</v>
      </c>
      <c r="AY19" s="18" t="str">
        <f t="shared" si="34"/>
        <v>asstTag = "Asst Tag"</v>
      </c>
      <c r="AZ19" s="18" t="str">
        <f t="shared" si="35"/>
        <v>Public asstTag As String</v>
      </c>
      <c r="BA19" s="18" t="str">
        <f t="shared" si="36"/>
        <v>asstTag = "asstTag"</v>
      </c>
      <c r="BB19" s="18" t="str">
        <f t="shared" si="37"/>
        <v>s.asstTag = assign(sc.asstTag, i)</v>
      </c>
      <c r="BC19" s="18" t="str">
        <f t="shared" si="38"/>
        <v>Call store(sc.asstTag, row, var.asstTag)</v>
      </c>
      <c r="BD19" s="18" t="str">
        <f t="shared" si="39"/>
        <v>s.asstTag = kod</v>
      </c>
      <c r="BK19" s="23" t="str">
        <f t="shared" si="40"/>
        <v>R</v>
      </c>
      <c r="BL19" s="25" t="s">
        <v>259</v>
      </c>
      <c r="BM19" s="25"/>
      <c r="BN19" s="25" t="s">
        <v>285</v>
      </c>
      <c r="BO19" s="25" t="s">
        <v>185</v>
      </c>
      <c r="BP19" s="25" t="str">
        <f t="shared" si="41"/>
        <v>perc</v>
      </c>
      <c r="BQ19" s="23" t="str">
        <f t="shared" si="42"/>
        <v>perc = "R"</v>
      </c>
      <c r="BR19" s="23" t="str">
        <f t="shared" si="43"/>
        <v>Public perc As String</v>
      </c>
      <c r="CL19" s="26" t="s">
        <v>370</v>
      </c>
      <c r="CM19" s="23" t="s">
        <v>45</v>
      </c>
      <c r="CN19" s="23" t="s">
        <v>2</v>
      </c>
      <c r="CR19" s="23" t="str">
        <f t="shared" si="51"/>
        <v>Public CCY As String</v>
      </c>
      <c r="CS19" s="23" t="str">
        <f t="shared" si="52"/>
        <v>CCY = "R"</v>
      </c>
      <c r="CT19" s="23" t="str">
        <f t="shared" si="53"/>
        <v>CCY = "PLDG CCY ISO CODE"</v>
      </c>
      <c r="CU19" s="23" t="str">
        <f t="shared" si="54"/>
        <v>Public CCY As String</v>
      </c>
      <c r="CV19" s="23" t="str">
        <f t="shared" si="55"/>
        <v>CCY = "CCY"</v>
      </c>
      <c r="CW19" s="23" t="str">
        <f t="shared" si="56"/>
        <v>a.CCY= assign(ac.CCY, i)</v>
      </c>
      <c r="CX19" s="23" t="str">
        <f t="shared" si="57"/>
        <v>Call store(ac.CCY, row, a.CCY)</v>
      </c>
      <c r="DC19" s="26" t="s">
        <v>247</v>
      </c>
      <c r="DD19" s="23" t="s">
        <v>45</v>
      </c>
      <c r="DE19" t="s">
        <v>388</v>
      </c>
      <c r="DI19" s="23" t="str">
        <f t="shared" si="58"/>
        <v>Public hasPE As String</v>
      </c>
      <c r="DJ19" s="23" t="str">
        <f t="shared" si="59"/>
        <v>hasPE = "R"</v>
      </c>
      <c r="DK19" s="23" t="str">
        <f t="shared" si="60"/>
        <v>hasPE = "HAS_PE"</v>
      </c>
      <c r="DL19" s="23" t="str">
        <f t="shared" si="61"/>
        <v>Public hasPE As String</v>
      </c>
      <c r="DM19" s="23" t="str">
        <f t="shared" si="62"/>
        <v>hasPE = "hasPE"</v>
      </c>
      <c r="DN19" s="23" t="str">
        <f t="shared" si="63"/>
        <v>a.hasPE= assign(ac.hasPE, i)</v>
      </c>
      <c r="DO19" s="23" t="str">
        <f t="shared" si="64"/>
        <v>Call store(ac.hasPE, row, a.hasPE)</v>
      </c>
    </row>
    <row r="20" spans="1:119" ht="13.8" x14ac:dyDescent="0.25">
      <c r="A20">
        <v>83</v>
      </c>
      <c r="B20" t="str">
        <f t="shared" si="17"/>
        <v>S</v>
      </c>
      <c r="E20" s="12" t="s">
        <v>121</v>
      </c>
      <c r="F20" t="s">
        <v>106</v>
      </c>
      <c r="G20" t="str">
        <f>$AN4&amp;H20</f>
        <v>hcExpiryARR</v>
      </c>
      <c r="H20" t="s">
        <v>86</v>
      </c>
      <c r="J20" s="24"/>
      <c r="K20" s="23" t="str">
        <f t="shared" si="18"/>
        <v>Public hcExpiryARR As Date</v>
      </c>
      <c r="L20" s="23" t="str">
        <f t="shared" si="19"/>
        <v>hcExpiryARR = "S"</v>
      </c>
      <c r="M20" s="23" t="str">
        <f t="shared" si="20"/>
        <v>hcExpiryARR = "ARR Haircut Override Expiry Date"</v>
      </c>
      <c r="N20" s="23" t="str">
        <f t="shared" si="21"/>
        <v>Public hcExpiryARR As String</v>
      </c>
      <c r="O20" s="23" t="str">
        <f t="shared" si="22"/>
        <v>hcExpiryARR = "hcExpiryARR"</v>
      </c>
      <c r="P20" s="23" t="str">
        <f t="shared" si="23"/>
        <v>a.hcExpiryARR= assign(ac.hcExpiryARR, i)</v>
      </c>
      <c r="Q20" s="23" t="str">
        <f t="shared" si="24"/>
        <v>Call store(ac.hcExpiryARR, row, a.hcExpiryARR)</v>
      </c>
      <c r="AN20" t="s">
        <v>186</v>
      </c>
      <c r="AO20" t="s">
        <v>178</v>
      </c>
      <c r="AS20" t="s">
        <v>240</v>
      </c>
      <c r="AT20" t="s">
        <v>8</v>
      </c>
      <c r="AU20" s="18" t="s">
        <v>185</v>
      </c>
      <c r="AV20" s="23" t="s">
        <v>207</v>
      </c>
      <c r="AW20" s="18" t="str">
        <f t="shared" si="32"/>
        <v>Public PERC As Currency</v>
      </c>
      <c r="AX20" s="18" t="str">
        <f t="shared" si="33"/>
        <v>PERC = "S"</v>
      </c>
      <c r="AY20" s="18" t="str">
        <f t="shared" si="34"/>
        <v>PERC = "Total Purpose Exposure remaining"</v>
      </c>
      <c r="AZ20" s="18" t="str">
        <f t="shared" si="35"/>
        <v>Public PERC As String</v>
      </c>
      <c r="BA20" s="18" t="str">
        <f t="shared" si="36"/>
        <v>PERC = "PERC"</v>
      </c>
      <c r="BB20" s="18" t="str">
        <f t="shared" si="37"/>
        <v>s.PERC = assign(sc.PERC, i)</v>
      </c>
      <c r="BC20" s="18" t="str">
        <f t="shared" si="38"/>
        <v>Call store(sc.PERC, row, var.PERC)</v>
      </c>
      <c r="BD20" s="18" t="str">
        <f t="shared" si="39"/>
        <v>s.PERC = kod</v>
      </c>
      <c r="BK20" s="23" t="str">
        <f t="shared" si="40"/>
        <v>S</v>
      </c>
      <c r="BL20" s="25" t="s">
        <v>260</v>
      </c>
      <c r="BM20" s="25"/>
      <c r="BN20" s="25" t="s">
        <v>286</v>
      </c>
      <c r="BO20" s="25" t="s">
        <v>184</v>
      </c>
      <c r="BP20" s="25" t="str">
        <f t="shared" si="41"/>
        <v>nperc</v>
      </c>
      <c r="BQ20" s="23" t="str">
        <f t="shared" si="42"/>
        <v>nperc = "S"</v>
      </c>
      <c r="BR20" s="23" t="str">
        <f t="shared" si="43"/>
        <v>Public nperc As String</v>
      </c>
      <c r="CL20" s="29"/>
      <c r="DC20" s="26" t="s">
        <v>248</v>
      </c>
      <c r="DD20" s="23" t="s">
        <v>45</v>
      </c>
      <c r="DE20" t="s">
        <v>389</v>
      </c>
      <c r="DI20" s="23" t="str">
        <f t="shared" si="58"/>
        <v>Public hasNPE As String</v>
      </c>
      <c r="DJ20" s="23" t="str">
        <f t="shared" si="59"/>
        <v>hasNPE = "S"</v>
      </c>
      <c r="DK20" s="23" t="str">
        <f t="shared" si="60"/>
        <v>hasNPE = "HAS_NPE"</v>
      </c>
      <c r="DL20" s="23" t="str">
        <f t="shared" si="61"/>
        <v>Public hasNPE As String</v>
      </c>
      <c r="DM20" s="23" t="str">
        <f t="shared" si="62"/>
        <v>hasNPE = "hasNPE"</v>
      </c>
      <c r="DN20" s="23" t="str">
        <f t="shared" si="63"/>
        <v>a.hasNPE= assign(ac.hasNPE, i)</v>
      </c>
      <c r="DO20" s="23" t="str">
        <f t="shared" si="64"/>
        <v>Call store(ac.hasNPE, row, a.hasNPE)</v>
      </c>
    </row>
    <row r="21" spans="1:119" ht="13.8" x14ac:dyDescent="0.25">
      <c r="A21">
        <v>84</v>
      </c>
      <c r="B21" t="str">
        <f t="shared" si="17"/>
        <v>T</v>
      </c>
      <c r="E21" s="7" t="s">
        <v>122</v>
      </c>
      <c r="F21" t="s">
        <v>105</v>
      </c>
      <c r="G21" t="str">
        <f>$AN5&amp;H21</f>
        <v>hcFlagARR</v>
      </c>
      <c r="H21" t="s">
        <v>86</v>
      </c>
      <c r="J21" s="24"/>
      <c r="K21" s="23" t="str">
        <f t="shared" si="18"/>
        <v>Public hcFlagARR As Boolean</v>
      </c>
      <c r="L21" s="23" t="str">
        <f t="shared" si="19"/>
        <v>hcFlagARR = "T"</v>
      </c>
      <c r="M21" s="23" t="str">
        <f t="shared" si="20"/>
        <v>hcFlagARR = "ARR Haircut On / Off"</v>
      </c>
      <c r="N21" s="23" t="str">
        <f t="shared" si="21"/>
        <v>Public hcFlagARR As String</v>
      </c>
      <c r="O21" s="23" t="str">
        <f t="shared" si="22"/>
        <v>hcFlagARR = "hcFlagARR"</v>
      </c>
      <c r="P21" s="23" t="str">
        <f t="shared" si="23"/>
        <v>a.hcFlagARR= assign(ac.hcFlagARR, i)</v>
      </c>
      <c r="Q21" s="23" t="str">
        <f t="shared" si="24"/>
        <v>Call store(ac.hcFlagARR, row, a.hcFlagARR)</v>
      </c>
      <c r="AO21" t="s">
        <v>179</v>
      </c>
      <c r="AS21" t="s">
        <v>244</v>
      </c>
      <c r="AT21" s="18" t="s">
        <v>8</v>
      </c>
      <c r="AU21" s="18" t="s">
        <v>184</v>
      </c>
      <c r="AV21" s="23" t="s">
        <v>208</v>
      </c>
      <c r="AW21" s="18" t="str">
        <f t="shared" si="32"/>
        <v>Public NPERC As Currency</v>
      </c>
      <c r="AX21" s="18" t="str">
        <f t="shared" si="33"/>
        <v>NPERC = "T"</v>
      </c>
      <c r="AY21" s="18" t="str">
        <f t="shared" si="34"/>
        <v>NPERC = "Total Non Purpose Exposure remaining"</v>
      </c>
      <c r="AZ21" s="18" t="str">
        <f t="shared" si="35"/>
        <v>Public NPERC As String</v>
      </c>
      <c r="BA21" s="18" t="str">
        <f t="shared" si="36"/>
        <v>NPERC = "NPERC"</v>
      </c>
      <c r="BB21" s="18" t="str">
        <f t="shared" si="37"/>
        <v>s.NPERC = assign(sc.NPERC, i)</v>
      </c>
      <c r="BC21" s="18" t="str">
        <f t="shared" si="38"/>
        <v>Call store(sc.NPERC, row, var.NPERC)</v>
      </c>
      <c r="BD21" s="18" t="str">
        <f t="shared" si="39"/>
        <v>s.NPERC = kod</v>
      </c>
      <c r="BK21" s="23" t="str">
        <f t="shared" si="40"/>
        <v>T</v>
      </c>
      <c r="BL21" s="25" t="s">
        <v>261</v>
      </c>
      <c r="BM21" s="25"/>
      <c r="BN21" s="25" t="s">
        <v>287</v>
      </c>
      <c r="BO21" s="25"/>
      <c r="BP21" s="25"/>
      <c r="CL21" s="29"/>
      <c r="DC21" s="26" t="s">
        <v>249</v>
      </c>
      <c r="DD21" s="23" t="s">
        <v>45</v>
      </c>
      <c r="DE21" t="s">
        <v>390</v>
      </c>
      <c r="DI21" s="23" t="str">
        <f t="shared" si="58"/>
        <v>Public hasMS As String</v>
      </c>
      <c r="DJ21" s="23" t="str">
        <f t="shared" si="59"/>
        <v>hasMS = "T"</v>
      </c>
      <c r="DK21" s="23" t="str">
        <f t="shared" si="60"/>
        <v>hasMS = "HAS_MS"</v>
      </c>
      <c r="DL21" s="23" t="str">
        <f t="shared" si="61"/>
        <v>Public hasMS As String</v>
      </c>
      <c r="DM21" s="23" t="str">
        <f t="shared" si="62"/>
        <v>hasMS = "hasMS"</v>
      </c>
      <c r="DN21" s="23" t="str">
        <f t="shared" si="63"/>
        <v>a.hasMS= assign(ac.hasMS, i)</v>
      </c>
      <c r="DO21" s="23" t="str">
        <f t="shared" si="64"/>
        <v>Call store(ac.hasMS, row, a.hasMS)</v>
      </c>
    </row>
    <row r="22" spans="1:119" ht="13.8" x14ac:dyDescent="0.25">
      <c r="A22">
        <v>85</v>
      </c>
      <c r="B22" t="str">
        <f t="shared" si="17"/>
        <v>U</v>
      </c>
      <c r="E22" s="7" t="s">
        <v>123</v>
      </c>
      <c r="F22" t="s">
        <v>46</v>
      </c>
      <c r="G22" t="str">
        <f>$AN3&amp;H22</f>
        <v>hcOverrideCCY</v>
      </c>
      <c r="H22" t="s">
        <v>2</v>
      </c>
      <c r="J22" s="24"/>
      <c r="K22" s="23" t="str">
        <f t="shared" si="18"/>
        <v>Public hcOverrideCCY As Double</v>
      </c>
      <c r="L22" s="23" t="str">
        <f t="shared" si="19"/>
        <v>hcOverrideCCY = "U"</v>
      </c>
      <c r="M22" s="23" t="str">
        <f t="shared" si="20"/>
        <v>hcOverrideCCY = "CCY Haircut Override"</v>
      </c>
      <c r="N22" s="23" t="str">
        <f t="shared" si="21"/>
        <v>Public hcOverrideCCY As String</v>
      </c>
      <c r="O22" s="23" t="str">
        <f t="shared" si="22"/>
        <v>hcOverrideCCY = "hcOverrideCCY"</v>
      </c>
      <c r="P22" s="23" t="str">
        <f t="shared" si="23"/>
        <v>a.hcOverrideCCY= assign(ac.hcOverrideCCY, i)</v>
      </c>
      <c r="Q22" s="23" t="str">
        <f t="shared" si="24"/>
        <v>Call store(ac.hcOverrideCCY, row, a.hcOverrideCCY)</v>
      </c>
      <c r="AM22" t="s">
        <v>187</v>
      </c>
      <c r="AN22" s="18" t="s">
        <v>5</v>
      </c>
      <c r="AO22" t="s">
        <v>67</v>
      </c>
      <c r="AS22" t="s">
        <v>241</v>
      </c>
      <c r="AT22" s="18" t="s">
        <v>8</v>
      </c>
      <c r="AU22" s="18" t="s">
        <v>188</v>
      </c>
      <c r="AV22" s="23" t="s">
        <v>209</v>
      </c>
      <c r="AW22" s="18" t="str">
        <f t="shared" si="32"/>
        <v>Public msPBA As Currency</v>
      </c>
      <c r="AX22" s="18" t="str">
        <f t="shared" si="33"/>
        <v>msPBA = "U"</v>
      </c>
      <c r="AY22" s="18" t="str">
        <f t="shared" si="34"/>
        <v>msPBA = "Purpose Borrowing Availability (for Margin Stocks)"</v>
      </c>
      <c r="AZ22" s="18" t="str">
        <f t="shared" si="35"/>
        <v>Public msPBA As String</v>
      </c>
      <c r="BA22" s="18" t="str">
        <f t="shared" si="36"/>
        <v>msPBA = "msPBA"</v>
      </c>
      <c r="BB22" s="18" t="str">
        <f t="shared" si="37"/>
        <v>s.msPBA = assign(sc.msPBA, i)</v>
      </c>
      <c r="BC22" s="18" t="str">
        <f t="shared" si="38"/>
        <v>Call store(sc.msPBA, row, var.msPBA)</v>
      </c>
      <c r="BD22" s="18" t="str">
        <f t="shared" si="39"/>
        <v>s.msPBA = kod</v>
      </c>
      <c r="BK22" s="23" t="str">
        <f t="shared" si="40"/>
        <v>U</v>
      </c>
      <c r="BL22" s="25" t="s">
        <v>262</v>
      </c>
      <c r="BM22" s="25"/>
      <c r="BN22" s="25" t="s">
        <v>288</v>
      </c>
      <c r="BO22" s="25"/>
      <c r="BP22" s="25"/>
      <c r="CL22" s="29"/>
      <c r="DC22" s="26" t="s">
        <v>250</v>
      </c>
      <c r="DD22" s="23" t="s">
        <v>45</v>
      </c>
      <c r="DE22" t="s">
        <v>391</v>
      </c>
      <c r="DI22" s="23" t="str">
        <f t="shared" si="58"/>
        <v>Public hasNMS As String</v>
      </c>
      <c r="DJ22" s="23" t="str">
        <f t="shared" si="59"/>
        <v>hasNMS = "U"</v>
      </c>
      <c r="DK22" s="23" t="str">
        <f t="shared" si="60"/>
        <v>hasNMS = "HAS_NMS"</v>
      </c>
      <c r="DL22" s="23" t="str">
        <f t="shared" si="61"/>
        <v>Public hasNMS As String</v>
      </c>
      <c r="DM22" s="23" t="str">
        <f t="shared" si="62"/>
        <v>hasNMS = "hasNMS"</v>
      </c>
      <c r="DN22" s="23" t="str">
        <f t="shared" si="63"/>
        <v>a.hasNMS= assign(ac.hasNMS, i)</v>
      </c>
      <c r="DO22" s="23" t="str">
        <f t="shared" si="64"/>
        <v>Call store(ac.hasNMS, row, a.hasNMS)</v>
      </c>
    </row>
    <row r="23" spans="1:119" ht="13.8" x14ac:dyDescent="0.25">
      <c r="A23">
        <v>86</v>
      </c>
      <c r="B23" t="str">
        <f t="shared" si="17"/>
        <v>V</v>
      </c>
      <c r="E23" s="12" t="s">
        <v>124</v>
      </c>
      <c r="F23" t="s">
        <v>106</v>
      </c>
      <c r="G23" t="str">
        <f>$AN4&amp;H23</f>
        <v>hcExpiryCCY</v>
      </c>
      <c r="H23" t="s">
        <v>2</v>
      </c>
      <c r="J23" s="24"/>
      <c r="K23" s="23" t="str">
        <f t="shared" si="18"/>
        <v>Public hcExpiryCCY As Date</v>
      </c>
      <c r="L23" s="23" t="str">
        <f t="shared" si="19"/>
        <v>hcExpiryCCY = "V"</v>
      </c>
      <c r="M23" s="23" t="str">
        <f t="shared" si="20"/>
        <v>hcExpiryCCY = "CCY Haircut Override Expiry Date"</v>
      </c>
      <c r="N23" s="23" t="str">
        <f t="shared" si="21"/>
        <v>Public hcExpiryCCY As String</v>
      </c>
      <c r="O23" s="23" t="str">
        <f t="shared" si="22"/>
        <v>hcExpiryCCY = "hcExpiryCCY"</v>
      </c>
      <c r="P23" s="23" t="str">
        <f t="shared" si="23"/>
        <v>a.hcExpiryCCY= assign(ac.hcExpiryCCY, i)</v>
      </c>
      <c r="Q23" s="23" t="str">
        <f t="shared" si="24"/>
        <v>Call store(ac.hcExpiryCCY, row, a.hcExpiryCCY)</v>
      </c>
      <c r="AO23" t="s">
        <v>68</v>
      </c>
      <c r="AS23" s="23" t="s">
        <v>243</v>
      </c>
      <c r="AT23" s="18" t="s">
        <v>8</v>
      </c>
      <c r="AU23" s="18" t="s">
        <v>189</v>
      </c>
      <c r="AV23" s="23" t="s">
        <v>210</v>
      </c>
      <c r="AW23" s="18" t="str">
        <f t="shared" si="32"/>
        <v>Public nmsPBA As Currency</v>
      </c>
      <c r="AX23" s="18" t="str">
        <f t="shared" si="33"/>
        <v>nmsPBA = "V"</v>
      </c>
      <c r="AY23" s="18" t="str">
        <f t="shared" si="34"/>
        <v>nmsPBA = "Purpose Borrowing Availability (for Non Margin Stocks)"</v>
      </c>
      <c r="AZ23" s="18" t="str">
        <f t="shared" si="35"/>
        <v>Public nmsPBA As String</v>
      </c>
      <c r="BA23" s="18" t="str">
        <f t="shared" si="36"/>
        <v>nmsPBA = "nmsPBA"</v>
      </c>
      <c r="BB23" s="18" t="str">
        <f t="shared" si="37"/>
        <v>s.nmsPBA = assign(sc.nmsPBA, i)</v>
      </c>
      <c r="BC23" s="18" t="str">
        <f t="shared" si="38"/>
        <v>Call store(sc.nmsPBA, row, var.nmsPBA)</v>
      </c>
      <c r="BD23" s="18" t="str">
        <f t="shared" si="39"/>
        <v>s.nmsPBA = kod</v>
      </c>
      <c r="BM23" s="25"/>
      <c r="BN23" s="25" t="s">
        <v>289</v>
      </c>
      <c r="BO23" s="25"/>
      <c r="BP23" s="25"/>
      <c r="CL23" s="29"/>
      <c r="DC23" s="26" t="s">
        <v>262</v>
      </c>
      <c r="DD23" s="23" t="s">
        <v>427</v>
      </c>
      <c r="DE23" t="s">
        <v>392</v>
      </c>
      <c r="DI23" s="23" t="str">
        <f t="shared" si="58"/>
        <v>Public steps As Integer</v>
      </c>
      <c r="DJ23" s="23" t="str">
        <f t="shared" si="59"/>
        <v>steps = "V"</v>
      </c>
      <c r="DK23" s="23" t="str">
        <f t="shared" si="60"/>
        <v>steps = "STEPS"</v>
      </c>
      <c r="DL23" s="23" t="str">
        <f t="shared" si="61"/>
        <v>Public steps As String</v>
      </c>
      <c r="DM23" s="23" t="str">
        <f t="shared" si="62"/>
        <v>steps = "steps"</v>
      </c>
      <c r="DN23" s="23" t="str">
        <f t="shared" si="63"/>
        <v>a.steps= assign(ac.steps, i)</v>
      </c>
      <c r="DO23" s="23" t="str">
        <f t="shared" si="64"/>
        <v>Call store(ac.steps, row, a.steps)</v>
      </c>
    </row>
    <row r="24" spans="1:119" ht="13.8" x14ac:dyDescent="0.25">
      <c r="A24">
        <v>87</v>
      </c>
      <c r="B24" t="str">
        <f t="shared" si="17"/>
        <v>W</v>
      </c>
      <c r="E24" s="7" t="s">
        <v>125</v>
      </c>
      <c r="F24" t="s">
        <v>105</v>
      </c>
      <c r="G24" t="str">
        <f>$AN5&amp;H24</f>
        <v>hcFlagCCY</v>
      </c>
      <c r="H24" t="s">
        <v>2</v>
      </c>
      <c r="J24" s="24"/>
      <c r="K24" s="23" t="str">
        <f t="shared" si="18"/>
        <v>Public hcFlagCCY As Boolean</v>
      </c>
      <c r="L24" s="23" t="str">
        <f t="shared" si="19"/>
        <v>hcFlagCCY = "W"</v>
      </c>
      <c r="M24" s="23" t="str">
        <f t="shared" si="20"/>
        <v>hcFlagCCY = "CCY Haircut On / Off"</v>
      </c>
      <c r="N24" s="23" t="str">
        <f t="shared" si="21"/>
        <v>Public hcFlagCCY As String</v>
      </c>
      <c r="O24" s="23" t="str">
        <f t="shared" si="22"/>
        <v>hcFlagCCY = "hcFlagCCY"</v>
      </c>
      <c r="P24" s="23" t="str">
        <f t="shared" si="23"/>
        <v>a.hcFlagCCY= assign(ac.hcFlagCCY, i)</v>
      </c>
      <c r="Q24" s="23" t="str">
        <f t="shared" si="24"/>
        <v>Call store(ac.hcFlagCCY, row, a.hcFlagCCY)</v>
      </c>
      <c r="AN24" s="18" t="s">
        <v>6</v>
      </c>
      <c r="AO24" s="18" t="s">
        <v>67</v>
      </c>
      <c r="AS24" s="23" t="s">
        <v>242</v>
      </c>
      <c r="AT24" s="18" t="s">
        <v>8</v>
      </c>
      <c r="AU24" s="18" t="s">
        <v>190</v>
      </c>
      <c r="AV24" s="23" t="s">
        <v>211</v>
      </c>
      <c r="AW24" s="18" t="str">
        <f t="shared" si="32"/>
        <v>Public msNPBA As Currency</v>
      </c>
      <c r="AX24" s="18" t="str">
        <f t="shared" si="33"/>
        <v>msNPBA = "W"</v>
      </c>
      <c r="AY24" s="18" t="str">
        <f t="shared" si="34"/>
        <v>msNPBA = "Non Purpose Borrowing Availability (for Margin Stocks)"</v>
      </c>
      <c r="AZ24" s="18" t="str">
        <f t="shared" si="35"/>
        <v>Public msNPBA As String</v>
      </c>
      <c r="BA24" s="18" t="str">
        <f t="shared" si="36"/>
        <v>msNPBA = "msNPBA"</v>
      </c>
      <c r="BB24" s="18" t="str">
        <f t="shared" si="37"/>
        <v>s.msNPBA = assign(sc.msNPBA, i)</v>
      </c>
      <c r="BC24" s="18" t="str">
        <f t="shared" si="38"/>
        <v>Call store(sc.msNPBA, row, var.msNPBA)</v>
      </c>
      <c r="BD24" s="18" t="str">
        <f t="shared" si="39"/>
        <v>s.msNPBA = kod</v>
      </c>
      <c r="BM24" s="25"/>
      <c r="BN24" s="25" t="s">
        <v>290</v>
      </c>
      <c r="BO24" s="25"/>
      <c r="BP24" s="25"/>
      <c r="CL24" s="29"/>
      <c r="DC24" s="26" t="s">
        <v>417</v>
      </c>
      <c r="DD24" t="s">
        <v>47</v>
      </c>
      <c r="DE24" s="30" t="s">
        <v>375</v>
      </c>
      <c r="DI24" s="23" t="str">
        <f t="shared" si="58"/>
        <v>Public p_fac As Long</v>
      </c>
      <c r="DJ24" s="23" t="str">
        <f t="shared" si="59"/>
        <v>p_fac = "W"</v>
      </c>
      <c r="DK24" s="23" t="str">
        <f t="shared" si="60"/>
        <v>p_fac = "Purp_Facility"</v>
      </c>
      <c r="DL24" s="23" t="str">
        <f t="shared" si="61"/>
        <v>Public p_fac As String</v>
      </c>
      <c r="DM24" s="23" t="str">
        <f t="shared" si="62"/>
        <v>p_fac = "p_fac"</v>
      </c>
      <c r="DN24" s="23" t="str">
        <f t="shared" si="63"/>
        <v>a.p_fac= assign(ac.p_fac, i)</v>
      </c>
      <c r="DO24" s="23" t="str">
        <f t="shared" si="64"/>
        <v>Call store(ac.p_fac, row, a.p_fac)</v>
      </c>
    </row>
    <row r="25" spans="1:119" ht="13.8" x14ac:dyDescent="0.25">
      <c r="A25">
        <v>88</v>
      </c>
      <c r="B25" t="str">
        <f t="shared" si="17"/>
        <v>X</v>
      </c>
      <c r="E25" s="7" t="s">
        <v>126</v>
      </c>
      <c r="F25" t="s">
        <v>46</v>
      </c>
      <c r="G25" t="str">
        <f>$AN3&amp;H25</f>
        <v>hcOverridePOS</v>
      </c>
      <c r="H25" t="s">
        <v>87</v>
      </c>
      <c r="J25" s="24"/>
      <c r="K25" s="23" t="str">
        <f t="shared" si="18"/>
        <v>Public hcOverridePOS As Double</v>
      </c>
      <c r="L25" s="23" t="str">
        <f t="shared" si="19"/>
        <v>hcOverridePOS = "X"</v>
      </c>
      <c r="M25" s="23" t="str">
        <f t="shared" si="20"/>
        <v>hcOverridePOS = "POS Haircut Override"</v>
      </c>
      <c r="N25" s="23" t="str">
        <f t="shared" si="21"/>
        <v>Public hcOverridePOS As String</v>
      </c>
      <c r="O25" s="23" t="str">
        <f t="shared" si="22"/>
        <v>hcOverridePOS = "hcOverridePOS"</v>
      </c>
      <c r="P25" s="23" t="str">
        <f t="shared" si="23"/>
        <v>a.hcOverridePOS= assign(ac.hcOverridePOS, i)</v>
      </c>
      <c r="Q25" s="23" t="str">
        <f t="shared" si="24"/>
        <v>Call store(ac.hcOverridePOS, row, a.hcOverridePOS)</v>
      </c>
      <c r="AO25" s="18" t="s">
        <v>68</v>
      </c>
      <c r="AS25" s="23" t="s">
        <v>245</v>
      </c>
      <c r="AT25" s="18" t="s">
        <v>8</v>
      </c>
      <c r="AU25" s="18" t="s">
        <v>191</v>
      </c>
      <c r="AV25" s="23" t="s">
        <v>212</v>
      </c>
      <c r="AW25" s="18" t="str">
        <f t="shared" si="32"/>
        <v>Public nmsNPBA As Currency</v>
      </c>
      <c r="AX25" s="18" t="str">
        <f t="shared" si="33"/>
        <v>nmsNPBA = "X"</v>
      </c>
      <c r="AY25" s="18" t="str">
        <f t="shared" si="34"/>
        <v>nmsNPBA = "Non Purpose Borrowing Availability (for Non Margin Stocks)"</v>
      </c>
      <c r="AZ25" s="18" t="str">
        <f t="shared" si="35"/>
        <v>Public nmsNPBA As String</v>
      </c>
      <c r="BA25" s="18" t="str">
        <f t="shared" si="36"/>
        <v>nmsNPBA = "nmsNPBA"</v>
      </c>
      <c r="BB25" s="18" t="str">
        <f t="shared" si="37"/>
        <v>s.nmsNPBA = assign(sc.nmsNPBA, i)</v>
      </c>
      <c r="BC25" s="18" t="str">
        <f t="shared" si="38"/>
        <v>Call store(sc.nmsNPBA, row, var.nmsNPBA)</v>
      </c>
      <c r="BD25" s="18" t="str">
        <f t="shared" si="39"/>
        <v>s.nmsNPBA = kod</v>
      </c>
      <c r="BM25" s="25"/>
      <c r="BN25" s="25" t="s">
        <v>291</v>
      </c>
      <c r="BO25" s="25"/>
      <c r="BP25" s="25"/>
      <c r="CL25" s="29"/>
      <c r="DC25" s="26" t="s">
        <v>419</v>
      </c>
      <c r="DD25" s="23" t="s">
        <v>47</v>
      </c>
      <c r="DE25" s="30" t="s">
        <v>376</v>
      </c>
      <c r="DI25" s="23" t="str">
        <f t="shared" si="58"/>
        <v>Public p_ae As Long</v>
      </c>
      <c r="DJ25" s="23" t="str">
        <f t="shared" si="59"/>
        <v>p_ae = "X"</v>
      </c>
      <c r="DK25" s="23" t="str">
        <f t="shared" si="60"/>
        <v>p_ae = "Purp_AddnlExpo"</v>
      </c>
      <c r="DL25" s="23" t="str">
        <f t="shared" si="61"/>
        <v>Public p_ae As String</v>
      </c>
      <c r="DM25" s="23" t="str">
        <f t="shared" si="62"/>
        <v>p_ae = "p_ae"</v>
      </c>
      <c r="DN25" s="23" t="str">
        <f t="shared" si="63"/>
        <v>a.p_ae= assign(ac.p_ae, i)</v>
      </c>
      <c r="DO25" s="23" t="str">
        <f t="shared" si="64"/>
        <v>Call store(ac.p_ae, row, a.p_ae)</v>
      </c>
    </row>
    <row r="26" spans="1:119" ht="13.8" x14ac:dyDescent="0.25">
      <c r="A26">
        <v>89</v>
      </c>
      <c r="B26" t="str">
        <f t="shared" si="17"/>
        <v>Y</v>
      </c>
      <c r="E26" s="12" t="s">
        <v>127</v>
      </c>
      <c r="F26" t="s">
        <v>106</v>
      </c>
      <c r="G26" t="str">
        <f>$AN4&amp;H26</f>
        <v>hcExpiryPOS</v>
      </c>
      <c r="H26" t="s">
        <v>87</v>
      </c>
      <c r="J26" s="18" t="s">
        <v>219</v>
      </c>
      <c r="K26" s="23" t="str">
        <f t="shared" si="18"/>
        <v>Public hcExpiryPOS As Date</v>
      </c>
      <c r="L26" s="23" t="str">
        <f t="shared" si="19"/>
        <v>hcExpiryPOS = "Y"</v>
      </c>
      <c r="M26" s="23" t="str">
        <f t="shared" si="20"/>
        <v>hcExpiryPOS = "POS Haircut Override Expiry Date"</v>
      </c>
      <c r="N26" s="23" t="str">
        <f t="shared" si="21"/>
        <v>Public hcExpiryPOS As String</v>
      </c>
      <c r="O26" s="23" t="str">
        <f t="shared" si="22"/>
        <v>hcExpiryPOS = "hcExpiryPOS"</v>
      </c>
      <c r="P26" s="23" t="str">
        <f t="shared" si="23"/>
        <v>a.hcExpiryPOS= assign(ac.hcExpiryPOS, i)</v>
      </c>
      <c r="Q26" s="23" t="str">
        <f t="shared" si="24"/>
        <v>Call store(ac.hcExpiryPOS, row, a.hcExpiryPOS)</v>
      </c>
      <c r="AS26" t="s">
        <v>200</v>
      </c>
      <c r="AT26" s="18" t="s">
        <v>45</v>
      </c>
      <c r="AU26" t="s">
        <v>192</v>
      </c>
      <c r="AW26" s="18" t="str">
        <f t="shared" si="32"/>
        <v>Public reason As String</v>
      </c>
      <c r="AX26" s="18" t="str">
        <f t="shared" si="33"/>
        <v>reason = "Y"</v>
      </c>
      <c r="AY26" s="18" t="str">
        <f t="shared" si="34"/>
        <v>reason = "Reason"</v>
      </c>
      <c r="AZ26" s="18" t="str">
        <f t="shared" si="35"/>
        <v>Public reason As String</v>
      </c>
      <c r="BA26" s="18" t="str">
        <f t="shared" si="36"/>
        <v>reason = "reason"</v>
      </c>
      <c r="BB26" s="18" t="str">
        <f t="shared" si="37"/>
        <v>s.reason = assign(sc.reason, i)</v>
      </c>
      <c r="BC26" s="18" t="str">
        <f t="shared" si="38"/>
        <v>Call store(sc.reason, row, var.reason)</v>
      </c>
      <c r="BD26" s="18" t="str">
        <f t="shared" si="39"/>
        <v>s.reason = kod</v>
      </c>
      <c r="BM26" s="25"/>
      <c r="BN26" s="25" t="s">
        <v>292</v>
      </c>
      <c r="BO26" s="25"/>
      <c r="BP26" s="25"/>
      <c r="CL26" s="29"/>
      <c r="DC26" s="26" t="s">
        <v>421</v>
      </c>
      <c r="DD26" s="23" t="s">
        <v>47</v>
      </c>
      <c r="DE26" s="30" t="s">
        <v>377</v>
      </c>
      <c r="DI26" s="23" t="str">
        <f t="shared" si="58"/>
        <v>Public p_od As Long</v>
      </c>
      <c r="DJ26" s="23" t="str">
        <f t="shared" si="59"/>
        <v>p_od = "Y"</v>
      </c>
      <c r="DK26" s="23" t="str">
        <f t="shared" si="60"/>
        <v>p_od = "Purp_OverDraft"</v>
      </c>
      <c r="DL26" s="23" t="str">
        <f t="shared" si="61"/>
        <v>Public p_od As String</v>
      </c>
      <c r="DM26" s="23" t="str">
        <f t="shared" si="62"/>
        <v>p_od = "p_od"</v>
      </c>
      <c r="DN26" s="23" t="str">
        <f t="shared" si="63"/>
        <v>a.p_od= assign(ac.p_od, i)</v>
      </c>
      <c r="DO26" s="23" t="str">
        <f t="shared" si="64"/>
        <v>Call store(ac.p_od, row, a.p_od)</v>
      </c>
    </row>
    <row r="27" spans="1:119" ht="13.8" x14ac:dyDescent="0.25">
      <c r="A27">
        <v>90</v>
      </c>
      <c r="B27" t="str">
        <f t="shared" si="17"/>
        <v>Z</v>
      </c>
      <c r="E27" s="7" t="s">
        <v>128</v>
      </c>
      <c r="F27" t="s">
        <v>105</v>
      </c>
      <c r="G27" t="str">
        <f>$AN5&amp;H27</f>
        <v>hcFlagPOS</v>
      </c>
      <c r="H27" t="s">
        <v>87</v>
      </c>
      <c r="J27" s="18" t="s">
        <v>220</v>
      </c>
      <c r="K27" s="23" t="str">
        <f t="shared" si="18"/>
        <v>Public hcFlagPOS As Boolean</v>
      </c>
      <c r="L27" s="23" t="str">
        <f t="shared" si="19"/>
        <v>hcFlagPOS = "Z"</v>
      </c>
      <c r="M27" s="23" t="str">
        <f t="shared" si="20"/>
        <v>hcFlagPOS = "POS Haircut On / Off"</v>
      </c>
      <c r="N27" s="23" t="str">
        <f t="shared" si="21"/>
        <v>Public hcFlagPOS As String</v>
      </c>
      <c r="O27" s="23" t="str">
        <f t="shared" si="22"/>
        <v>hcFlagPOS = "hcFlagPOS"</v>
      </c>
      <c r="P27" s="23" t="str">
        <f t="shared" si="23"/>
        <v>a.hcFlagPOS= assign(ac.hcFlagPOS, i)</v>
      </c>
      <c r="Q27" s="23" t="str">
        <f t="shared" si="24"/>
        <v>Call store(ac.hcFlagPOS, row, a.hcFlagPOS)</v>
      </c>
      <c r="AS27" t="s">
        <v>193</v>
      </c>
      <c r="AT27" s="18" t="s">
        <v>45</v>
      </c>
      <c r="AU27" t="s">
        <v>194</v>
      </c>
      <c r="AW27" s="18" t="str">
        <f t="shared" si="32"/>
        <v>Public remCnt As String</v>
      </c>
      <c r="AX27" s="18" t="str">
        <f t="shared" si="33"/>
        <v>remCnt = "Z"</v>
      </c>
      <c r="AY27" s="18" t="str">
        <f t="shared" si="34"/>
        <v>remCnt = "remainingCounts"</v>
      </c>
      <c r="AZ27" s="18" t="str">
        <f t="shared" si="35"/>
        <v>Public remCnt As String</v>
      </c>
      <c r="BA27" s="18" t="str">
        <f t="shared" si="36"/>
        <v>remCnt = "remCnt"</v>
      </c>
      <c r="BB27" s="18" t="str">
        <f t="shared" si="37"/>
        <v>s.remCnt = assign(sc.remCnt, i)</v>
      </c>
      <c r="BC27" s="18" t="str">
        <f t="shared" si="38"/>
        <v>Call store(sc.remCnt, row, var.remCnt)</v>
      </c>
      <c r="BD27" s="18" t="str">
        <f t="shared" si="39"/>
        <v>s.remCnt = kod</v>
      </c>
      <c r="BM27" s="25"/>
      <c r="BN27" s="25" t="s">
        <v>0</v>
      </c>
      <c r="BO27" s="25"/>
      <c r="BP27" s="25"/>
      <c r="CL27" s="29"/>
      <c r="DC27" s="26" t="s">
        <v>418</v>
      </c>
      <c r="DD27" s="23" t="s">
        <v>47</v>
      </c>
      <c r="DE27" s="30" t="s">
        <v>378</v>
      </c>
      <c r="DI27" s="23" t="str">
        <f t="shared" si="58"/>
        <v>Public np_fac As Long</v>
      </c>
      <c r="DJ27" s="23" t="str">
        <f t="shared" si="59"/>
        <v>np_fac = "Z"</v>
      </c>
      <c r="DK27" s="23" t="str">
        <f t="shared" si="60"/>
        <v>np_fac = "NonPurPurp_Facility"</v>
      </c>
      <c r="DL27" s="23" t="str">
        <f t="shared" si="61"/>
        <v>Public np_fac As String</v>
      </c>
      <c r="DM27" s="23" t="str">
        <f t="shared" si="62"/>
        <v>np_fac = "np_fac"</v>
      </c>
      <c r="DN27" s="23" t="str">
        <f t="shared" si="63"/>
        <v>a.np_fac= assign(ac.np_fac, i)</v>
      </c>
      <c r="DO27" s="23" t="str">
        <f t="shared" si="64"/>
        <v>Call store(ac.np_fac, row, a.np_fac)</v>
      </c>
    </row>
    <row r="28" spans="1:119" ht="13.8" x14ac:dyDescent="0.25">
      <c r="A28">
        <v>91</v>
      </c>
      <c r="B28" t="str">
        <f t="shared" si="17"/>
        <v>AA</v>
      </c>
      <c r="E28" s="13" t="s">
        <v>24</v>
      </c>
      <c r="F28" t="s">
        <v>46</v>
      </c>
      <c r="G28" t="s">
        <v>58</v>
      </c>
      <c r="J28" s="18" t="s">
        <v>221</v>
      </c>
      <c r="K28" s="23" t="str">
        <f t="shared" si="18"/>
        <v>Public PLVpct As Double</v>
      </c>
      <c r="L28" s="23" t="str">
        <f t="shared" si="19"/>
        <v>PLVpct = "AA"</v>
      </c>
      <c r="M28" s="23" t="str">
        <f t="shared" si="20"/>
        <v>PLVpct = "Purpose LV %"</v>
      </c>
      <c r="N28" s="23" t="str">
        <f t="shared" si="21"/>
        <v>Public PLVpct As String</v>
      </c>
      <c r="O28" s="23" t="str">
        <f t="shared" si="22"/>
        <v>PLVpct = "PLVpct"</v>
      </c>
      <c r="P28" s="23" t="str">
        <f t="shared" si="23"/>
        <v>a.PLVpct= assign(ac.PLVpct, i)</v>
      </c>
      <c r="Q28" s="23" t="str">
        <f t="shared" si="24"/>
        <v>Call store(ac.PLVpct, row, a.PLVpct)</v>
      </c>
      <c r="AS28" t="s">
        <v>172</v>
      </c>
      <c r="AT28" s="18" t="s">
        <v>45</v>
      </c>
      <c r="AU28" t="s">
        <v>172</v>
      </c>
      <c r="AW28" s="18" t="str">
        <f t="shared" si="32"/>
        <v>Public comment As String</v>
      </c>
      <c r="AX28" s="18" t="str">
        <f t="shared" si="33"/>
        <v>comment = "AA"</v>
      </c>
      <c r="AY28" s="18" t="str">
        <f t="shared" si="34"/>
        <v>comment = "comment"</v>
      </c>
      <c r="AZ28" s="18" t="str">
        <f t="shared" si="35"/>
        <v>Public comment As String</v>
      </c>
      <c r="BA28" s="18" t="str">
        <f t="shared" si="36"/>
        <v>comment = "comment"</v>
      </c>
      <c r="BB28" s="18" t="str">
        <f t="shared" si="37"/>
        <v>s.comment = assign(sc.comment, i)</v>
      </c>
      <c r="BC28" s="18" t="str">
        <f t="shared" si="38"/>
        <v>Call store(sc.comment, row, var.comment)</v>
      </c>
      <c r="BD28" s="18" t="str">
        <f t="shared" si="39"/>
        <v>s.comment = kod</v>
      </c>
      <c r="BM28" s="25"/>
      <c r="BN28" s="25" t="s">
        <v>293</v>
      </c>
      <c r="BO28" s="25"/>
      <c r="BP28" s="25"/>
      <c r="CL28" s="29"/>
      <c r="DC28" s="26" t="s">
        <v>420</v>
      </c>
      <c r="DD28" s="23" t="s">
        <v>47</v>
      </c>
      <c r="DE28" s="30" t="s">
        <v>379</v>
      </c>
      <c r="DI28" s="23" t="str">
        <f t="shared" si="58"/>
        <v>Public np_ae As Long</v>
      </c>
      <c r="DJ28" s="23" t="str">
        <f t="shared" si="59"/>
        <v>np_ae = "AA"</v>
      </c>
      <c r="DK28" s="23" t="str">
        <f t="shared" si="60"/>
        <v>np_ae = "NonPurPurp_AddnlExpo"</v>
      </c>
      <c r="DL28" s="23" t="str">
        <f t="shared" si="61"/>
        <v>Public np_ae As String</v>
      </c>
      <c r="DM28" s="23" t="str">
        <f t="shared" si="62"/>
        <v>np_ae = "np_ae"</v>
      </c>
      <c r="DN28" s="23" t="str">
        <f t="shared" si="63"/>
        <v>a.np_ae= assign(ac.np_ae, i)</v>
      </c>
      <c r="DO28" s="23" t="str">
        <f t="shared" si="64"/>
        <v>Call store(ac.np_ae, row, a.np_ae)</v>
      </c>
    </row>
    <row r="29" spans="1:119" ht="13.8" x14ac:dyDescent="0.25">
      <c r="A29">
        <v>92</v>
      </c>
      <c r="B29" t="str">
        <f t="shared" si="17"/>
        <v>AB</v>
      </c>
      <c r="E29" s="13" t="s">
        <v>25</v>
      </c>
      <c r="F29" t="s">
        <v>8</v>
      </c>
      <c r="G29" t="s">
        <v>0</v>
      </c>
      <c r="J29" s="18" t="s">
        <v>222</v>
      </c>
      <c r="K29" s="23" t="str">
        <f t="shared" si="18"/>
        <v>Public PLV As Currency</v>
      </c>
      <c r="L29" s="23" t="str">
        <f t="shared" si="19"/>
        <v>PLV = "AB"</v>
      </c>
      <c r="M29" s="23" t="str">
        <f t="shared" si="20"/>
        <v>PLV = "Purpose LV"</v>
      </c>
      <c r="N29" s="23" t="str">
        <f t="shared" si="21"/>
        <v>Public PLV As String</v>
      </c>
      <c r="O29" s="23" t="str">
        <f t="shared" si="22"/>
        <v>PLV = "PLV"</v>
      </c>
      <c r="P29" s="23" t="str">
        <f t="shared" si="23"/>
        <v>a.PLV= assign(ac.PLV, i)</v>
      </c>
      <c r="Q29" s="23" t="str">
        <f t="shared" si="24"/>
        <v>Call store(ac.PLV, row, a.PLV)</v>
      </c>
      <c r="BM29" s="25"/>
      <c r="BN29" s="25" t="s">
        <v>1</v>
      </c>
      <c r="BO29" s="25"/>
      <c r="BP29" s="25"/>
      <c r="CL29" s="29"/>
      <c r="DC29" s="26" t="s">
        <v>422</v>
      </c>
      <c r="DD29" s="23" t="s">
        <v>47</v>
      </c>
      <c r="DE29" s="30" t="s">
        <v>380</v>
      </c>
      <c r="DI29" s="23" t="str">
        <f t="shared" si="58"/>
        <v>Public np_od As Long</v>
      </c>
      <c r="DJ29" s="23" t="str">
        <f t="shared" si="59"/>
        <v>np_od = "AB"</v>
      </c>
      <c r="DK29" s="23" t="str">
        <f t="shared" si="60"/>
        <v>np_od = "NonPurPurp_OverDraft"</v>
      </c>
      <c r="DL29" s="23" t="str">
        <f t="shared" si="61"/>
        <v>Public np_od As String</v>
      </c>
      <c r="DM29" s="23" t="str">
        <f t="shared" si="62"/>
        <v>np_od = "np_od"</v>
      </c>
      <c r="DN29" s="23" t="str">
        <f t="shared" si="63"/>
        <v>a.np_od= assign(ac.np_od, i)</v>
      </c>
      <c r="DO29" s="23" t="str">
        <f t="shared" si="64"/>
        <v>Call store(ac.np_od, row, a.np_od)</v>
      </c>
    </row>
    <row r="30" spans="1:119" ht="13.8" x14ac:dyDescent="0.25">
      <c r="A30">
        <v>93</v>
      </c>
      <c r="B30" t="str">
        <f t="shared" si="17"/>
        <v>AC</v>
      </c>
      <c r="E30" s="13" t="s">
        <v>28</v>
      </c>
      <c r="F30" t="s">
        <v>46</v>
      </c>
      <c r="G30" t="s">
        <v>62</v>
      </c>
      <c r="J30" s="18" t="s">
        <v>223</v>
      </c>
      <c r="K30" s="23" t="str">
        <f t="shared" si="18"/>
        <v>Public ELVpct As Double</v>
      </c>
      <c r="L30" s="23" t="str">
        <f t="shared" si="19"/>
        <v>ELVpct = "AC"</v>
      </c>
      <c r="M30" s="23" t="str">
        <f t="shared" si="20"/>
        <v>ELVpct = "Effective LV %"</v>
      </c>
      <c r="N30" s="23" t="str">
        <f t="shared" si="21"/>
        <v>Public ELVpct As String</v>
      </c>
      <c r="O30" s="23" t="str">
        <f t="shared" si="22"/>
        <v>ELVpct = "ELVpct"</v>
      </c>
      <c r="P30" s="23" t="str">
        <f t="shared" si="23"/>
        <v>a.ELVpct= assign(ac.ELVpct, i)</v>
      </c>
      <c r="Q30" s="23" t="str">
        <f t="shared" si="24"/>
        <v>Call store(ac.ELVpct, row, a.ELVpct)</v>
      </c>
      <c r="BM30" s="25"/>
      <c r="BN30" s="25" t="s">
        <v>294</v>
      </c>
      <c r="BO30" s="25"/>
      <c r="BP30" s="25"/>
      <c r="CL30" s="29"/>
      <c r="DC30" s="26" t="s">
        <v>407</v>
      </c>
      <c r="DD30" s="23" t="s">
        <v>47</v>
      </c>
      <c r="DE30" s="30" t="s">
        <v>381</v>
      </c>
      <c r="DI30" s="23" t="str">
        <f t="shared" si="58"/>
        <v>Public m_s As Long</v>
      </c>
      <c r="DJ30" s="23" t="str">
        <f t="shared" si="59"/>
        <v>m_s = "AC"</v>
      </c>
      <c r="DK30" s="23" t="str">
        <f t="shared" si="60"/>
        <v>m_s = "Margin_Securities"</v>
      </c>
      <c r="DL30" s="23" t="str">
        <f t="shared" si="61"/>
        <v>Public m_s As String</v>
      </c>
      <c r="DM30" s="23" t="str">
        <f t="shared" si="62"/>
        <v>m_s = "m_s"</v>
      </c>
      <c r="DN30" s="23" t="str">
        <f t="shared" si="63"/>
        <v>a.m_s= assign(ac.m_s, i)</v>
      </c>
      <c r="DO30" s="23" t="str">
        <f t="shared" si="64"/>
        <v>Call store(ac.m_s, row, a.m_s)</v>
      </c>
    </row>
    <row r="31" spans="1:119" ht="13.8" x14ac:dyDescent="0.25">
      <c r="A31">
        <v>94</v>
      </c>
      <c r="B31" t="str">
        <f t="shared" si="17"/>
        <v>AD</v>
      </c>
      <c r="C31">
        <v>-1</v>
      </c>
      <c r="E31" s="13" t="s">
        <v>29</v>
      </c>
      <c r="F31" s="22" t="s">
        <v>8</v>
      </c>
      <c r="G31" t="s">
        <v>1</v>
      </c>
      <c r="I31" t="str">
        <f t="shared" ref="I31:I43" si="66">""&amp;G33&amp;" = "&amp;C31</f>
        <v>hcValue = -1</v>
      </c>
      <c r="K31" s="23" t="str">
        <f t="shared" si="18"/>
        <v>Public ELV As Currency</v>
      </c>
      <c r="L31" s="23" t="str">
        <f t="shared" si="19"/>
        <v>ELV = "AD"</v>
      </c>
      <c r="M31" s="23" t="str">
        <f t="shared" si="20"/>
        <v>ELV = "Effective LV"</v>
      </c>
      <c r="N31" s="23" t="str">
        <f t="shared" si="21"/>
        <v>Public ELV As String</v>
      </c>
      <c r="O31" s="23" t="str">
        <f t="shared" si="22"/>
        <v>ELV = "ELV"</v>
      </c>
      <c r="P31" s="23" t="str">
        <f t="shared" si="23"/>
        <v>a.ELV= assign(ac.ELV, i)</v>
      </c>
      <c r="Q31" s="23" t="str">
        <f t="shared" si="24"/>
        <v>Call store(ac.ELV, row, a.ELV)</v>
      </c>
      <c r="BM31" s="25"/>
      <c r="BN31" s="25" t="s">
        <v>295</v>
      </c>
      <c r="BO31" s="25"/>
      <c r="BP31" s="25"/>
      <c r="CL31" s="29"/>
      <c r="DC31" s="26" t="s">
        <v>405</v>
      </c>
      <c r="DD31" s="23" t="s">
        <v>47</v>
      </c>
      <c r="DE31" s="30" t="s">
        <v>382</v>
      </c>
      <c r="DI31" s="23" t="str">
        <f t="shared" si="58"/>
        <v>Public m_mc As Long</v>
      </c>
      <c r="DJ31" s="23" t="str">
        <f t="shared" si="59"/>
        <v>m_mc = "AD"</v>
      </c>
      <c r="DK31" s="23" t="str">
        <f t="shared" si="60"/>
        <v>m_mc = "Margin_Misc Collateral"</v>
      </c>
      <c r="DL31" s="23" t="str">
        <f t="shared" si="61"/>
        <v>Public m_mc As String</v>
      </c>
      <c r="DM31" s="23" t="str">
        <f t="shared" si="62"/>
        <v>m_mc = "m_mc"</v>
      </c>
      <c r="DN31" s="23" t="str">
        <f t="shared" si="63"/>
        <v>a.m_mc= assign(ac.m_mc, i)</v>
      </c>
      <c r="DO31" s="23" t="str">
        <f t="shared" si="64"/>
        <v>Call store(ac.m_mc, row, a.m_mc)</v>
      </c>
    </row>
    <row r="32" spans="1:119" ht="13.8" x14ac:dyDescent="0.25">
      <c r="A32">
        <v>95</v>
      </c>
      <c r="B32" t="str">
        <f t="shared" si="17"/>
        <v>AE</v>
      </c>
      <c r="C32">
        <v>-1</v>
      </c>
      <c r="E32" s="4" t="s">
        <v>34</v>
      </c>
      <c r="F32" t="s">
        <v>46</v>
      </c>
      <c r="G32" t="s">
        <v>66</v>
      </c>
      <c r="I32" t="str">
        <f t="shared" si="66"/>
        <v>hcApplied = -1</v>
      </c>
      <c r="J32" s="18" t="s">
        <v>235</v>
      </c>
      <c r="K32" s="23" t="str">
        <f t="shared" si="18"/>
        <v>Public LVratio As Double</v>
      </c>
      <c r="L32" s="23" t="str">
        <f t="shared" si="19"/>
        <v>LVratio = "AE"</v>
      </c>
      <c r="M32" s="23" t="str">
        <f t="shared" si="20"/>
        <v>LVratio = "PLV/ELV % Ratio"</v>
      </c>
      <c r="N32" s="23" t="str">
        <f t="shared" si="21"/>
        <v>Public LVratio As String</v>
      </c>
      <c r="O32" s="23" t="str">
        <f t="shared" si="22"/>
        <v>LVratio = "LVratio"</v>
      </c>
      <c r="P32" s="23" t="str">
        <f t="shared" si="23"/>
        <v>a.LVratio= assign(ac.LVratio, i)</v>
      </c>
      <c r="Q32" s="23" t="str">
        <f t="shared" si="24"/>
        <v>Call store(ac.LVratio, row, a.LVratio)</v>
      </c>
      <c r="BM32" s="25"/>
      <c r="BN32" s="25" t="s">
        <v>296</v>
      </c>
      <c r="BO32" s="25"/>
      <c r="BP32" s="25"/>
      <c r="CL32" s="29"/>
      <c r="DC32" s="26" t="s">
        <v>406</v>
      </c>
      <c r="DD32" s="23" t="s">
        <v>47</v>
      </c>
      <c r="DE32" s="30" t="s">
        <v>383</v>
      </c>
      <c r="DI32" s="23" t="str">
        <f t="shared" si="58"/>
        <v>Public m_mt As Long</v>
      </c>
      <c r="DJ32" s="23" t="str">
        <f t="shared" si="59"/>
        <v>m_mt = "AE"</v>
      </c>
      <c r="DK32" s="23" t="str">
        <f t="shared" si="60"/>
        <v>m_mt = "Margin_Misc Tradable"</v>
      </c>
      <c r="DL32" s="23" t="str">
        <f t="shared" si="61"/>
        <v>Public m_mt As String</v>
      </c>
      <c r="DM32" s="23" t="str">
        <f t="shared" si="62"/>
        <v>m_mt = "m_mt"</v>
      </c>
      <c r="DN32" s="23" t="str">
        <f t="shared" si="63"/>
        <v>a.m_mt= assign(ac.m_mt, i)</v>
      </c>
      <c r="DO32" s="23" t="str">
        <f t="shared" si="64"/>
        <v>Call store(ac.m_mt, row, a.m_mt)</v>
      </c>
    </row>
    <row r="33" spans="1:119" ht="13.8" x14ac:dyDescent="0.25">
      <c r="A33">
        <v>96</v>
      </c>
      <c r="B33" t="str">
        <f t="shared" si="17"/>
        <v>AF</v>
      </c>
      <c r="C33" t="s">
        <v>135</v>
      </c>
      <c r="E33" s="7" t="s">
        <v>129</v>
      </c>
      <c r="F33" t="s">
        <v>46</v>
      </c>
      <c r="G33" t="s">
        <v>130</v>
      </c>
      <c r="I33" t="str">
        <f t="shared" si="66"/>
        <v>hcRule = "-1"</v>
      </c>
      <c r="K33" s="23" t="str">
        <f t="shared" si="18"/>
        <v>Public hcValue As Double</v>
      </c>
      <c r="L33" s="23" t="str">
        <f t="shared" si="19"/>
        <v>hcValue = "AF"</v>
      </c>
      <c r="M33" s="23" t="str">
        <f t="shared" si="20"/>
        <v>hcValue = "Final Haircut Value"</v>
      </c>
      <c r="N33" s="23" t="str">
        <f t="shared" si="21"/>
        <v>Public hcValue As String</v>
      </c>
      <c r="O33" s="23" t="str">
        <f t="shared" si="22"/>
        <v>hcValue = "hcValue"</v>
      </c>
      <c r="P33" s="23" t="str">
        <f t="shared" si="23"/>
        <v>a.hcValue= assign(ac.hcValue, i)</v>
      </c>
      <c r="Q33" s="23" t="str">
        <f t="shared" si="24"/>
        <v>Call store(ac.hcValue, row, a.hcValue)</v>
      </c>
      <c r="BM33" s="25"/>
      <c r="BN33" s="25"/>
      <c r="BO33" s="25"/>
      <c r="BP33" s="25"/>
      <c r="CL33" s="29"/>
      <c r="DC33" s="26" t="s">
        <v>408</v>
      </c>
      <c r="DD33" s="23" t="s">
        <v>47</v>
      </c>
      <c r="DE33" s="30" t="s">
        <v>384</v>
      </c>
      <c r="DI33" s="23" t="str">
        <f t="shared" si="58"/>
        <v>Public nm_s As Long</v>
      </c>
      <c r="DJ33" s="23" t="str">
        <f t="shared" si="59"/>
        <v>nm_s = "AF"</v>
      </c>
      <c r="DK33" s="23" t="str">
        <f t="shared" si="60"/>
        <v>nm_s = "NonMargin_Securities"</v>
      </c>
      <c r="DL33" s="23" t="str">
        <f t="shared" si="61"/>
        <v>Public nm_s As String</v>
      </c>
      <c r="DM33" s="23" t="str">
        <f t="shared" si="62"/>
        <v>nm_s = "nm_s"</v>
      </c>
      <c r="DN33" s="23" t="str">
        <f t="shared" si="63"/>
        <v>a.nm_s= assign(ac.nm_s, i)</v>
      </c>
      <c r="DO33" s="23" t="str">
        <f t="shared" si="64"/>
        <v>Call store(ac.nm_s, row, a.nm_s)</v>
      </c>
    </row>
    <row r="34" spans="1:119" ht="13.8" x14ac:dyDescent="0.25">
      <c r="A34">
        <v>97</v>
      </c>
      <c r="B34" t="str">
        <f t="shared" si="17"/>
        <v>AG</v>
      </c>
      <c r="C34">
        <v>-1</v>
      </c>
      <c r="E34" s="14" t="s">
        <v>41</v>
      </c>
      <c r="F34" t="s">
        <v>46</v>
      </c>
      <c r="G34" s="15" t="s">
        <v>73</v>
      </c>
      <c r="H34" t="s">
        <v>132</v>
      </c>
      <c r="I34" t="str">
        <f t="shared" si="66"/>
        <v>hcPreLV = -1</v>
      </c>
      <c r="J34" s="18" t="s">
        <v>224</v>
      </c>
      <c r="K34" s="23" t="str">
        <f t="shared" si="18"/>
        <v>Public hcApplied As Double</v>
      </c>
      <c r="L34" s="23" t="str">
        <f t="shared" si="19"/>
        <v>hcApplied = "AG"</v>
      </c>
      <c r="M34" s="23" t="str">
        <f t="shared" si="20"/>
        <v>hcApplied = "Applied Haircut"</v>
      </c>
      <c r="N34" s="23" t="str">
        <f t="shared" si="21"/>
        <v>Public hcApplied As String</v>
      </c>
      <c r="O34" s="23" t="str">
        <f t="shared" si="22"/>
        <v>hcApplied = "hcApplied"</v>
      </c>
      <c r="P34" s="23" t="str">
        <f t="shared" si="23"/>
        <v>a.hcApplied= assign(ac.hcApplied, i)</v>
      </c>
      <c r="Q34" s="23" t="str">
        <f t="shared" si="24"/>
        <v>Call store(ac.hcApplied, row, a.hcApplied)</v>
      </c>
      <c r="BM34" s="25"/>
      <c r="BN34" s="25"/>
      <c r="BO34" s="25"/>
      <c r="BP34" s="25"/>
      <c r="CL34" s="29"/>
      <c r="DC34" s="26" t="s">
        <v>409</v>
      </c>
      <c r="DD34" s="23" t="s">
        <v>47</v>
      </c>
      <c r="DE34" s="30" t="s">
        <v>385</v>
      </c>
      <c r="DI34" s="23" t="str">
        <f t="shared" si="58"/>
        <v>Public nm_mc As Long</v>
      </c>
      <c r="DJ34" s="23" t="str">
        <f t="shared" si="59"/>
        <v>nm_mc = "AG"</v>
      </c>
      <c r="DK34" s="23" t="str">
        <f t="shared" si="60"/>
        <v>nm_mc = "NonMargin_Misc Collateral"</v>
      </c>
      <c r="DL34" s="23" t="str">
        <f t="shared" si="61"/>
        <v>Public nm_mc As String</v>
      </c>
      <c r="DM34" s="23" t="str">
        <f t="shared" si="62"/>
        <v>nm_mc = "nm_mc"</v>
      </c>
      <c r="DN34" s="23" t="str">
        <f t="shared" si="63"/>
        <v>a.nm_mc= assign(ac.nm_mc, i)</v>
      </c>
      <c r="DO34" s="23" t="str">
        <f t="shared" si="64"/>
        <v>Call store(ac.nm_mc, row, a.nm_mc)</v>
      </c>
    </row>
    <row r="35" spans="1:119" ht="13.8" x14ac:dyDescent="0.25">
      <c r="A35">
        <v>98</v>
      </c>
      <c r="B35" t="str">
        <f t="shared" si="17"/>
        <v>AH</v>
      </c>
      <c r="C35">
        <v>-1</v>
      </c>
      <c r="E35" s="14" t="s">
        <v>42</v>
      </c>
      <c r="F35" t="s">
        <v>45</v>
      </c>
      <c r="G35" s="15" t="s">
        <v>74</v>
      </c>
      <c r="H35" t="s">
        <v>132</v>
      </c>
      <c r="I35" t="str">
        <f t="shared" si="66"/>
        <v>APLVpct = -1</v>
      </c>
      <c r="J35" s="18" t="s">
        <v>231</v>
      </c>
      <c r="K35" s="23" t="str">
        <f t="shared" si="18"/>
        <v>Public hcRule As String</v>
      </c>
      <c r="L35" s="23" t="str">
        <f t="shared" si="19"/>
        <v>hcRule = "AH"</v>
      </c>
      <c r="M35" s="23" t="str">
        <f t="shared" si="20"/>
        <v>hcRule = "Haircut Application Rule"</v>
      </c>
      <c r="N35" s="23" t="str">
        <f t="shared" si="21"/>
        <v>Public hcRule As String</v>
      </c>
      <c r="O35" s="23" t="str">
        <f t="shared" si="22"/>
        <v>hcRule = "hcRule"</v>
      </c>
      <c r="P35" s="23" t="str">
        <f t="shared" si="23"/>
        <v>a.hcRule= assign(ac.hcRule, i)</v>
      </c>
      <c r="Q35" s="23" t="str">
        <f t="shared" si="24"/>
        <v>Call store(ac.hcRule, row, a.hcRule)</v>
      </c>
      <c r="BM35" s="25"/>
      <c r="BN35" s="25"/>
      <c r="BO35" s="25"/>
      <c r="BP35" s="25"/>
      <c r="CL35" s="29"/>
      <c r="DC35" s="26" t="s">
        <v>410</v>
      </c>
      <c r="DD35" s="23" t="s">
        <v>47</v>
      </c>
      <c r="DE35" s="30" t="s">
        <v>386</v>
      </c>
      <c r="DI35" s="23" t="str">
        <f t="shared" si="58"/>
        <v>Public nm_mt As Long</v>
      </c>
      <c r="DJ35" s="23" t="str">
        <f t="shared" si="59"/>
        <v>nm_mt = "AH"</v>
      </c>
      <c r="DK35" s="23" t="str">
        <f t="shared" si="60"/>
        <v>nm_mt = "NonMargin_Misc Tradable"</v>
      </c>
      <c r="DL35" s="23" t="str">
        <f t="shared" si="61"/>
        <v>Public nm_mt As String</v>
      </c>
      <c r="DM35" s="23" t="str">
        <f t="shared" si="62"/>
        <v>nm_mt = "nm_mt"</v>
      </c>
      <c r="DN35" s="23" t="str">
        <f t="shared" si="63"/>
        <v>a.nm_mt= assign(ac.nm_mt, i)</v>
      </c>
      <c r="DO35" s="23" t="str">
        <f t="shared" si="64"/>
        <v>Call store(ac.nm_mt, row, a.nm_mt)</v>
      </c>
    </row>
    <row r="36" spans="1:119" ht="13.8" x14ac:dyDescent="0.25">
      <c r="A36">
        <v>99</v>
      </c>
      <c r="B36" t="str">
        <f t="shared" si="17"/>
        <v>AI</v>
      </c>
      <c r="C36">
        <v>-1</v>
      </c>
      <c r="E36" s="14" t="s">
        <v>43</v>
      </c>
      <c r="F36" s="22" t="s">
        <v>8</v>
      </c>
      <c r="G36" t="s">
        <v>75</v>
      </c>
      <c r="I36" t="str">
        <f t="shared" si="66"/>
        <v>APLV = -1</v>
      </c>
      <c r="J36" s="18" t="s">
        <v>232</v>
      </c>
      <c r="K36" s="23" t="str">
        <f t="shared" si="18"/>
        <v>Public hcPreLV As Currency</v>
      </c>
      <c r="L36" s="23" t="str">
        <f t="shared" si="19"/>
        <v>hcPreLV = "AI"</v>
      </c>
      <c r="M36" s="23" t="str">
        <f t="shared" si="20"/>
        <v>hcPreLV = "Pre-Haircut LV"</v>
      </c>
      <c r="N36" s="23" t="str">
        <f t="shared" si="21"/>
        <v>Public hcPreLV As String</v>
      </c>
      <c r="O36" s="23" t="str">
        <f t="shared" si="22"/>
        <v>hcPreLV = "hcPreLV"</v>
      </c>
      <c r="P36" s="23" t="str">
        <f t="shared" si="23"/>
        <v>a.hcPreLV= assign(ac.hcPreLV, i)</v>
      </c>
      <c r="Q36" s="23" t="str">
        <f t="shared" si="24"/>
        <v>Call store(ac.hcPreLV, row, a.hcPreLV)</v>
      </c>
      <c r="BM36" s="25"/>
      <c r="BN36" s="25"/>
      <c r="BO36" s="25"/>
      <c r="BP36" s="25"/>
      <c r="CL36" s="29"/>
      <c r="DC36" s="34" t="s">
        <v>414</v>
      </c>
      <c r="DD36" t="s">
        <v>45</v>
      </c>
      <c r="DE36" s="31" t="s">
        <v>415</v>
      </c>
      <c r="DI36" s="23" t="str">
        <f t="shared" si="58"/>
        <v>Public idSCC As String</v>
      </c>
      <c r="DJ36" s="23" t="str">
        <f t="shared" si="59"/>
        <v>idSCC = "AI"</v>
      </c>
      <c r="DK36" s="23" t="str">
        <f t="shared" si="60"/>
        <v>idSCC = "SCC Group ID"</v>
      </c>
      <c r="DL36" s="23" t="str">
        <f t="shared" si="61"/>
        <v>Public idSCC As String</v>
      </c>
      <c r="DM36" s="23" t="str">
        <f t="shared" si="62"/>
        <v>idSCC = "idSCC"</v>
      </c>
      <c r="DN36" s="23" t="str">
        <f t="shared" si="63"/>
        <v>a.idSCC= assign(ac.idSCC, i)</v>
      </c>
      <c r="DO36" s="23" t="str">
        <f t="shared" si="64"/>
        <v>Call store(ac.idSCC, row, a.idSCC)</v>
      </c>
    </row>
    <row r="37" spans="1:119" ht="13.8" x14ac:dyDescent="0.25">
      <c r="A37">
        <v>100</v>
      </c>
      <c r="B37" t="str">
        <f t="shared" si="17"/>
        <v>AJ</v>
      </c>
      <c r="C37">
        <v>-1</v>
      </c>
      <c r="E37" s="14" t="s">
        <v>26</v>
      </c>
      <c r="F37" t="s">
        <v>46</v>
      </c>
      <c r="G37" t="s">
        <v>59</v>
      </c>
      <c r="I37" t="str">
        <f t="shared" si="66"/>
        <v>AELVpct = -1</v>
      </c>
      <c r="J37" s="18" t="s">
        <v>233</v>
      </c>
      <c r="K37" s="23" t="str">
        <f t="shared" si="18"/>
        <v>Public APLVpct As Double</v>
      </c>
      <c r="L37" s="23" t="str">
        <f t="shared" si="19"/>
        <v>APLVpct = "AJ"</v>
      </c>
      <c r="M37" s="23" t="str">
        <f t="shared" si="20"/>
        <v>APLVpct = "Applied Purpose LV %"</v>
      </c>
      <c r="N37" s="23" t="str">
        <f t="shared" si="21"/>
        <v>Public APLVpct As String</v>
      </c>
      <c r="O37" s="23" t="str">
        <f t="shared" si="22"/>
        <v>APLVpct = "APLVpct"</v>
      </c>
      <c r="P37" s="23" t="str">
        <f t="shared" si="23"/>
        <v>a.APLVpct= assign(ac.APLVpct, i)</v>
      </c>
      <c r="Q37" s="23" t="str">
        <f t="shared" si="24"/>
        <v>Call store(ac.APLVpct, row, a.APLVpct)</v>
      </c>
      <c r="BM37" s="25"/>
      <c r="BN37" s="25"/>
      <c r="BO37" s="25"/>
      <c r="BP37" s="25"/>
      <c r="CL37" s="29"/>
    </row>
    <row r="38" spans="1:119" ht="13.8" x14ac:dyDescent="0.25">
      <c r="A38">
        <v>101</v>
      </c>
      <c r="B38" t="str">
        <f t="shared" si="17"/>
        <v>AK</v>
      </c>
      <c r="C38">
        <v>-1</v>
      </c>
      <c r="E38" s="14" t="s">
        <v>27</v>
      </c>
      <c r="F38" s="22" t="s">
        <v>8</v>
      </c>
      <c r="G38" t="s">
        <v>60</v>
      </c>
      <c r="I38" t="str">
        <f t="shared" si="66"/>
        <v>AELV = -1</v>
      </c>
      <c r="J38" s="18" t="s">
        <v>234</v>
      </c>
      <c r="K38" s="23" t="str">
        <f t="shared" si="18"/>
        <v>Public APLV As Currency</v>
      </c>
      <c r="L38" s="23" t="str">
        <f t="shared" si="19"/>
        <v>APLV = "AK"</v>
      </c>
      <c r="M38" s="23" t="str">
        <f t="shared" si="20"/>
        <v>APLV = "Applied Purpose LV"</v>
      </c>
      <c r="N38" s="23" t="str">
        <f t="shared" si="21"/>
        <v>Public APLV As String</v>
      </c>
      <c r="O38" s="23" t="str">
        <f t="shared" si="22"/>
        <v>APLV = "APLV"</v>
      </c>
      <c r="P38" s="23" t="str">
        <f t="shared" si="23"/>
        <v>a.APLV= assign(ac.APLV, i)</v>
      </c>
      <c r="Q38" s="23" t="str">
        <f t="shared" si="24"/>
        <v>Call store(ac.APLV, row, a.APLV)</v>
      </c>
      <c r="BM38" s="25"/>
      <c r="BN38" s="25"/>
      <c r="BO38" s="25"/>
      <c r="BP38" s="25"/>
      <c r="CL38" s="29"/>
    </row>
    <row r="39" spans="1:119" ht="13.8" x14ac:dyDescent="0.25">
      <c r="A39">
        <v>102</v>
      </c>
      <c r="B39" t="str">
        <f t="shared" si="17"/>
        <v>AL</v>
      </c>
      <c r="C39" t="s">
        <v>135</v>
      </c>
      <c r="E39" s="14" t="s">
        <v>30</v>
      </c>
      <c r="F39" t="s">
        <v>46</v>
      </c>
      <c r="G39" t="s">
        <v>63</v>
      </c>
      <c r="I39" t="str">
        <f t="shared" si="66"/>
        <v>expoCov = "-1"</v>
      </c>
      <c r="J39" s="18" t="s">
        <v>225</v>
      </c>
      <c r="K39" s="23" t="str">
        <f t="shared" si="18"/>
        <v>Public AELVpct As Double</v>
      </c>
      <c r="L39" s="23" t="str">
        <f t="shared" si="19"/>
        <v>AELVpct = "AL"</v>
      </c>
      <c r="M39" s="23" t="str">
        <f t="shared" si="20"/>
        <v>AELVpct = "Applied Effective LV %"</v>
      </c>
      <c r="N39" s="23" t="str">
        <f t="shared" si="21"/>
        <v>Public AELVpct As String</v>
      </c>
      <c r="O39" s="23" t="str">
        <f t="shared" si="22"/>
        <v>AELVpct = "AELVpct"</v>
      </c>
      <c r="P39" s="23" t="str">
        <f t="shared" si="23"/>
        <v>a.AELVpct= assign(ac.AELVpct, i)</v>
      </c>
      <c r="Q39" s="23" t="str">
        <f t="shared" si="24"/>
        <v>Call store(ac.AELVpct, row, a.AELVpct)</v>
      </c>
      <c r="BM39" s="25"/>
      <c r="BN39" s="25"/>
      <c r="BO39" s="25"/>
      <c r="BP39" s="25"/>
      <c r="CL39" s="29"/>
    </row>
    <row r="40" spans="1:119" ht="13.8" x14ac:dyDescent="0.25">
      <c r="A40">
        <v>103</v>
      </c>
      <c r="B40" t="str">
        <f t="shared" si="17"/>
        <v>AM</v>
      </c>
      <c r="C40">
        <v>-1</v>
      </c>
      <c r="E40" s="14" t="s">
        <v>31</v>
      </c>
      <c r="F40" s="22" t="s">
        <v>8</v>
      </c>
      <c r="G40" t="s">
        <v>61</v>
      </c>
      <c r="I40" t="str">
        <f t="shared" si="66"/>
        <v>consOrder = -1</v>
      </c>
      <c r="J40" s="18" t="s">
        <v>226</v>
      </c>
      <c r="K40" s="23" t="str">
        <f t="shared" si="18"/>
        <v>Public AELV As Currency</v>
      </c>
      <c r="L40" s="23" t="str">
        <f t="shared" si="19"/>
        <v>AELV = "AM"</v>
      </c>
      <c r="M40" s="23" t="str">
        <f t="shared" si="20"/>
        <v>AELV = "Applied Effective LV"</v>
      </c>
      <c r="N40" s="23" t="str">
        <f t="shared" si="21"/>
        <v>Public AELV As String</v>
      </c>
      <c r="O40" s="23" t="str">
        <f t="shared" si="22"/>
        <v>AELV = "AELV"</v>
      </c>
      <c r="P40" s="23" t="str">
        <f t="shared" si="23"/>
        <v>a.AELV= assign(ac.AELV, i)</v>
      </c>
      <c r="Q40" s="23" t="str">
        <f t="shared" si="24"/>
        <v>Call store(ac.AELV, row, a.AELV)</v>
      </c>
      <c r="BM40" s="25"/>
      <c r="BN40" s="25"/>
      <c r="BO40" s="25"/>
      <c r="BP40" s="25"/>
      <c r="CL40" s="29"/>
    </row>
    <row r="41" spans="1:119" ht="13.8" x14ac:dyDescent="0.25">
      <c r="A41">
        <v>104</v>
      </c>
      <c r="B41" t="str">
        <f t="shared" si="17"/>
        <v>AN</v>
      </c>
      <c r="C41">
        <v>-1</v>
      </c>
      <c r="E41" s="14" t="s">
        <v>32</v>
      </c>
      <c r="F41" t="s">
        <v>45</v>
      </c>
      <c r="G41" t="s">
        <v>64</v>
      </c>
      <c r="I41" t="str">
        <f t="shared" si="66"/>
        <v>PBA = -1</v>
      </c>
      <c r="J41" s="18" t="s">
        <v>227</v>
      </c>
      <c r="K41" s="23" t="str">
        <f t="shared" si="18"/>
        <v>Public expoCov As String</v>
      </c>
      <c r="L41" s="23" t="str">
        <f t="shared" si="19"/>
        <v>expoCov = "AN"</v>
      </c>
      <c r="M41" s="23" t="str">
        <f t="shared" si="20"/>
        <v>expoCov = "Exposure Coverage"</v>
      </c>
      <c r="N41" s="23" t="str">
        <f t="shared" si="21"/>
        <v>Public expoCov As String</v>
      </c>
      <c r="O41" s="23" t="str">
        <f t="shared" si="22"/>
        <v>expoCov = "expoCov"</v>
      </c>
      <c r="P41" s="23" t="str">
        <f t="shared" si="23"/>
        <v>a.expoCov= assign(ac.expoCov, i)</v>
      </c>
      <c r="Q41" s="23" t="str">
        <f t="shared" si="24"/>
        <v>Call store(ac.expoCov, row, a.expoCov)</v>
      </c>
      <c r="BM41" s="25"/>
      <c r="BN41" s="25"/>
      <c r="BO41" s="25"/>
      <c r="BP41" s="25"/>
      <c r="CL41" s="29"/>
    </row>
    <row r="42" spans="1:119" ht="13.8" x14ac:dyDescent="0.25">
      <c r="A42">
        <v>105</v>
      </c>
      <c r="B42" t="str">
        <f t="shared" si="17"/>
        <v>AO</v>
      </c>
      <c r="C42">
        <v>-1</v>
      </c>
      <c r="E42" s="14" t="s">
        <v>33</v>
      </c>
      <c r="F42" t="s">
        <v>47</v>
      </c>
      <c r="G42" t="s">
        <v>65</v>
      </c>
      <c r="I42" t="str">
        <f t="shared" si="66"/>
        <v>NPBA = -1</v>
      </c>
      <c r="J42" s="18" t="s">
        <v>228</v>
      </c>
      <c r="K42" s="23" t="str">
        <f t="shared" si="18"/>
        <v>Public consOrder As Long</v>
      </c>
      <c r="L42" s="23" t="str">
        <f t="shared" si="19"/>
        <v>consOrder = "AO"</v>
      </c>
      <c r="M42" s="23" t="str">
        <f t="shared" si="20"/>
        <v>consOrder = "Consumption Order"</v>
      </c>
      <c r="N42" s="23" t="str">
        <f t="shared" si="21"/>
        <v>Public consOrder As String</v>
      </c>
      <c r="O42" s="23" t="str">
        <f t="shared" si="22"/>
        <v>consOrder = "consOrder"</v>
      </c>
      <c r="P42" s="23" t="str">
        <f t="shared" si="23"/>
        <v>a.consOrder= assign(ac.consOrder, i)</v>
      </c>
      <c r="Q42" s="23" t="str">
        <f t="shared" si="24"/>
        <v>Call store(ac.consOrder, row, a.consOrder)</v>
      </c>
      <c r="BM42" s="25"/>
      <c r="BN42" s="25"/>
      <c r="BO42" s="25"/>
      <c r="BP42" s="25"/>
      <c r="CL42" s="29"/>
    </row>
    <row r="43" spans="1:119" ht="13.8" x14ac:dyDescent="0.25">
      <c r="A43">
        <v>106</v>
      </c>
      <c r="B43" t="str">
        <f t="shared" si="17"/>
        <v>AP</v>
      </c>
      <c r="C43">
        <v>-1</v>
      </c>
      <c r="E43" s="14" t="s">
        <v>35</v>
      </c>
      <c r="F43" s="22" t="s">
        <v>8</v>
      </c>
      <c r="G43" t="s">
        <v>67</v>
      </c>
      <c r="I43" t="str">
        <f t="shared" si="66"/>
        <v>consFlag = -1</v>
      </c>
      <c r="J43" s="18" t="s">
        <v>229</v>
      </c>
      <c r="K43" s="23" t="str">
        <f t="shared" si="18"/>
        <v>Public PBA As Currency</v>
      </c>
      <c r="L43" s="23" t="str">
        <f t="shared" si="19"/>
        <v>PBA = "AP"</v>
      </c>
      <c r="M43" s="23" t="str">
        <f t="shared" si="20"/>
        <v>PBA = "Purpose Borrowing Availability"</v>
      </c>
      <c r="N43" s="23" t="str">
        <f t="shared" si="21"/>
        <v>Public PBA As String</v>
      </c>
      <c r="O43" s="23" t="str">
        <f t="shared" si="22"/>
        <v>PBA = "PBA"</v>
      </c>
      <c r="P43" s="23" t="str">
        <f t="shared" si="23"/>
        <v>a.PBA= assign(ac.PBA, i)</v>
      </c>
      <c r="Q43" s="23" t="str">
        <f t="shared" si="24"/>
        <v>Call store(ac.PBA, row, a.PBA)</v>
      </c>
      <c r="BM43" s="25"/>
      <c r="BN43" s="25"/>
      <c r="BO43" s="25"/>
      <c r="BP43" s="25"/>
      <c r="CL43" s="29"/>
    </row>
    <row r="44" spans="1:119" ht="13.8" x14ac:dyDescent="0.25">
      <c r="A44">
        <v>107</v>
      </c>
      <c r="B44" t="str">
        <f>IF(A44&lt;91,CHAR(A44),"A"&amp;CHAR(A44-26))</f>
        <v>AQ</v>
      </c>
      <c r="E44" s="14" t="s">
        <v>36</v>
      </c>
      <c r="F44" s="22" t="s">
        <v>8</v>
      </c>
      <c r="G44" t="s">
        <v>68</v>
      </c>
      <c r="J44" s="18" t="s">
        <v>230</v>
      </c>
      <c r="K44" s="23" t="str">
        <f t="shared" si="18"/>
        <v>Public NPBA As Currency</v>
      </c>
      <c r="L44" s="23" t="str">
        <f t="shared" si="19"/>
        <v>NPBA = "AQ"</v>
      </c>
      <c r="M44" s="23" t="str">
        <f t="shared" si="20"/>
        <v>NPBA = "Non-Purpose Borrowing Availability"</v>
      </c>
      <c r="N44" s="23" t="str">
        <f t="shared" si="21"/>
        <v>Public NPBA As String</v>
      </c>
      <c r="O44" s="23" t="str">
        <f t="shared" si="22"/>
        <v>NPBA = "NPBA"</v>
      </c>
      <c r="P44" s="23" t="str">
        <f t="shared" si="23"/>
        <v>a.NPBA= assign(ac.NPBA, i)</v>
      </c>
      <c r="Q44" s="23" t="str">
        <f t="shared" si="24"/>
        <v>Call store(ac.NPBA, row, a.NPBA)</v>
      </c>
      <c r="BM44" s="25"/>
      <c r="BN44" s="25"/>
      <c r="BO44" s="25"/>
      <c r="BP44" s="25"/>
      <c r="CL44" s="29"/>
    </row>
    <row r="45" spans="1:119" ht="13.8" x14ac:dyDescent="0.25">
      <c r="A45" s="23">
        <v>108</v>
      </c>
      <c r="B45" s="23" t="str">
        <f t="shared" ref="B45" si="67">IF(A45&lt;91,CHAR(A45),"A"&amp;CHAR(A45-26))</f>
        <v>AR</v>
      </c>
      <c r="E45" s="14" t="s">
        <v>44</v>
      </c>
      <c r="F45" t="s">
        <v>45</v>
      </c>
      <c r="G45" t="s">
        <v>76</v>
      </c>
      <c r="K45" s="23" t="str">
        <f t="shared" ref="K45:K46" si="68">"Public "&amp;G45&amp;" As "&amp;F45</f>
        <v>Public consFlag As String</v>
      </c>
      <c r="L45" s="23" t="str">
        <f t="shared" ref="L45:L46" si="69">$L$1&amp;G45&amp;" = """&amp;$B45&amp;""""</f>
        <v>consFlag = "AR"</v>
      </c>
      <c r="M45" s="23" t="str">
        <f t="shared" ref="M45:M46" si="70">$M$1&amp;G45&amp;" = """&amp;E45&amp;""""</f>
        <v>consFlag = "Consumption Flag"</v>
      </c>
      <c r="N45" s="23" t="str">
        <f t="shared" ref="N45:N46" si="71">"Public "&amp;G45&amp;" As String"</f>
        <v>Public consFlag As String</v>
      </c>
      <c r="O45" s="23" t="str">
        <f t="shared" ref="O45:O46" si="72">$O$1&amp;G45&amp;" = """&amp;G45&amp;""""</f>
        <v>consFlag = "consFlag"</v>
      </c>
      <c r="P45" s="23" t="str">
        <f t="shared" ref="P45:P46" si="73">"a."&amp; G45 &amp; "= assign(ac." &amp; G45 &amp; ", i)"</f>
        <v>a.consFlag= assign(ac.consFlag, i)</v>
      </c>
      <c r="Q45" s="23" t="str">
        <f t="shared" ref="Q45:Q46" si="74">"Call "&amp;$Q$1&amp;"(ac." &amp; G45 &amp; ", row, a."&amp; G45 &amp;")"</f>
        <v>Call store(ac.consFlag, row, a.consFlag)</v>
      </c>
      <c r="BM45" s="25"/>
      <c r="BN45" s="25"/>
      <c r="BO45" s="25"/>
      <c r="BP45" s="25"/>
      <c r="CL45" s="29"/>
    </row>
    <row r="46" spans="1:119" ht="13.8" x14ac:dyDescent="0.25">
      <c r="A46" s="23">
        <v>109</v>
      </c>
      <c r="B46" s="23" t="str">
        <f>IF(A46&lt;91,CHAR(A46),"A"&amp;CHAR(A46-26))</f>
        <v>AS</v>
      </c>
      <c r="E46" s="14" t="s">
        <v>119</v>
      </c>
      <c r="F46" t="s">
        <v>45</v>
      </c>
      <c r="G46" t="s">
        <v>119</v>
      </c>
      <c r="K46" s="23" t="str">
        <f t="shared" si="68"/>
        <v>Public id As String</v>
      </c>
      <c r="L46" s="23" t="str">
        <f t="shared" si="69"/>
        <v>id = "AS"</v>
      </c>
      <c r="M46" s="23" t="str">
        <f t="shared" si="70"/>
        <v>id = "id"</v>
      </c>
      <c r="N46" s="23" t="str">
        <f t="shared" si="71"/>
        <v>Public id As String</v>
      </c>
      <c r="O46" s="23" t="str">
        <f t="shared" si="72"/>
        <v>id = "id"</v>
      </c>
      <c r="P46" s="23" t="str">
        <f t="shared" si="73"/>
        <v>a.id= assign(ac.id, i)</v>
      </c>
      <c r="Q46" s="23" t="str">
        <f t="shared" si="74"/>
        <v>Call store(ac.id, row, a.id)</v>
      </c>
      <c r="BM46" s="25"/>
      <c r="BN46" s="25"/>
      <c r="BO46" s="25"/>
      <c r="BP46" s="25"/>
      <c r="CL46" s="29"/>
    </row>
    <row r="47" spans="1:119" ht="13.8" x14ac:dyDescent="0.25">
      <c r="A47" s="23">
        <v>110</v>
      </c>
      <c r="B47" s="23" t="str">
        <f t="shared" ref="B47:B57" si="75">IF(A47&lt;91,CHAR(A47),"A"&amp;CHAR(A47-26))</f>
        <v>AT</v>
      </c>
      <c r="BM47" s="25"/>
      <c r="BN47" s="25"/>
      <c r="BO47" s="25"/>
      <c r="BP47" s="25"/>
      <c r="CL47" s="29"/>
    </row>
    <row r="48" spans="1:119" ht="13.8" x14ac:dyDescent="0.25">
      <c r="A48" s="23">
        <v>111</v>
      </c>
      <c r="B48" s="23" t="str">
        <f t="shared" si="75"/>
        <v>AU</v>
      </c>
      <c r="BM48" s="25"/>
      <c r="BN48" s="25"/>
      <c r="BO48" s="25"/>
      <c r="BP48" s="25"/>
      <c r="CL48" s="29"/>
    </row>
    <row r="49" spans="1:90" ht="13.8" x14ac:dyDescent="0.25">
      <c r="A49" s="23">
        <v>112</v>
      </c>
      <c r="B49" s="23" t="str">
        <f t="shared" si="75"/>
        <v>AV</v>
      </c>
      <c r="BM49" s="25"/>
      <c r="BN49" s="25"/>
      <c r="BO49" s="25"/>
      <c r="BP49" s="25"/>
      <c r="CL49" s="29"/>
    </row>
    <row r="50" spans="1:90" ht="13.8" x14ac:dyDescent="0.25">
      <c r="A50" s="23">
        <v>113</v>
      </c>
      <c r="B50" s="23" t="str">
        <f t="shared" si="75"/>
        <v>AW</v>
      </c>
      <c r="BM50" s="25"/>
      <c r="BN50" s="25"/>
      <c r="BO50" s="25"/>
      <c r="BP50" s="25"/>
      <c r="CL50" s="29"/>
    </row>
    <row r="51" spans="1:90" ht="13.8" x14ac:dyDescent="0.25">
      <c r="A51" s="23">
        <v>114</v>
      </c>
      <c r="B51" s="23" t="str">
        <f t="shared" si="75"/>
        <v>AX</v>
      </c>
      <c r="BM51" s="25"/>
      <c r="BN51" s="25"/>
      <c r="BO51" s="25"/>
      <c r="BP51" s="25"/>
      <c r="CL51" s="29"/>
    </row>
    <row r="52" spans="1:90" ht="13.8" x14ac:dyDescent="0.25">
      <c r="A52" s="23">
        <v>115</v>
      </c>
      <c r="B52" s="23" t="str">
        <f t="shared" si="75"/>
        <v>AY</v>
      </c>
      <c r="BM52" s="25"/>
      <c r="BN52" s="25"/>
      <c r="BO52" s="25"/>
      <c r="BP52" s="25"/>
      <c r="CL52" s="29"/>
    </row>
    <row r="53" spans="1:90" ht="13.8" x14ac:dyDescent="0.25">
      <c r="A53" s="23">
        <v>116</v>
      </c>
      <c r="B53" s="23" t="str">
        <f t="shared" si="75"/>
        <v>AZ</v>
      </c>
      <c r="BM53" s="25"/>
      <c r="BN53" s="25"/>
      <c r="BO53" s="25"/>
      <c r="BP53" s="25"/>
      <c r="CL53" s="29"/>
    </row>
    <row r="54" spans="1:90" ht="13.8" x14ac:dyDescent="0.25">
      <c r="A54" s="23">
        <v>117</v>
      </c>
      <c r="B54" s="23" t="str">
        <f t="shared" si="75"/>
        <v>A[</v>
      </c>
      <c r="BM54" s="25"/>
      <c r="BN54" s="25"/>
      <c r="BO54" s="25"/>
      <c r="BP54" s="25"/>
      <c r="CL54" s="29"/>
    </row>
    <row r="55" spans="1:90" ht="13.8" x14ac:dyDescent="0.25">
      <c r="A55" s="23">
        <v>118</v>
      </c>
      <c r="B55" s="23" t="str">
        <f t="shared" si="75"/>
        <v>A\</v>
      </c>
      <c r="BM55" s="25"/>
      <c r="BN55" s="25"/>
      <c r="BO55" s="25"/>
      <c r="BP55" s="25"/>
      <c r="CL55" s="29"/>
    </row>
    <row r="56" spans="1:90" ht="13.8" x14ac:dyDescent="0.25">
      <c r="A56" s="23">
        <v>119</v>
      </c>
      <c r="B56" s="23" t="str">
        <f t="shared" si="75"/>
        <v>A]</v>
      </c>
      <c r="BM56" s="25"/>
      <c r="BN56" s="25"/>
      <c r="BO56" s="25"/>
      <c r="BP56" s="25"/>
      <c r="CL56" s="29"/>
    </row>
    <row r="57" spans="1:90" ht="13.8" x14ac:dyDescent="0.25">
      <c r="A57" s="23">
        <v>120</v>
      </c>
      <c r="B57" s="23" t="str">
        <f t="shared" si="75"/>
        <v>A^</v>
      </c>
      <c r="BM57" s="25"/>
      <c r="BN57" s="25"/>
      <c r="BO57" s="25"/>
      <c r="BP57" s="25"/>
      <c r="CL57" s="29"/>
    </row>
    <row r="58" spans="1:90" ht="13.8" x14ac:dyDescent="0.25">
      <c r="BM58" s="25"/>
      <c r="BN58" s="25"/>
      <c r="BO58" s="25"/>
      <c r="BP58" s="25"/>
      <c r="CL58" s="29"/>
    </row>
  </sheetData>
  <dataConsolid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
  <sheetViews>
    <sheetView workbookViewId="0"/>
  </sheetViews>
  <sheetFormatPr defaultRowHeight="13.2" x14ac:dyDescent="0.25"/>
  <sheetData/>
  <dataConsolidate/>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copyContentAndConsume">
                <anchor moveWithCells="1" sizeWithCells="1">
                  <from>
                    <xdr:col>1</xdr:col>
                    <xdr:colOff>0</xdr:colOff>
                    <xdr:row>1</xdr:row>
                    <xdr:rowOff>0</xdr:rowOff>
                  </from>
                  <to>
                    <xdr:col>2</xdr:col>
                    <xdr:colOff>594360</xdr:colOff>
                    <xdr:row>3</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31"/>
  <sheetViews>
    <sheetView showOutlineSymbols="0" showWhiteSpace="0" workbookViewId="0"/>
  </sheetViews>
  <sheetFormatPr defaultColWidth="9.109375" defaultRowHeight="13.8" x14ac:dyDescent="0.25"/>
  <cols>
    <col min="1" max="1" width="14.5546875" style="25" bestFit="1" customWidth="1"/>
    <col min="2" max="2" width="13.44140625" style="25" bestFit="1" customWidth="1"/>
    <col min="3" max="3" width="11.109375" style="25" bestFit="1" customWidth="1"/>
    <col min="4" max="4" width="10" style="25" bestFit="1" customWidth="1"/>
    <col min="5" max="5" width="8.33203125" style="25" bestFit="1" customWidth="1"/>
    <col min="6" max="6" width="10" style="25" bestFit="1" customWidth="1"/>
    <col min="7" max="7" width="19.109375" style="25" bestFit="1" customWidth="1"/>
    <col min="8" max="8" width="66" style="25" bestFit="1" customWidth="1"/>
    <col min="9" max="9" width="32.88671875" style="25" bestFit="1" customWidth="1"/>
    <col min="10" max="10" width="18.5546875" style="25" bestFit="1" customWidth="1"/>
    <col min="11" max="11" width="10" style="25" bestFit="1" customWidth="1"/>
    <col min="12" max="12" width="18.5546875" style="25" bestFit="1" customWidth="1"/>
    <col min="13" max="13" width="16.88671875" style="25" bestFit="1" customWidth="1"/>
    <col min="14" max="14" width="18" style="25" bestFit="1" customWidth="1"/>
    <col min="15" max="16" width="15.109375" style="25" bestFit="1" customWidth="1"/>
    <col min="17" max="17" width="18" style="25" bestFit="1" customWidth="1"/>
    <col min="18" max="18" width="25.44140625" style="25" bestFit="1" customWidth="1"/>
    <col min="19" max="19" width="22" style="25" bestFit="1" customWidth="1"/>
    <col min="20" max="20" width="16.88671875" style="25" bestFit="1" customWidth="1"/>
    <col min="21" max="21" width="25.44140625" style="25" bestFit="1" customWidth="1"/>
    <col min="22" max="22" width="22" style="25" bestFit="1" customWidth="1"/>
    <col min="23" max="23" width="16.88671875" style="25" bestFit="1" customWidth="1"/>
    <col min="24" max="24" width="25.44140625" style="25" bestFit="1" customWidth="1"/>
    <col min="25" max="25" width="22" style="25" bestFit="1" customWidth="1"/>
    <col min="26" max="26" width="16.88671875" style="25" bestFit="1" customWidth="1"/>
    <col min="27" max="27" width="13.44140625" style="25" bestFit="1" customWidth="1"/>
    <col min="28" max="28" width="18" style="25" bestFit="1" customWidth="1"/>
    <col min="29" max="29" width="13.44140625" style="25" bestFit="1" customWidth="1"/>
    <col min="30" max="30" width="18" style="25" bestFit="1" customWidth="1"/>
    <col min="31" max="31" width="13.44140625" style="25" bestFit="1" customWidth="1"/>
    <col min="32" max="32" width="15.109375" style="25" bestFit="1" customWidth="1"/>
    <col min="33" max="33" width="16.88671875" style="25" bestFit="1" customWidth="1"/>
    <col min="34" max="34" width="13.44140625" style="25" bestFit="1" customWidth="1"/>
    <col min="35" max="36" width="15.109375" style="25" bestFit="1" customWidth="1"/>
    <col min="37" max="37" width="10" style="25" bestFit="1" customWidth="1"/>
    <col min="38" max="38" width="15.109375" style="25" bestFit="1" customWidth="1"/>
    <col min="39" max="39" width="10" style="25" bestFit="1" customWidth="1"/>
    <col min="40" max="40" width="16.88671875" style="25" bestFit="1" customWidth="1"/>
    <col min="41" max="41" width="20.33203125" style="25" bestFit="1" customWidth="1"/>
    <col min="42" max="43" width="18.5546875" style="25" bestFit="1" customWidth="1"/>
    <col min="44" max="44" width="15.109375" style="25" bestFit="1" customWidth="1"/>
    <col min="45" max="16384" width="9.109375" style="25"/>
  </cols>
  <sheetData>
    <row r="1" spans="1:44" x14ac:dyDescent="0.25">
      <c r="A1" s="35" t="s">
        <v>263</v>
      </c>
      <c r="B1" s="35" t="s">
        <v>85</v>
      </c>
      <c r="C1" s="35" t="s">
        <v>116</v>
      </c>
      <c r="D1" s="35" t="s">
        <v>117</v>
      </c>
      <c r="E1" s="35" t="s">
        <v>352</v>
      </c>
      <c r="F1" s="35" t="s">
        <v>274</v>
      </c>
      <c r="G1" s="35" t="s">
        <v>275</v>
      </c>
      <c r="H1" s="35" t="s">
        <v>276</v>
      </c>
      <c r="I1" s="35" t="s">
        <v>277</v>
      </c>
      <c r="J1" s="35" t="s">
        <v>278</v>
      </c>
      <c r="K1" s="35" t="s">
        <v>2</v>
      </c>
      <c r="L1" s="35" t="s">
        <v>279</v>
      </c>
      <c r="M1" s="35" t="s">
        <v>280</v>
      </c>
      <c r="N1" s="35" t="s">
        <v>3</v>
      </c>
      <c r="O1" s="35" t="s">
        <v>428</v>
      </c>
      <c r="P1" s="35" t="s">
        <v>281</v>
      </c>
      <c r="Q1" s="35" t="s">
        <v>282</v>
      </c>
      <c r="R1" s="35" t="s">
        <v>283</v>
      </c>
      <c r="S1" s="35" t="s">
        <v>284</v>
      </c>
      <c r="T1" s="35" t="s">
        <v>285</v>
      </c>
      <c r="U1" s="35" t="s">
        <v>286</v>
      </c>
      <c r="V1" s="35" t="s">
        <v>287</v>
      </c>
      <c r="W1" s="35" t="s">
        <v>288</v>
      </c>
      <c r="X1" s="35" t="s">
        <v>289</v>
      </c>
      <c r="Y1" s="35" t="s">
        <v>290</v>
      </c>
      <c r="Z1" s="35" t="s">
        <v>291</v>
      </c>
      <c r="AA1" s="35" t="s">
        <v>292</v>
      </c>
      <c r="AB1" s="35" t="s">
        <v>0</v>
      </c>
      <c r="AC1" s="35" t="s">
        <v>293</v>
      </c>
      <c r="AD1" s="35" t="s">
        <v>1</v>
      </c>
      <c r="AE1" s="35" t="s">
        <v>294</v>
      </c>
      <c r="AF1" s="35" t="s">
        <v>429</v>
      </c>
      <c r="AG1" s="35" t="s">
        <v>306</v>
      </c>
      <c r="AH1" s="35" t="s">
        <v>430</v>
      </c>
      <c r="AI1" s="35" t="s">
        <v>431</v>
      </c>
      <c r="AJ1" s="35" t="s">
        <v>432</v>
      </c>
      <c r="AK1" s="35" t="s">
        <v>60</v>
      </c>
      <c r="AL1" s="35" t="s">
        <v>433</v>
      </c>
      <c r="AM1" s="35" t="s">
        <v>61</v>
      </c>
      <c r="AN1" s="35" t="s">
        <v>434</v>
      </c>
      <c r="AO1" s="35" t="s">
        <v>435</v>
      </c>
      <c r="AP1" s="35" t="s">
        <v>295</v>
      </c>
      <c r="AQ1" s="35" t="s">
        <v>296</v>
      </c>
      <c r="AR1" s="35" t="s">
        <v>436</v>
      </c>
    </row>
    <row r="2" spans="1:44" ht="14.4" x14ac:dyDescent="0.3">
      <c r="A2" s="36">
        <v>708786360</v>
      </c>
      <c r="B2" s="36">
        <v>220360701</v>
      </c>
      <c r="C2" s="36">
        <v>8786360</v>
      </c>
      <c r="D2" s="36" t="s">
        <v>437</v>
      </c>
      <c r="E2" s="36" t="s">
        <v>108</v>
      </c>
      <c r="F2" s="36" t="s">
        <v>438</v>
      </c>
      <c r="G2" s="36">
        <v>40004033731000</v>
      </c>
      <c r="H2" s="36" t="s">
        <v>439</v>
      </c>
      <c r="I2" s="36" t="s">
        <v>440</v>
      </c>
      <c r="J2" s="36" t="s">
        <v>5</v>
      </c>
      <c r="K2" s="36" t="s">
        <v>441</v>
      </c>
      <c r="L2" s="36">
        <v>110.66</v>
      </c>
      <c r="M2" s="36"/>
      <c r="N2" s="36">
        <v>2196498.28528</v>
      </c>
      <c r="O2" s="36"/>
      <c r="P2" s="36"/>
      <c r="Q2" s="36">
        <v>2196498.28528</v>
      </c>
      <c r="R2" s="36"/>
      <c r="S2" s="36"/>
      <c r="T2" s="36"/>
      <c r="U2" s="36"/>
      <c r="V2" s="36"/>
      <c r="W2" s="36"/>
      <c r="X2" s="36"/>
      <c r="Y2" s="36"/>
      <c r="Z2" s="36"/>
      <c r="AA2" s="36">
        <v>83</v>
      </c>
      <c r="AB2" s="36">
        <v>1823093.576782</v>
      </c>
      <c r="AC2" s="36">
        <v>83</v>
      </c>
      <c r="AD2" s="36">
        <v>1823093.576782</v>
      </c>
      <c r="AE2" s="36">
        <v>1</v>
      </c>
      <c r="AF2" s="36"/>
      <c r="AG2" s="36"/>
      <c r="AH2" s="36"/>
      <c r="AI2" s="36"/>
      <c r="AJ2" s="36"/>
      <c r="AK2" s="36"/>
      <c r="AL2" s="36"/>
      <c r="AM2" s="36"/>
      <c r="AN2" s="36"/>
      <c r="AO2" s="36"/>
      <c r="AP2" s="36">
        <v>1823093.576782</v>
      </c>
      <c r="AQ2" s="36">
        <v>1823093.576782</v>
      </c>
      <c r="AR2" s="36" t="s">
        <v>107</v>
      </c>
    </row>
    <row r="3" spans="1:44" ht="14.4" x14ac:dyDescent="0.3">
      <c r="A3" s="36">
        <v>708786360</v>
      </c>
      <c r="B3" s="36">
        <v>220360701</v>
      </c>
      <c r="C3" s="36">
        <v>8786360</v>
      </c>
      <c r="D3" s="36" t="s">
        <v>437</v>
      </c>
      <c r="E3" s="36" t="s">
        <v>108</v>
      </c>
      <c r="F3" s="36" t="s">
        <v>438</v>
      </c>
      <c r="G3" s="36">
        <v>40004020522000</v>
      </c>
      <c r="H3" s="36" t="s">
        <v>442</v>
      </c>
      <c r="I3" s="36" t="s">
        <v>443</v>
      </c>
      <c r="J3" s="36" t="s">
        <v>6</v>
      </c>
      <c r="K3" s="36" t="s">
        <v>441</v>
      </c>
      <c r="L3" s="36">
        <v>1.0301199999999999</v>
      </c>
      <c r="M3" s="36"/>
      <c r="N3" s="36">
        <v>880243</v>
      </c>
      <c r="O3" s="36"/>
      <c r="P3" s="36"/>
      <c r="Q3" s="36">
        <v>880243</v>
      </c>
      <c r="R3" s="36"/>
      <c r="S3" s="36"/>
      <c r="T3" s="36"/>
      <c r="U3" s="36"/>
      <c r="V3" s="36"/>
      <c r="W3" s="36"/>
      <c r="X3" s="36"/>
      <c r="Y3" s="36"/>
      <c r="Z3" s="36"/>
      <c r="AA3" s="36">
        <v>35</v>
      </c>
      <c r="AB3" s="36">
        <v>308085.05</v>
      </c>
      <c r="AC3" s="36">
        <v>35</v>
      </c>
      <c r="AD3" s="36">
        <v>308085.05</v>
      </c>
      <c r="AE3" s="36">
        <v>1</v>
      </c>
      <c r="AF3" s="36"/>
      <c r="AG3" s="36"/>
      <c r="AH3" s="36"/>
      <c r="AI3" s="36"/>
      <c r="AJ3" s="36"/>
      <c r="AK3" s="36"/>
      <c r="AL3" s="36"/>
      <c r="AM3" s="36"/>
      <c r="AN3" s="36"/>
      <c r="AO3" s="36"/>
      <c r="AP3" s="36">
        <v>308085.05</v>
      </c>
      <c r="AQ3" s="36">
        <v>308085.05</v>
      </c>
      <c r="AR3" s="36" t="s">
        <v>107</v>
      </c>
    </row>
    <row r="4" spans="1:44" ht="14.4" x14ac:dyDescent="0.3">
      <c r="A4" s="36">
        <v>708786360</v>
      </c>
      <c r="B4" s="36">
        <v>220360701</v>
      </c>
      <c r="C4" s="36">
        <v>8786360</v>
      </c>
      <c r="D4" s="36" t="s">
        <v>437</v>
      </c>
      <c r="E4" s="36" t="s">
        <v>108</v>
      </c>
      <c r="F4" s="36" t="s">
        <v>438</v>
      </c>
      <c r="G4" s="36">
        <v>40004019955000</v>
      </c>
      <c r="H4" s="36" t="s">
        <v>444</v>
      </c>
      <c r="I4" s="36" t="s">
        <v>443</v>
      </c>
      <c r="J4" s="36" t="s">
        <v>6</v>
      </c>
      <c r="K4" s="36" t="s">
        <v>441</v>
      </c>
      <c r="L4" s="36">
        <v>1.0330900000000001</v>
      </c>
      <c r="M4" s="36"/>
      <c r="N4" s="36">
        <v>208100</v>
      </c>
      <c r="O4" s="36"/>
      <c r="P4" s="36"/>
      <c r="Q4" s="36">
        <v>208100</v>
      </c>
      <c r="R4" s="36"/>
      <c r="S4" s="36"/>
      <c r="T4" s="36"/>
      <c r="U4" s="36"/>
      <c r="V4" s="36"/>
      <c r="W4" s="36"/>
      <c r="X4" s="36"/>
      <c r="Y4" s="36"/>
      <c r="Z4" s="36"/>
      <c r="AA4" s="36">
        <v>55</v>
      </c>
      <c r="AB4" s="36">
        <v>114455</v>
      </c>
      <c r="AC4" s="36">
        <v>55</v>
      </c>
      <c r="AD4" s="36">
        <v>114455</v>
      </c>
      <c r="AE4" s="36">
        <v>1</v>
      </c>
      <c r="AF4" s="36"/>
      <c r="AG4" s="36"/>
      <c r="AH4" s="36"/>
      <c r="AI4" s="36"/>
      <c r="AJ4" s="36"/>
      <c r="AK4" s="36"/>
      <c r="AL4" s="36"/>
      <c r="AM4" s="36"/>
      <c r="AN4" s="36"/>
      <c r="AO4" s="36"/>
      <c r="AP4" s="36">
        <v>114455</v>
      </c>
      <c r="AQ4" s="36">
        <v>114455</v>
      </c>
      <c r="AR4" s="36" t="s">
        <v>107</v>
      </c>
    </row>
    <row r="5" spans="1:44" ht="14.4" x14ac:dyDescent="0.3">
      <c r="A5" s="36">
        <v>708787760</v>
      </c>
      <c r="B5" s="36">
        <v>220364487</v>
      </c>
      <c r="C5" s="36">
        <v>8787760</v>
      </c>
      <c r="D5" s="36" t="s">
        <v>437</v>
      </c>
      <c r="E5" s="36">
        <v>0</v>
      </c>
      <c r="F5" s="36" t="s">
        <v>438</v>
      </c>
      <c r="G5" s="36">
        <v>840</v>
      </c>
      <c r="H5" s="36" t="s">
        <v>445</v>
      </c>
      <c r="I5" s="36" t="s">
        <v>446</v>
      </c>
      <c r="J5" s="36" t="s">
        <v>6</v>
      </c>
      <c r="K5" s="36" t="s">
        <v>441</v>
      </c>
      <c r="L5" s="36"/>
      <c r="M5" s="36"/>
      <c r="N5" s="36">
        <v>449224.18</v>
      </c>
      <c r="O5" s="36"/>
      <c r="P5" s="36"/>
      <c r="Q5" s="36">
        <v>449224.18</v>
      </c>
      <c r="R5" s="36"/>
      <c r="S5" s="36"/>
      <c r="T5" s="36"/>
      <c r="U5" s="36"/>
      <c r="V5" s="36"/>
      <c r="W5" s="36"/>
      <c r="X5" s="36"/>
      <c r="Y5" s="36"/>
      <c r="Z5" s="36"/>
      <c r="AA5" s="36">
        <v>100</v>
      </c>
      <c r="AB5" s="36">
        <v>449224.18</v>
      </c>
      <c r="AC5" s="36">
        <v>100</v>
      </c>
      <c r="AD5" s="36">
        <v>449224.18</v>
      </c>
      <c r="AE5" s="36">
        <v>1</v>
      </c>
      <c r="AF5" s="36"/>
      <c r="AG5" s="36"/>
      <c r="AH5" s="36"/>
      <c r="AI5" s="36"/>
      <c r="AJ5" s="36"/>
      <c r="AK5" s="36"/>
      <c r="AL5" s="36"/>
      <c r="AM5" s="36"/>
      <c r="AN5" s="36"/>
      <c r="AO5" s="36"/>
      <c r="AP5" s="36">
        <v>449224.18</v>
      </c>
      <c r="AQ5" s="36">
        <v>449224.18</v>
      </c>
      <c r="AR5" s="36" t="s">
        <v>107</v>
      </c>
    </row>
    <row r="6" spans="1:44" ht="14.4" x14ac:dyDescent="0.3">
      <c r="A6" s="36">
        <v>702216860</v>
      </c>
      <c r="B6" s="36">
        <v>221970943</v>
      </c>
      <c r="C6" s="36">
        <v>2216860</v>
      </c>
      <c r="D6" s="36" t="s">
        <v>437</v>
      </c>
      <c r="E6" s="36" t="s">
        <v>108</v>
      </c>
      <c r="F6" s="36" t="s">
        <v>438</v>
      </c>
      <c r="G6" s="36">
        <v>40005122482000</v>
      </c>
      <c r="H6" s="36" t="s">
        <v>447</v>
      </c>
      <c r="I6" s="36" t="s">
        <v>443</v>
      </c>
      <c r="J6" s="36" t="s">
        <v>6</v>
      </c>
      <c r="K6" s="36" t="s">
        <v>441</v>
      </c>
      <c r="L6" s="36">
        <v>1.01814</v>
      </c>
      <c r="M6" s="36"/>
      <c r="N6" s="36">
        <v>2565150</v>
      </c>
      <c r="O6" s="36"/>
      <c r="P6" s="36"/>
      <c r="Q6" s="36">
        <v>2565150</v>
      </c>
      <c r="R6" s="36"/>
      <c r="S6" s="36"/>
      <c r="T6" s="36"/>
      <c r="U6" s="36"/>
      <c r="V6" s="36"/>
      <c r="W6" s="36"/>
      <c r="X6" s="36"/>
      <c r="Y6" s="36"/>
      <c r="Z6" s="36"/>
      <c r="AA6" s="36">
        <v>81</v>
      </c>
      <c r="AB6" s="36">
        <v>2077771.5</v>
      </c>
      <c r="AC6" s="36">
        <v>81</v>
      </c>
      <c r="AD6" s="36">
        <v>2077771.5</v>
      </c>
      <c r="AE6" s="36">
        <v>1</v>
      </c>
      <c r="AF6" s="36"/>
      <c r="AG6" s="36"/>
      <c r="AH6" s="36"/>
      <c r="AI6" s="36"/>
      <c r="AJ6" s="36"/>
      <c r="AK6" s="36"/>
      <c r="AL6" s="36"/>
      <c r="AM6" s="36"/>
      <c r="AN6" s="36"/>
      <c r="AO6" s="36"/>
      <c r="AP6" s="36">
        <v>2077771.5</v>
      </c>
      <c r="AQ6" s="36">
        <v>2077771.5</v>
      </c>
      <c r="AR6" s="36" t="s">
        <v>107</v>
      </c>
    </row>
    <row r="7" spans="1:44" ht="14.4" x14ac:dyDescent="0.3">
      <c r="A7" s="36">
        <v>708786360</v>
      </c>
      <c r="B7" s="36">
        <v>220360701</v>
      </c>
      <c r="C7" s="36">
        <v>8786360</v>
      </c>
      <c r="D7" s="36" t="s">
        <v>437</v>
      </c>
      <c r="E7" s="36" t="s">
        <v>108</v>
      </c>
      <c r="F7" s="36" t="s">
        <v>438</v>
      </c>
      <c r="G7" s="36">
        <v>40004046535000</v>
      </c>
      <c r="H7" s="36" t="s">
        <v>448</v>
      </c>
      <c r="I7" s="36" t="s">
        <v>443</v>
      </c>
      <c r="J7" s="36" t="s">
        <v>6</v>
      </c>
      <c r="K7" s="36" t="s">
        <v>441</v>
      </c>
      <c r="L7" s="36">
        <v>1.0099899999999999</v>
      </c>
      <c r="M7" s="36"/>
      <c r="N7" s="36">
        <v>5047350</v>
      </c>
      <c r="O7" s="36"/>
      <c r="P7" s="36"/>
      <c r="Q7" s="36">
        <v>5047350</v>
      </c>
      <c r="R7" s="36"/>
      <c r="S7" s="36"/>
      <c r="T7" s="36"/>
      <c r="U7" s="36"/>
      <c r="V7" s="36"/>
      <c r="W7" s="36"/>
      <c r="X7" s="36"/>
      <c r="Y7" s="36"/>
      <c r="Z7" s="36"/>
      <c r="AA7" s="36">
        <v>90</v>
      </c>
      <c r="AB7" s="36">
        <v>4542615</v>
      </c>
      <c r="AC7" s="36">
        <v>90</v>
      </c>
      <c r="AD7" s="36">
        <v>4542615</v>
      </c>
      <c r="AE7" s="36">
        <v>1</v>
      </c>
      <c r="AF7" s="36"/>
      <c r="AG7" s="36"/>
      <c r="AH7" s="36"/>
      <c r="AI7" s="36"/>
      <c r="AJ7" s="36"/>
      <c r="AK7" s="36"/>
      <c r="AL7" s="36"/>
      <c r="AM7" s="36"/>
      <c r="AN7" s="36"/>
      <c r="AO7" s="36"/>
      <c r="AP7" s="36">
        <v>4542615</v>
      </c>
      <c r="AQ7" s="36">
        <v>4542615</v>
      </c>
      <c r="AR7" s="36" t="s">
        <v>107</v>
      </c>
    </row>
    <row r="8" spans="1:44" ht="14.4" x14ac:dyDescent="0.3">
      <c r="A8" s="36">
        <v>708786360</v>
      </c>
      <c r="B8" s="36">
        <v>220360701</v>
      </c>
      <c r="C8" s="36">
        <v>8786360</v>
      </c>
      <c r="D8" s="36" t="s">
        <v>437</v>
      </c>
      <c r="E8" s="36" t="s">
        <v>108</v>
      </c>
      <c r="F8" s="36" t="s">
        <v>438</v>
      </c>
      <c r="G8" s="36">
        <v>40004077031000</v>
      </c>
      <c r="H8" s="36" t="s">
        <v>449</v>
      </c>
      <c r="I8" s="36" t="s">
        <v>450</v>
      </c>
      <c r="J8" s="36" t="s">
        <v>6</v>
      </c>
      <c r="K8" s="36" t="s">
        <v>441</v>
      </c>
      <c r="L8" s="36">
        <v>1.0029999999999999</v>
      </c>
      <c r="M8" s="36"/>
      <c r="N8" s="36">
        <v>501500</v>
      </c>
      <c r="O8" s="36"/>
      <c r="P8" s="36"/>
      <c r="Q8" s="36">
        <v>501500</v>
      </c>
      <c r="R8" s="36"/>
      <c r="S8" s="36"/>
      <c r="T8" s="36"/>
      <c r="U8" s="36"/>
      <c r="V8" s="36"/>
      <c r="W8" s="36"/>
      <c r="X8" s="36"/>
      <c r="Y8" s="36"/>
      <c r="Z8" s="36"/>
      <c r="AA8" s="36">
        <v>70</v>
      </c>
      <c r="AB8" s="36">
        <v>351050</v>
      </c>
      <c r="AC8" s="36">
        <v>70</v>
      </c>
      <c r="AD8" s="36">
        <v>351050</v>
      </c>
      <c r="AE8" s="36">
        <v>1</v>
      </c>
      <c r="AF8" s="36"/>
      <c r="AG8" s="36"/>
      <c r="AH8" s="36"/>
      <c r="AI8" s="36"/>
      <c r="AJ8" s="36"/>
      <c r="AK8" s="36"/>
      <c r="AL8" s="36"/>
      <c r="AM8" s="36"/>
      <c r="AN8" s="36"/>
      <c r="AO8" s="36"/>
      <c r="AP8" s="36">
        <v>351050</v>
      </c>
      <c r="AQ8" s="36">
        <v>351050</v>
      </c>
      <c r="AR8" s="36" t="s">
        <v>107</v>
      </c>
    </row>
    <row r="9" spans="1:44" ht="14.4" x14ac:dyDescent="0.3">
      <c r="A9" s="36">
        <v>708786360</v>
      </c>
      <c r="B9" s="36">
        <v>220360701</v>
      </c>
      <c r="C9" s="36">
        <v>8786360</v>
      </c>
      <c r="D9" s="36" t="s">
        <v>437</v>
      </c>
      <c r="E9" s="36" t="s">
        <v>108</v>
      </c>
      <c r="F9" s="36" t="s">
        <v>438</v>
      </c>
      <c r="G9" s="36">
        <v>40005084869000</v>
      </c>
      <c r="H9" s="36" t="s">
        <v>451</v>
      </c>
      <c r="I9" s="36" t="s">
        <v>443</v>
      </c>
      <c r="J9" s="36" t="s">
        <v>6</v>
      </c>
      <c r="K9" s="36" t="s">
        <v>441</v>
      </c>
      <c r="L9" s="36">
        <v>1.02267</v>
      </c>
      <c r="M9" s="36"/>
      <c r="N9" s="36">
        <v>432428.46399999998</v>
      </c>
      <c r="O9" s="36"/>
      <c r="P9" s="36"/>
      <c r="Q9" s="36">
        <v>432428.46399999998</v>
      </c>
      <c r="R9" s="36"/>
      <c r="S9" s="36"/>
      <c r="T9" s="36"/>
      <c r="U9" s="36"/>
      <c r="V9" s="36"/>
      <c r="W9" s="36"/>
      <c r="X9" s="36"/>
      <c r="Y9" s="36"/>
      <c r="Z9" s="36"/>
      <c r="AA9" s="36">
        <v>84</v>
      </c>
      <c r="AB9" s="36">
        <v>363239.90976000001</v>
      </c>
      <c r="AC9" s="36">
        <v>84</v>
      </c>
      <c r="AD9" s="36">
        <v>363239.90976000001</v>
      </c>
      <c r="AE9" s="36">
        <v>1</v>
      </c>
      <c r="AF9" s="36"/>
      <c r="AG9" s="36"/>
      <c r="AH9" s="36"/>
      <c r="AI9" s="36"/>
      <c r="AJ9" s="36"/>
      <c r="AK9" s="36"/>
      <c r="AL9" s="36"/>
      <c r="AM9" s="36"/>
      <c r="AN9" s="36"/>
      <c r="AO9" s="36"/>
      <c r="AP9" s="36">
        <v>363239.90976000001</v>
      </c>
      <c r="AQ9" s="36">
        <v>363239.90976000001</v>
      </c>
      <c r="AR9" s="36" t="s">
        <v>107</v>
      </c>
    </row>
    <row r="10" spans="1:44" ht="14.4" x14ac:dyDescent="0.3">
      <c r="A10" s="36">
        <v>708786360</v>
      </c>
      <c r="B10" s="36">
        <v>220360701</v>
      </c>
      <c r="C10" s="36">
        <v>8786360</v>
      </c>
      <c r="D10" s="36" t="s">
        <v>437</v>
      </c>
      <c r="E10" s="36" t="s">
        <v>108</v>
      </c>
      <c r="F10" s="36" t="s">
        <v>438</v>
      </c>
      <c r="G10" s="36">
        <v>1161460000</v>
      </c>
      <c r="H10" s="36" t="s">
        <v>452</v>
      </c>
      <c r="I10" s="36" t="s">
        <v>453</v>
      </c>
      <c r="J10" s="36" t="s">
        <v>5</v>
      </c>
      <c r="K10" s="36" t="s">
        <v>441</v>
      </c>
      <c r="L10" s="36">
        <v>87.49</v>
      </c>
      <c r="M10" s="36"/>
      <c r="N10" s="36">
        <v>537829.6</v>
      </c>
      <c r="O10" s="36"/>
      <c r="P10" s="36"/>
      <c r="Q10" s="36">
        <v>537829.6</v>
      </c>
      <c r="R10" s="36"/>
      <c r="S10" s="36"/>
      <c r="T10" s="36"/>
      <c r="U10" s="36"/>
      <c r="V10" s="36"/>
      <c r="W10" s="36"/>
      <c r="X10" s="36"/>
      <c r="Y10" s="36"/>
      <c r="Z10" s="36"/>
      <c r="AA10" s="36">
        <v>70</v>
      </c>
      <c r="AB10" s="36">
        <v>376480.72</v>
      </c>
      <c r="AC10" s="36">
        <v>70</v>
      </c>
      <c r="AD10" s="36">
        <v>376480.72</v>
      </c>
      <c r="AE10" s="36">
        <v>1</v>
      </c>
      <c r="AF10" s="36"/>
      <c r="AG10" s="36"/>
      <c r="AH10" s="36"/>
      <c r="AI10" s="36"/>
      <c r="AJ10" s="36"/>
      <c r="AK10" s="36"/>
      <c r="AL10" s="36"/>
      <c r="AM10" s="36"/>
      <c r="AN10" s="36"/>
      <c r="AO10" s="36"/>
      <c r="AP10" s="36">
        <v>376480.72</v>
      </c>
      <c r="AQ10" s="36">
        <v>376480.72</v>
      </c>
      <c r="AR10" s="36" t="s">
        <v>107</v>
      </c>
    </row>
    <row r="11" spans="1:44" ht="14.4" x14ac:dyDescent="0.3">
      <c r="A11" s="36">
        <v>708786360</v>
      </c>
      <c r="B11" s="36">
        <v>220360701</v>
      </c>
      <c r="C11" s="36">
        <v>8786360</v>
      </c>
      <c r="D11" s="36" t="s">
        <v>437</v>
      </c>
      <c r="E11" s="36" t="s">
        <v>108</v>
      </c>
      <c r="F11" s="36" t="s">
        <v>438</v>
      </c>
      <c r="G11" s="36">
        <v>40004021188000</v>
      </c>
      <c r="H11" s="36" t="s">
        <v>454</v>
      </c>
      <c r="I11" s="36" t="s">
        <v>443</v>
      </c>
      <c r="J11" s="36" t="s">
        <v>6</v>
      </c>
      <c r="K11" s="36" t="s">
        <v>441</v>
      </c>
      <c r="L11" s="36">
        <v>1.01078</v>
      </c>
      <c r="M11" s="36"/>
      <c r="N11" s="36">
        <v>507515</v>
      </c>
      <c r="O11" s="36"/>
      <c r="P11" s="36"/>
      <c r="Q11" s="36">
        <v>507515</v>
      </c>
      <c r="R11" s="36"/>
      <c r="S11" s="36"/>
      <c r="T11" s="36"/>
      <c r="U11" s="36"/>
      <c r="V11" s="36"/>
      <c r="W11" s="36"/>
      <c r="X11" s="36"/>
      <c r="Y11" s="36"/>
      <c r="Z11" s="36"/>
      <c r="AA11" s="36">
        <v>70</v>
      </c>
      <c r="AB11" s="36">
        <v>355260.5</v>
      </c>
      <c r="AC11" s="36">
        <v>70</v>
      </c>
      <c r="AD11" s="36">
        <v>355260.5</v>
      </c>
      <c r="AE11" s="36">
        <v>1</v>
      </c>
      <c r="AF11" s="36"/>
      <c r="AG11" s="36"/>
      <c r="AH11" s="36"/>
      <c r="AI11" s="36"/>
      <c r="AJ11" s="36"/>
      <c r="AK11" s="36"/>
      <c r="AL11" s="36"/>
      <c r="AM11" s="36"/>
      <c r="AN11" s="36"/>
      <c r="AO11" s="36"/>
      <c r="AP11" s="36">
        <v>355260.5</v>
      </c>
      <c r="AQ11" s="36">
        <v>355260.5</v>
      </c>
      <c r="AR11" s="36" t="s">
        <v>107</v>
      </c>
    </row>
    <row r="12" spans="1:44" ht="14.4" x14ac:dyDescent="0.3">
      <c r="A12" s="36">
        <v>708786360</v>
      </c>
      <c r="B12" s="36">
        <v>220360701</v>
      </c>
      <c r="C12" s="36">
        <v>8786360</v>
      </c>
      <c r="D12" s="36" t="s">
        <v>437</v>
      </c>
      <c r="E12" s="36" t="s">
        <v>108</v>
      </c>
      <c r="F12" s="36" t="s">
        <v>438</v>
      </c>
      <c r="G12" s="36">
        <v>391280000</v>
      </c>
      <c r="H12" s="36" t="s">
        <v>455</v>
      </c>
      <c r="I12" s="36" t="s">
        <v>453</v>
      </c>
      <c r="J12" s="36" t="s">
        <v>5</v>
      </c>
      <c r="K12" s="36" t="s">
        <v>441</v>
      </c>
      <c r="L12" s="36">
        <v>12.21</v>
      </c>
      <c r="M12" s="36"/>
      <c r="N12" s="36">
        <v>504438.99</v>
      </c>
      <c r="O12" s="36"/>
      <c r="P12" s="36"/>
      <c r="Q12" s="36">
        <v>504438.99</v>
      </c>
      <c r="R12" s="36"/>
      <c r="S12" s="36"/>
      <c r="T12" s="36"/>
      <c r="U12" s="36"/>
      <c r="V12" s="36"/>
      <c r="W12" s="36"/>
      <c r="X12" s="36"/>
      <c r="Y12" s="36"/>
      <c r="Z12" s="36"/>
      <c r="AA12" s="36">
        <v>70</v>
      </c>
      <c r="AB12" s="36">
        <v>353107.29300000001</v>
      </c>
      <c r="AC12" s="36">
        <v>70</v>
      </c>
      <c r="AD12" s="36">
        <v>353107.29300000001</v>
      </c>
      <c r="AE12" s="36">
        <v>1</v>
      </c>
      <c r="AF12" s="36"/>
      <c r="AG12" s="36"/>
      <c r="AH12" s="36"/>
      <c r="AI12" s="36"/>
      <c r="AJ12" s="36"/>
      <c r="AK12" s="36"/>
      <c r="AL12" s="36"/>
      <c r="AM12" s="36"/>
      <c r="AN12" s="36"/>
      <c r="AO12" s="36"/>
      <c r="AP12" s="36">
        <v>353107.29300000001</v>
      </c>
      <c r="AQ12" s="36">
        <v>353107.29300000001</v>
      </c>
      <c r="AR12" s="36" t="s">
        <v>107</v>
      </c>
    </row>
    <row r="13" spans="1:44" ht="14.4" x14ac:dyDescent="0.3">
      <c r="A13" s="36">
        <v>708786360</v>
      </c>
      <c r="B13" s="36">
        <v>220360701</v>
      </c>
      <c r="C13" s="36">
        <v>8786360</v>
      </c>
      <c r="D13" s="36" t="s">
        <v>437</v>
      </c>
      <c r="E13" s="36" t="s">
        <v>108</v>
      </c>
      <c r="F13" s="36" t="s">
        <v>438</v>
      </c>
      <c r="G13" s="36">
        <v>966021000</v>
      </c>
      <c r="H13" s="36" t="s">
        <v>456</v>
      </c>
      <c r="I13" s="36" t="s">
        <v>453</v>
      </c>
      <c r="J13" s="36" t="s">
        <v>5</v>
      </c>
      <c r="K13" s="36" t="s">
        <v>441</v>
      </c>
      <c r="L13" s="36">
        <v>53.64</v>
      </c>
      <c r="M13" s="36"/>
      <c r="N13" s="36">
        <v>551800</v>
      </c>
      <c r="O13" s="36"/>
      <c r="P13" s="36"/>
      <c r="Q13" s="36">
        <v>551800</v>
      </c>
      <c r="R13" s="36"/>
      <c r="S13" s="36"/>
      <c r="T13" s="36"/>
      <c r="U13" s="36"/>
      <c r="V13" s="36"/>
      <c r="W13" s="36"/>
      <c r="X13" s="36"/>
      <c r="Y13" s="36"/>
      <c r="Z13" s="36"/>
      <c r="AA13" s="36">
        <v>70</v>
      </c>
      <c r="AB13" s="36">
        <v>386260</v>
      </c>
      <c r="AC13" s="36">
        <v>70</v>
      </c>
      <c r="AD13" s="36">
        <v>386260</v>
      </c>
      <c r="AE13" s="36">
        <v>1</v>
      </c>
      <c r="AF13" s="36"/>
      <c r="AG13" s="36"/>
      <c r="AH13" s="36"/>
      <c r="AI13" s="36"/>
      <c r="AJ13" s="36"/>
      <c r="AK13" s="36"/>
      <c r="AL13" s="36"/>
      <c r="AM13" s="36"/>
      <c r="AN13" s="36"/>
      <c r="AO13" s="36"/>
      <c r="AP13" s="36">
        <v>386260</v>
      </c>
      <c r="AQ13" s="36">
        <v>386260</v>
      </c>
      <c r="AR13" s="36" t="s">
        <v>107</v>
      </c>
    </row>
    <row r="14" spans="1:44" ht="14.4" x14ac:dyDescent="0.3">
      <c r="A14" s="36">
        <v>708786360</v>
      </c>
      <c r="B14" s="36">
        <v>220360701</v>
      </c>
      <c r="C14" s="36">
        <v>8786360</v>
      </c>
      <c r="D14" s="36" t="s">
        <v>437</v>
      </c>
      <c r="E14" s="36" t="s">
        <v>108</v>
      </c>
      <c r="F14" s="36" t="s">
        <v>438</v>
      </c>
      <c r="G14" s="36">
        <v>908440000</v>
      </c>
      <c r="H14" s="36" t="s">
        <v>457</v>
      </c>
      <c r="I14" s="36" t="s">
        <v>453</v>
      </c>
      <c r="J14" s="36" t="s">
        <v>5</v>
      </c>
      <c r="K14" s="36" t="s">
        <v>441</v>
      </c>
      <c r="L14" s="36">
        <v>143.61000000000001</v>
      </c>
      <c r="M14" s="36"/>
      <c r="N14" s="36">
        <v>1677942</v>
      </c>
      <c r="O14" s="36"/>
      <c r="P14" s="36"/>
      <c r="Q14" s="36">
        <v>1677942</v>
      </c>
      <c r="R14" s="36"/>
      <c r="S14" s="36"/>
      <c r="T14" s="36"/>
      <c r="U14" s="36"/>
      <c r="V14" s="36"/>
      <c r="W14" s="36"/>
      <c r="X14" s="36"/>
      <c r="Y14" s="36"/>
      <c r="Z14" s="36"/>
      <c r="AA14" s="36">
        <v>70</v>
      </c>
      <c r="AB14" s="36">
        <v>1174559.3999999999</v>
      </c>
      <c r="AC14" s="36">
        <v>70</v>
      </c>
      <c r="AD14" s="36">
        <v>1174559.3999999999</v>
      </c>
      <c r="AE14" s="36">
        <v>1</v>
      </c>
      <c r="AF14" s="36"/>
      <c r="AG14" s="36"/>
      <c r="AH14" s="36"/>
      <c r="AI14" s="36"/>
      <c r="AJ14" s="36"/>
      <c r="AK14" s="36"/>
      <c r="AL14" s="36"/>
      <c r="AM14" s="36"/>
      <c r="AN14" s="36"/>
      <c r="AO14" s="36"/>
      <c r="AP14" s="36">
        <v>1174559.3999999999</v>
      </c>
      <c r="AQ14" s="36">
        <v>1174559.3999999999</v>
      </c>
      <c r="AR14" s="36" t="s">
        <v>107</v>
      </c>
    </row>
    <row r="15" spans="1:44" ht="14.4" x14ac:dyDescent="0.3">
      <c r="A15" s="36">
        <v>708786360</v>
      </c>
      <c r="B15" s="36">
        <v>220360701</v>
      </c>
      <c r="C15" s="36">
        <v>8786360</v>
      </c>
      <c r="D15" s="36" t="s">
        <v>437</v>
      </c>
      <c r="E15" s="36" t="s">
        <v>108</v>
      </c>
      <c r="F15" s="36" t="s">
        <v>438</v>
      </c>
      <c r="G15" s="36">
        <v>4001209000</v>
      </c>
      <c r="H15" s="36" t="s">
        <v>458</v>
      </c>
      <c r="I15" s="36" t="s">
        <v>453</v>
      </c>
      <c r="J15" s="36" t="s">
        <v>5</v>
      </c>
      <c r="K15" s="36" t="s">
        <v>459</v>
      </c>
      <c r="L15" s="36">
        <v>0.102462</v>
      </c>
      <c r="M15" s="36"/>
      <c r="N15" s="36">
        <v>200431.56</v>
      </c>
      <c r="O15" s="36"/>
      <c r="P15" s="36"/>
      <c r="Q15" s="36">
        <v>200431.56</v>
      </c>
      <c r="R15" s="36"/>
      <c r="S15" s="36"/>
      <c r="T15" s="36"/>
      <c r="U15" s="36"/>
      <c r="V15" s="36"/>
      <c r="W15" s="36"/>
      <c r="X15" s="36"/>
      <c r="Y15" s="36"/>
      <c r="Z15" s="36"/>
      <c r="AA15" s="36">
        <v>44</v>
      </c>
      <c r="AB15" s="36">
        <v>88189.886400000003</v>
      </c>
      <c r="AC15" s="36">
        <v>44</v>
      </c>
      <c r="AD15" s="36">
        <v>88189.886400000003</v>
      </c>
      <c r="AE15" s="36">
        <v>1</v>
      </c>
      <c r="AF15" s="36"/>
      <c r="AG15" s="36"/>
      <c r="AH15" s="36"/>
      <c r="AI15" s="36"/>
      <c r="AJ15" s="36"/>
      <c r="AK15" s="36"/>
      <c r="AL15" s="36"/>
      <c r="AM15" s="36"/>
      <c r="AN15" s="36"/>
      <c r="AO15" s="36"/>
      <c r="AP15" s="36">
        <v>88189.886400000003</v>
      </c>
      <c r="AQ15" s="36">
        <v>88189.886400000003</v>
      </c>
      <c r="AR15" s="36" t="s">
        <v>107</v>
      </c>
    </row>
    <row r="16" spans="1:44" ht="14.4" x14ac:dyDescent="0.3">
      <c r="A16" s="36">
        <v>708786360</v>
      </c>
      <c r="B16" s="36">
        <v>220360701</v>
      </c>
      <c r="C16" s="36">
        <v>8786360</v>
      </c>
      <c r="D16" s="36" t="s">
        <v>437</v>
      </c>
      <c r="E16" s="36" t="s">
        <v>108</v>
      </c>
      <c r="F16" s="36" t="s">
        <v>438</v>
      </c>
      <c r="G16" s="36">
        <v>40004030273000</v>
      </c>
      <c r="H16" s="36" t="s">
        <v>460</v>
      </c>
      <c r="I16" s="36" t="s">
        <v>443</v>
      </c>
      <c r="J16" s="36" t="s">
        <v>6</v>
      </c>
      <c r="K16" s="36" t="s">
        <v>441</v>
      </c>
      <c r="L16" s="36">
        <v>1.00787</v>
      </c>
      <c r="M16" s="36"/>
      <c r="N16" s="36">
        <v>3072210</v>
      </c>
      <c r="O16" s="36"/>
      <c r="P16" s="36"/>
      <c r="Q16" s="36">
        <v>3072210</v>
      </c>
      <c r="R16" s="36"/>
      <c r="S16" s="36"/>
      <c r="T16" s="36"/>
      <c r="U16" s="36"/>
      <c r="V16" s="36"/>
      <c r="W16" s="36"/>
      <c r="X16" s="36"/>
      <c r="Y16" s="36"/>
      <c r="Z16" s="36"/>
      <c r="AA16" s="36">
        <v>65</v>
      </c>
      <c r="AB16" s="36">
        <v>1996936.5</v>
      </c>
      <c r="AC16" s="36">
        <v>65</v>
      </c>
      <c r="AD16" s="36">
        <v>1996936.5</v>
      </c>
      <c r="AE16" s="36">
        <v>1</v>
      </c>
      <c r="AF16" s="36"/>
      <c r="AG16" s="36"/>
      <c r="AH16" s="36"/>
      <c r="AI16" s="36"/>
      <c r="AJ16" s="36"/>
      <c r="AK16" s="36"/>
      <c r="AL16" s="36"/>
      <c r="AM16" s="36"/>
      <c r="AN16" s="36"/>
      <c r="AO16" s="36"/>
      <c r="AP16" s="36">
        <v>1996936.5</v>
      </c>
      <c r="AQ16" s="36">
        <v>1996936.5</v>
      </c>
      <c r="AR16" s="36" t="s">
        <v>107</v>
      </c>
    </row>
    <row r="17" spans="1:44" ht="14.4" x14ac:dyDescent="0.3">
      <c r="A17" s="36">
        <v>702216860</v>
      </c>
      <c r="B17" s="36">
        <v>221970943</v>
      </c>
      <c r="C17" s="36">
        <v>2216860</v>
      </c>
      <c r="D17" s="36" t="s">
        <v>437</v>
      </c>
      <c r="E17" s="36" t="s">
        <v>108</v>
      </c>
      <c r="F17" s="36" t="s">
        <v>438</v>
      </c>
      <c r="G17" s="36">
        <v>3038201000</v>
      </c>
      <c r="H17" s="36" t="s">
        <v>461</v>
      </c>
      <c r="I17" s="36" t="s">
        <v>462</v>
      </c>
      <c r="J17" s="36" t="s">
        <v>5</v>
      </c>
      <c r="K17" s="36" t="s">
        <v>463</v>
      </c>
      <c r="L17" s="36">
        <v>19.184892000000001</v>
      </c>
      <c r="M17" s="36"/>
      <c r="N17" s="36">
        <v>2696954.2577519999</v>
      </c>
      <c r="O17" s="36"/>
      <c r="P17" s="36"/>
      <c r="Q17" s="36">
        <v>2696954.2577519999</v>
      </c>
      <c r="R17" s="36"/>
      <c r="S17" s="36"/>
      <c r="T17" s="36"/>
      <c r="U17" s="36"/>
      <c r="V17" s="36"/>
      <c r="W17" s="36"/>
      <c r="X17" s="36"/>
      <c r="Y17" s="36"/>
      <c r="Z17" s="36"/>
      <c r="AA17" s="36">
        <v>75</v>
      </c>
      <c r="AB17" s="36">
        <v>2022715.693314</v>
      </c>
      <c r="AC17" s="36">
        <v>75</v>
      </c>
      <c r="AD17" s="36">
        <v>2022715.693314</v>
      </c>
      <c r="AE17" s="36">
        <v>1</v>
      </c>
      <c r="AF17" s="36"/>
      <c r="AG17" s="36"/>
      <c r="AH17" s="36"/>
      <c r="AI17" s="36"/>
      <c r="AJ17" s="36"/>
      <c r="AK17" s="36"/>
      <c r="AL17" s="36"/>
      <c r="AM17" s="36"/>
      <c r="AN17" s="36"/>
      <c r="AO17" s="36"/>
      <c r="AP17" s="36">
        <v>2022715.693314</v>
      </c>
      <c r="AQ17" s="36">
        <v>2022715.693314</v>
      </c>
      <c r="AR17" s="36" t="s">
        <v>107</v>
      </c>
    </row>
    <row r="18" spans="1:44" ht="14.4" x14ac:dyDescent="0.3">
      <c r="A18" s="36">
        <v>702216860</v>
      </c>
      <c r="B18" s="36">
        <v>221970943</v>
      </c>
      <c r="C18" s="36">
        <v>2216860</v>
      </c>
      <c r="D18" s="36" t="s">
        <v>437</v>
      </c>
      <c r="E18" s="36">
        <v>0</v>
      </c>
      <c r="F18" s="36" t="s">
        <v>438</v>
      </c>
      <c r="G18" s="36">
        <v>840</v>
      </c>
      <c r="H18" s="36" t="s">
        <v>445</v>
      </c>
      <c r="I18" s="36" t="s">
        <v>446</v>
      </c>
      <c r="J18" s="36" t="s">
        <v>6</v>
      </c>
      <c r="K18" s="36" t="s">
        <v>441</v>
      </c>
      <c r="L18" s="36"/>
      <c r="M18" s="36"/>
      <c r="N18" s="36">
        <v>1756016.3</v>
      </c>
      <c r="O18" s="36"/>
      <c r="P18" s="36"/>
      <c r="Q18" s="36">
        <v>1756016.3</v>
      </c>
      <c r="R18" s="36"/>
      <c r="S18" s="36"/>
      <c r="T18" s="36"/>
      <c r="U18" s="36"/>
      <c r="V18" s="36"/>
      <c r="W18" s="36"/>
      <c r="X18" s="36"/>
      <c r="Y18" s="36"/>
      <c r="Z18" s="36"/>
      <c r="AA18" s="36">
        <v>100</v>
      </c>
      <c r="AB18" s="36">
        <v>1756016.3</v>
      </c>
      <c r="AC18" s="36">
        <v>100</v>
      </c>
      <c r="AD18" s="36">
        <v>1756016.3</v>
      </c>
      <c r="AE18" s="36">
        <v>1</v>
      </c>
      <c r="AF18" s="36"/>
      <c r="AG18" s="36"/>
      <c r="AH18" s="36"/>
      <c r="AI18" s="36"/>
      <c r="AJ18" s="36"/>
      <c r="AK18" s="36"/>
      <c r="AL18" s="36"/>
      <c r="AM18" s="36"/>
      <c r="AN18" s="36"/>
      <c r="AO18" s="36"/>
      <c r="AP18" s="36">
        <v>1756016.3</v>
      </c>
      <c r="AQ18" s="36">
        <v>1756016.3</v>
      </c>
      <c r="AR18" s="36" t="s">
        <v>107</v>
      </c>
    </row>
    <row r="19" spans="1:44" ht="14.4" x14ac:dyDescent="0.3">
      <c r="A19" s="36">
        <v>708786360</v>
      </c>
      <c r="B19" s="36">
        <v>220360701</v>
      </c>
      <c r="C19" s="36">
        <v>8786360</v>
      </c>
      <c r="D19" s="36" t="s">
        <v>437</v>
      </c>
      <c r="E19" s="36" t="s">
        <v>108</v>
      </c>
      <c r="F19" s="36" t="s">
        <v>438</v>
      </c>
      <c r="G19" s="36">
        <v>411161000</v>
      </c>
      <c r="H19" s="36" t="s">
        <v>464</v>
      </c>
      <c r="I19" s="36" t="s">
        <v>453</v>
      </c>
      <c r="J19" s="36" t="s">
        <v>5</v>
      </c>
      <c r="K19" s="36" t="s">
        <v>459</v>
      </c>
      <c r="L19" s="36">
        <v>8.0688510000000004</v>
      </c>
      <c r="M19" s="36"/>
      <c r="N19" s="36">
        <v>1214834.595862</v>
      </c>
      <c r="O19" s="36"/>
      <c r="P19" s="36"/>
      <c r="Q19" s="36">
        <v>1214834.595862</v>
      </c>
      <c r="R19" s="36"/>
      <c r="S19" s="36"/>
      <c r="T19" s="36"/>
      <c r="U19" s="36"/>
      <c r="V19" s="36"/>
      <c r="W19" s="36"/>
      <c r="X19" s="36"/>
      <c r="Y19" s="36"/>
      <c r="Z19" s="36"/>
      <c r="AA19" s="36">
        <v>70</v>
      </c>
      <c r="AB19" s="36">
        <v>850384.21710300003</v>
      </c>
      <c r="AC19" s="36">
        <v>70</v>
      </c>
      <c r="AD19" s="36">
        <v>850384.21710300003</v>
      </c>
      <c r="AE19" s="36">
        <v>1</v>
      </c>
      <c r="AF19" s="36"/>
      <c r="AG19" s="36"/>
      <c r="AH19" s="36"/>
      <c r="AI19" s="36"/>
      <c r="AJ19" s="36"/>
      <c r="AK19" s="36"/>
      <c r="AL19" s="36"/>
      <c r="AM19" s="36"/>
      <c r="AN19" s="36"/>
      <c r="AO19" s="36"/>
      <c r="AP19" s="36">
        <v>850384.21710300003</v>
      </c>
      <c r="AQ19" s="36">
        <v>850384.21710300003</v>
      </c>
      <c r="AR19" s="36" t="s">
        <v>107</v>
      </c>
    </row>
    <row r="20" spans="1:44" ht="14.4" x14ac:dyDescent="0.3">
      <c r="A20" s="36">
        <v>708786360</v>
      </c>
      <c r="B20" s="36">
        <v>220360701</v>
      </c>
      <c r="C20" s="36">
        <v>8786360</v>
      </c>
      <c r="D20" s="36" t="s">
        <v>437</v>
      </c>
      <c r="E20" s="36" t="s">
        <v>108</v>
      </c>
      <c r="F20" s="36" t="s">
        <v>438</v>
      </c>
      <c r="G20" s="36">
        <v>40004015245000</v>
      </c>
      <c r="H20" s="36" t="s">
        <v>465</v>
      </c>
      <c r="I20" s="36" t="s">
        <v>443</v>
      </c>
      <c r="J20" s="36" t="s">
        <v>6</v>
      </c>
      <c r="K20" s="36" t="s">
        <v>441</v>
      </c>
      <c r="L20" s="36">
        <v>1.0667</v>
      </c>
      <c r="M20" s="36"/>
      <c r="N20" s="36">
        <v>963684</v>
      </c>
      <c r="O20" s="36"/>
      <c r="P20" s="36"/>
      <c r="Q20" s="36">
        <v>963684</v>
      </c>
      <c r="R20" s="36"/>
      <c r="S20" s="36"/>
      <c r="T20" s="36"/>
      <c r="U20" s="36"/>
      <c r="V20" s="36"/>
      <c r="W20" s="36"/>
      <c r="X20" s="36"/>
      <c r="Y20" s="36"/>
      <c r="Z20" s="36"/>
      <c r="AA20" s="36">
        <v>55</v>
      </c>
      <c r="AB20" s="36">
        <v>530026.19999999995</v>
      </c>
      <c r="AC20" s="36">
        <v>55</v>
      </c>
      <c r="AD20" s="36">
        <v>530026.19999999995</v>
      </c>
      <c r="AE20" s="36">
        <v>1</v>
      </c>
      <c r="AF20" s="36"/>
      <c r="AG20" s="36"/>
      <c r="AH20" s="36"/>
      <c r="AI20" s="36"/>
      <c r="AJ20" s="36"/>
      <c r="AK20" s="36"/>
      <c r="AL20" s="36"/>
      <c r="AM20" s="36"/>
      <c r="AN20" s="36"/>
      <c r="AO20" s="36"/>
      <c r="AP20" s="36">
        <v>530026.19999999995</v>
      </c>
      <c r="AQ20" s="36">
        <v>530026.19999999995</v>
      </c>
      <c r="AR20" s="36" t="s">
        <v>107</v>
      </c>
    </row>
    <row r="21" spans="1:44" ht="14.4" x14ac:dyDescent="0.3">
      <c r="A21" s="36">
        <v>708786360</v>
      </c>
      <c r="B21" s="36">
        <v>220360701</v>
      </c>
      <c r="C21" s="36">
        <v>8786360</v>
      </c>
      <c r="D21" s="36" t="s">
        <v>437</v>
      </c>
      <c r="E21" s="36" t="s">
        <v>108</v>
      </c>
      <c r="F21" s="36" t="s">
        <v>438</v>
      </c>
      <c r="G21" s="36">
        <v>40004045499000</v>
      </c>
      <c r="H21" s="36" t="s">
        <v>466</v>
      </c>
      <c r="I21" s="36" t="s">
        <v>443</v>
      </c>
      <c r="J21" s="36" t="s">
        <v>6</v>
      </c>
      <c r="K21" s="36" t="s">
        <v>441</v>
      </c>
      <c r="L21" s="36">
        <v>1.1019699999999999</v>
      </c>
      <c r="M21" s="36"/>
      <c r="N21" s="36">
        <v>1089130</v>
      </c>
      <c r="O21" s="36"/>
      <c r="P21" s="36"/>
      <c r="Q21" s="36">
        <v>1089130</v>
      </c>
      <c r="R21" s="36"/>
      <c r="S21" s="36"/>
      <c r="T21" s="36"/>
      <c r="U21" s="36"/>
      <c r="V21" s="36"/>
      <c r="W21" s="36"/>
      <c r="X21" s="36"/>
      <c r="Y21" s="36"/>
      <c r="Z21" s="36"/>
      <c r="AA21" s="36">
        <v>81</v>
      </c>
      <c r="AB21" s="36">
        <v>882195.3</v>
      </c>
      <c r="AC21" s="36">
        <v>81</v>
      </c>
      <c r="AD21" s="36">
        <v>882195.3</v>
      </c>
      <c r="AE21" s="36">
        <v>1</v>
      </c>
      <c r="AF21" s="36"/>
      <c r="AG21" s="36"/>
      <c r="AH21" s="36"/>
      <c r="AI21" s="36"/>
      <c r="AJ21" s="36"/>
      <c r="AK21" s="36"/>
      <c r="AL21" s="36"/>
      <c r="AM21" s="36"/>
      <c r="AN21" s="36"/>
      <c r="AO21" s="36"/>
      <c r="AP21" s="36">
        <v>882195.3</v>
      </c>
      <c r="AQ21" s="36">
        <v>882195.3</v>
      </c>
      <c r="AR21" s="36" t="s">
        <v>107</v>
      </c>
    </row>
    <row r="22" spans="1:44" ht="14.4" x14ac:dyDescent="0.3">
      <c r="A22" s="36">
        <v>708786360</v>
      </c>
      <c r="B22" s="36">
        <v>220360701</v>
      </c>
      <c r="C22" s="36">
        <v>8786360</v>
      </c>
      <c r="D22" s="36" t="s">
        <v>437</v>
      </c>
      <c r="E22" s="36" t="s">
        <v>108</v>
      </c>
      <c r="F22" s="36" t="s">
        <v>438</v>
      </c>
      <c r="G22" s="36">
        <v>40004030609000</v>
      </c>
      <c r="H22" s="36" t="s">
        <v>467</v>
      </c>
      <c r="I22" s="36" t="s">
        <v>443</v>
      </c>
      <c r="J22" s="36" t="s">
        <v>6</v>
      </c>
      <c r="K22" s="36" t="s">
        <v>468</v>
      </c>
      <c r="L22" s="36">
        <v>1.306802</v>
      </c>
      <c r="M22" s="36"/>
      <c r="N22" s="36">
        <v>1794533.4539999999</v>
      </c>
      <c r="O22" s="36"/>
      <c r="P22" s="36"/>
      <c r="Q22" s="36">
        <v>1794533.4539999999</v>
      </c>
      <c r="R22" s="36"/>
      <c r="S22" s="36"/>
      <c r="T22" s="36"/>
      <c r="U22" s="36"/>
      <c r="V22" s="36"/>
      <c r="W22" s="36"/>
      <c r="X22" s="36"/>
      <c r="Y22" s="36"/>
      <c r="Z22" s="36"/>
      <c r="AA22" s="36">
        <v>60</v>
      </c>
      <c r="AB22" s="36">
        <v>1076720.0723999999</v>
      </c>
      <c r="AC22" s="36">
        <v>60</v>
      </c>
      <c r="AD22" s="36">
        <v>1076720.0723999999</v>
      </c>
      <c r="AE22" s="36">
        <v>1</v>
      </c>
      <c r="AF22" s="36"/>
      <c r="AG22" s="36"/>
      <c r="AH22" s="36"/>
      <c r="AI22" s="36"/>
      <c r="AJ22" s="36"/>
      <c r="AK22" s="36"/>
      <c r="AL22" s="36"/>
      <c r="AM22" s="36"/>
      <c r="AN22" s="36"/>
      <c r="AO22" s="36"/>
      <c r="AP22" s="36">
        <v>1076720.0723999999</v>
      </c>
      <c r="AQ22" s="36">
        <v>1076720.0723999999</v>
      </c>
      <c r="AR22" s="36" t="s">
        <v>107</v>
      </c>
    </row>
    <row r="23" spans="1:44" ht="14.4" x14ac:dyDescent="0.3">
      <c r="A23" s="36">
        <v>708786360</v>
      </c>
      <c r="B23" s="36">
        <v>220360701</v>
      </c>
      <c r="C23" s="36">
        <v>8786360</v>
      </c>
      <c r="D23" s="36" t="s">
        <v>437</v>
      </c>
      <c r="E23" s="36">
        <v>0</v>
      </c>
      <c r="F23" s="36" t="s">
        <v>438</v>
      </c>
      <c r="G23" s="36">
        <v>826</v>
      </c>
      <c r="H23" s="36" t="s">
        <v>469</v>
      </c>
      <c r="I23" s="36" t="s">
        <v>446</v>
      </c>
      <c r="J23" s="36" t="s">
        <v>6</v>
      </c>
      <c r="K23" s="36" t="s">
        <v>468</v>
      </c>
      <c r="L23" s="36"/>
      <c r="M23" s="36"/>
      <c r="N23" s="36">
        <v>54796.386156</v>
      </c>
      <c r="O23" s="36"/>
      <c r="P23" s="36"/>
      <c r="Q23" s="36">
        <v>54796.386156</v>
      </c>
      <c r="R23" s="36"/>
      <c r="S23" s="36"/>
      <c r="T23" s="36"/>
      <c r="U23" s="36"/>
      <c r="V23" s="36"/>
      <c r="W23" s="36"/>
      <c r="X23" s="36"/>
      <c r="Y23" s="36"/>
      <c r="Z23" s="36"/>
      <c r="AA23" s="36">
        <v>100</v>
      </c>
      <c r="AB23" s="36">
        <v>54796.386156</v>
      </c>
      <c r="AC23" s="36">
        <v>100</v>
      </c>
      <c r="AD23" s="36">
        <v>54796.386156</v>
      </c>
      <c r="AE23" s="36">
        <v>1</v>
      </c>
      <c r="AF23" s="36"/>
      <c r="AG23" s="36"/>
      <c r="AH23" s="36"/>
      <c r="AI23" s="36"/>
      <c r="AJ23" s="36"/>
      <c r="AK23" s="36"/>
      <c r="AL23" s="36"/>
      <c r="AM23" s="36"/>
      <c r="AN23" s="36"/>
      <c r="AO23" s="36"/>
      <c r="AP23" s="36">
        <v>54796.386156</v>
      </c>
      <c r="AQ23" s="36">
        <v>54796.386156</v>
      </c>
      <c r="AR23" s="36" t="s">
        <v>107</v>
      </c>
    </row>
    <row r="24" spans="1:44" ht="14.4" x14ac:dyDescent="0.3">
      <c r="A24" s="36">
        <v>708786360</v>
      </c>
      <c r="B24" s="36">
        <v>220360701</v>
      </c>
      <c r="C24" s="36">
        <v>8786360</v>
      </c>
      <c r="D24" s="36" t="s">
        <v>437</v>
      </c>
      <c r="E24" s="36" t="s">
        <v>108</v>
      </c>
      <c r="F24" s="36" t="s">
        <v>438</v>
      </c>
      <c r="G24" s="36">
        <v>1256736000</v>
      </c>
      <c r="H24" s="36" t="s">
        <v>470</v>
      </c>
      <c r="I24" s="36" t="s">
        <v>462</v>
      </c>
      <c r="J24" s="36" t="s">
        <v>5</v>
      </c>
      <c r="K24" s="36" t="s">
        <v>441</v>
      </c>
      <c r="L24" s="36">
        <v>25.55</v>
      </c>
      <c r="M24" s="36"/>
      <c r="N24" s="36">
        <v>1299518.0711999999</v>
      </c>
      <c r="O24" s="36"/>
      <c r="P24" s="36"/>
      <c r="Q24" s="36">
        <v>1299518.0711999999</v>
      </c>
      <c r="R24" s="36"/>
      <c r="S24" s="36"/>
      <c r="T24" s="36"/>
      <c r="U24" s="36"/>
      <c r="V24" s="36"/>
      <c r="W24" s="36"/>
      <c r="X24" s="36"/>
      <c r="Y24" s="36"/>
      <c r="Z24" s="36"/>
      <c r="AA24" s="36">
        <v>75</v>
      </c>
      <c r="AB24" s="36">
        <v>974638.55339999998</v>
      </c>
      <c r="AC24" s="36">
        <v>75</v>
      </c>
      <c r="AD24" s="36">
        <v>974638.55339999998</v>
      </c>
      <c r="AE24" s="36">
        <v>1</v>
      </c>
      <c r="AF24" s="36"/>
      <c r="AG24" s="36"/>
      <c r="AH24" s="36"/>
      <c r="AI24" s="36"/>
      <c r="AJ24" s="36"/>
      <c r="AK24" s="36"/>
      <c r="AL24" s="36"/>
      <c r="AM24" s="36"/>
      <c r="AN24" s="36"/>
      <c r="AO24" s="36"/>
      <c r="AP24" s="36">
        <v>974638.55339999998</v>
      </c>
      <c r="AQ24" s="36">
        <v>974638.55339999998</v>
      </c>
      <c r="AR24" s="36" t="s">
        <v>107</v>
      </c>
    </row>
    <row r="25" spans="1:44" ht="14.4" x14ac:dyDescent="0.3">
      <c r="A25" s="36">
        <v>708786360</v>
      </c>
      <c r="B25" s="36">
        <v>220360701</v>
      </c>
      <c r="C25" s="36">
        <v>8786360</v>
      </c>
      <c r="D25" s="36" t="s">
        <v>437</v>
      </c>
      <c r="E25" s="36" t="s">
        <v>108</v>
      </c>
      <c r="F25" s="36" t="s">
        <v>438</v>
      </c>
      <c r="G25" s="36">
        <v>40004019537000</v>
      </c>
      <c r="H25" s="36" t="s">
        <v>471</v>
      </c>
      <c r="I25" s="36" t="s">
        <v>443</v>
      </c>
      <c r="J25" s="36" t="s">
        <v>6</v>
      </c>
      <c r="K25" s="36" t="s">
        <v>472</v>
      </c>
      <c r="L25" s="36">
        <v>0.73278500000000002</v>
      </c>
      <c r="M25" s="36"/>
      <c r="N25" s="36">
        <v>181326.59718700001</v>
      </c>
      <c r="O25" s="36"/>
      <c r="P25" s="36"/>
      <c r="Q25" s="36">
        <v>181326.59718700001</v>
      </c>
      <c r="R25" s="36"/>
      <c r="S25" s="36"/>
      <c r="T25" s="36"/>
      <c r="U25" s="36"/>
      <c r="V25" s="36"/>
      <c r="W25" s="36"/>
      <c r="X25" s="36"/>
      <c r="Y25" s="36"/>
      <c r="Z25" s="36"/>
      <c r="AA25" s="36">
        <v>75</v>
      </c>
      <c r="AB25" s="36">
        <v>135994.94789000001</v>
      </c>
      <c r="AC25" s="36">
        <v>75</v>
      </c>
      <c r="AD25" s="36">
        <v>135994.94789000001</v>
      </c>
      <c r="AE25" s="36">
        <v>1</v>
      </c>
      <c r="AF25" s="36"/>
      <c r="AG25" s="36"/>
      <c r="AH25" s="36"/>
      <c r="AI25" s="36"/>
      <c r="AJ25" s="36"/>
      <c r="AK25" s="36"/>
      <c r="AL25" s="36"/>
      <c r="AM25" s="36"/>
      <c r="AN25" s="36"/>
      <c r="AO25" s="36"/>
      <c r="AP25" s="36">
        <v>135994.94789000001</v>
      </c>
      <c r="AQ25" s="36">
        <v>135994.94789000001</v>
      </c>
      <c r="AR25" s="36" t="s">
        <v>107</v>
      </c>
    </row>
    <row r="26" spans="1:44" ht="14.4" x14ac:dyDescent="0.3">
      <c r="A26" s="36">
        <v>708786360</v>
      </c>
      <c r="B26" s="36">
        <v>220360701</v>
      </c>
      <c r="C26" s="36">
        <v>8786360</v>
      </c>
      <c r="D26" s="36" t="s">
        <v>437</v>
      </c>
      <c r="E26" s="36" t="s">
        <v>108</v>
      </c>
      <c r="F26" s="36" t="s">
        <v>438</v>
      </c>
      <c r="G26" s="36">
        <v>40004015140000</v>
      </c>
      <c r="H26" s="36" t="s">
        <v>473</v>
      </c>
      <c r="I26" s="36" t="s">
        <v>443</v>
      </c>
      <c r="J26" s="36" t="s">
        <v>6</v>
      </c>
      <c r="K26" s="36" t="s">
        <v>472</v>
      </c>
      <c r="L26" s="36">
        <v>0.73202400000000001</v>
      </c>
      <c r="M26" s="36"/>
      <c r="N26" s="36">
        <v>362560.24762500002</v>
      </c>
      <c r="O26" s="36"/>
      <c r="P26" s="36"/>
      <c r="Q26" s="36">
        <v>362560.24762500002</v>
      </c>
      <c r="R26" s="36"/>
      <c r="S26" s="36"/>
      <c r="T26" s="36"/>
      <c r="U26" s="36"/>
      <c r="V26" s="36"/>
      <c r="W26" s="36"/>
      <c r="X26" s="36"/>
      <c r="Y26" s="36"/>
      <c r="Z26" s="36"/>
      <c r="AA26" s="36">
        <v>65</v>
      </c>
      <c r="AB26" s="36">
        <v>235664.16095600001</v>
      </c>
      <c r="AC26" s="36">
        <v>65</v>
      </c>
      <c r="AD26" s="36">
        <v>235664.16095600001</v>
      </c>
      <c r="AE26" s="36">
        <v>1</v>
      </c>
      <c r="AF26" s="36"/>
      <c r="AG26" s="36"/>
      <c r="AH26" s="36"/>
      <c r="AI26" s="36"/>
      <c r="AJ26" s="36"/>
      <c r="AK26" s="36"/>
      <c r="AL26" s="36"/>
      <c r="AM26" s="36"/>
      <c r="AN26" s="36"/>
      <c r="AO26" s="36"/>
      <c r="AP26" s="36">
        <v>235664.16095600001</v>
      </c>
      <c r="AQ26" s="36">
        <v>235664.16095600001</v>
      </c>
      <c r="AR26" s="36" t="s">
        <v>107</v>
      </c>
    </row>
    <row r="27" spans="1:44" ht="14.4" x14ac:dyDescent="0.3">
      <c r="A27" s="36">
        <v>708786360</v>
      </c>
      <c r="B27" s="36">
        <v>220360701</v>
      </c>
      <c r="C27" s="36">
        <v>8786360</v>
      </c>
      <c r="D27" s="36" t="s">
        <v>437</v>
      </c>
      <c r="E27" s="36" t="s">
        <v>108</v>
      </c>
      <c r="F27" s="36" t="s">
        <v>438</v>
      </c>
      <c r="G27" s="36">
        <v>40005083162000</v>
      </c>
      <c r="H27" s="36" t="s">
        <v>474</v>
      </c>
      <c r="I27" s="36" t="s">
        <v>443</v>
      </c>
      <c r="J27" s="36" t="s">
        <v>6</v>
      </c>
      <c r="K27" s="36" t="s">
        <v>441</v>
      </c>
      <c r="L27" s="36">
        <v>1.0054799999999999</v>
      </c>
      <c r="M27" s="36"/>
      <c r="N27" s="36">
        <v>20046000</v>
      </c>
      <c r="O27" s="36"/>
      <c r="P27" s="36"/>
      <c r="Q27" s="36">
        <v>20046000</v>
      </c>
      <c r="R27" s="36"/>
      <c r="S27" s="36"/>
      <c r="T27" s="36"/>
      <c r="U27" s="36"/>
      <c r="V27" s="36"/>
      <c r="W27" s="36"/>
      <c r="X27" s="36"/>
      <c r="Y27" s="36"/>
      <c r="Z27" s="36"/>
      <c r="AA27" s="36">
        <v>93</v>
      </c>
      <c r="AB27" s="36">
        <v>18642780</v>
      </c>
      <c r="AC27" s="36">
        <v>93</v>
      </c>
      <c r="AD27" s="36">
        <v>18642780</v>
      </c>
      <c r="AE27" s="36">
        <v>1</v>
      </c>
      <c r="AF27" s="36"/>
      <c r="AG27" s="36"/>
      <c r="AH27" s="36"/>
      <c r="AI27" s="36"/>
      <c r="AJ27" s="36"/>
      <c r="AK27" s="36"/>
      <c r="AL27" s="36"/>
      <c r="AM27" s="36"/>
      <c r="AN27" s="36"/>
      <c r="AO27" s="36"/>
      <c r="AP27" s="36">
        <v>18642780</v>
      </c>
      <c r="AQ27" s="36">
        <v>18642780</v>
      </c>
      <c r="AR27" s="36" t="s">
        <v>107</v>
      </c>
    </row>
    <row r="28" spans="1:44" ht="14.4" x14ac:dyDescent="0.3">
      <c r="A28" s="36">
        <v>702216860</v>
      </c>
      <c r="B28" s="36">
        <v>221970943</v>
      </c>
      <c r="C28" s="36">
        <v>2216860</v>
      </c>
      <c r="D28" s="36" t="s">
        <v>437</v>
      </c>
      <c r="E28" s="36" t="s">
        <v>108</v>
      </c>
      <c r="F28" s="36" t="s">
        <v>438</v>
      </c>
      <c r="G28" s="36">
        <v>40005145821002</v>
      </c>
      <c r="H28" s="36" t="s">
        <v>475</v>
      </c>
      <c r="I28" s="36" t="s">
        <v>443</v>
      </c>
      <c r="J28" s="36" t="s">
        <v>6</v>
      </c>
      <c r="K28" s="36" t="s">
        <v>441</v>
      </c>
      <c r="L28" s="36">
        <v>1.04888</v>
      </c>
      <c r="M28" s="36"/>
      <c r="N28" s="36">
        <v>2616275</v>
      </c>
      <c r="O28" s="36"/>
      <c r="P28" s="36"/>
      <c r="Q28" s="36">
        <v>2616275</v>
      </c>
      <c r="R28" s="36"/>
      <c r="S28" s="36"/>
      <c r="T28" s="36"/>
      <c r="U28" s="36"/>
      <c r="V28" s="36"/>
      <c r="W28" s="36"/>
      <c r="X28" s="36"/>
      <c r="Y28" s="36"/>
      <c r="Z28" s="36"/>
      <c r="AA28" s="36">
        <v>84</v>
      </c>
      <c r="AB28" s="36">
        <v>2197671</v>
      </c>
      <c r="AC28" s="36">
        <v>84</v>
      </c>
      <c r="AD28" s="36">
        <v>2197671</v>
      </c>
      <c r="AE28" s="36">
        <v>1</v>
      </c>
      <c r="AF28" s="36"/>
      <c r="AG28" s="36"/>
      <c r="AH28" s="36"/>
      <c r="AI28" s="36"/>
      <c r="AJ28" s="36"/>
      <c r="AK28" s="36"/>
      <c r="AL28" s="36"/>
      <c r="AM28" s="36"/>
      <c r="AN28" s="36"/>
      <c r="AO28" s="36"/>
      <c r="AP28" s="36">
        <v>2197671</v>
      </c>
      <c r="AQ28" s="36">
        <v>2197671</v>
      </c>
      <c r="AR28" s="36" t="s">
        <v>107</v>
      </c>
    </row>
    <row r="29" spans="1:44" ht="14.4" x14ac:dyDescent="0.3">
      <c r="A29" s="36">
        <v>708786360</v>
      </c>
      <c r="B29" s="36">
        <v>220360701</v>
      </c>
      <c r="C29" s="36">
        <v>8786360</v>
      </c>
      <c r="D29" s="36" t="s">
        <v>437</v>
      </c>
      <c r="E29" s="36" t="s">
        <v>108</v>
      </c>
      <c r="F29" s="36" t="s">
        <v>438</v>
      </c>
      <c r="G29" s="36">
        <v>1229560000</v>
      </c>
      <c r="H29" s="36" t="s">
        <v>476</v>
      </c>
      <c r="I29" s="36" t="s">
        <v>477</v>
      </c>
      <c r="J29" s="36" t="s">
        <v>5</v>
      </c>
      <c r="K29" s="36" t="s">
        <v>463</v>
      </c>
      <c r="L29" s="36">
        <v>247.39614</v>
      </c>
      <c r="M29" s="36"/>
      <c r="N29" s="36">
        <v>2433322.1911999998</v>
      </c>
      <c r="O29" s="36"/>
      <c r="P29" s="36"/>
      <c r="Q29" s="36">
        <v>2433322.1911999998</v>
      </c>
      <c r="R29" s="36"/>
      <c r="S29" s="36"/>
      <c r="T29" s="36"/>
      <c r="U29" s="36"/>
      <c r="V29" s="36"/>
      <c r="W29" s="36"/>
      <c r="X29" s="36"/>
      <c r="Y29" s="36"/>
      <c r="Z29" s="36"/>
      <c r="AA29" s="36">
        <v>75</v>
      </c>
      <c r="AB29" s="36">
        <v>1824991.6433999999</v>
      </c>
      <c r="AC29" s="36">
        <v>75</v>
      </c>
      <c r="AD29" s="36">
        <v>1824991.6433999999</v>
      </c>
      <c r="AE29" s="36">
        <v>1</v>
      </c>
      <c r="AF29" s="36"/>
      <c r="AG29" s="36"/>
      <c r="AH29" s="36"/>
      <c r="AI29" s="36"/>
      <c r="AJ29" s="36"/>
      <c r="AK29" s="36"/>
      <c r="AL29" s="36"/>
      <c r="AM29" s="36"/>
      <c r="AN29" s="36"/>
      <c r="AO29" s="36"/>
      <c r="AP29" s="36">
        <v>1824991.6433999999</v>
      </c>
      <c r="AQ29" s="36">
        <v>1824991.6433999999</v>
      </c>
      <c r="AR29" s="36" t="s">
        <v>107</v>
      </c>
    </row>
    <row r="30" spans="1:44" ht="14.4" x14ac:dyDescent="0.3">
      <c r="A30" s="36">
        <v>708786360</v>
      </c>
      <c r="B30" s="36">
        <v>220360701</v>
      </c>
      <c r="C30" s="36">
        <v>8786360</v>
      </c>
      <c r="D30" s="36" t="s">
        <v>437</v>
      </c>
      <c r="E30" s="36">
        <v>0</v>
      </c>
      <c r="F30" s="36" t="s">
        <v>438</v>
      </c>
      <c r="G30" s="36">
        <v>344</v>
      </c>
      <c r="H30" s="36" t="s">
        <v>478</v>
      </c>
      <c r="I30" s="36" t="s">
        <v>446</v>
      </c>
      <c r="J30" s="36" t="s">
        <v>6</v>
      </c>
      <c r="K30" s="36" t="s">
        <v>459</v>
      </c>
      <c r="L30" s="36"/>
      <c r="M30" s="36"/>
      <c r="N30" s="36">
        <v>11478.709650000001</v>
      </c>
      <c r="O30" s="36"/>
      <c r="P30" s="36"/>
      <c r="Q30" s="36">
        <v>11478.709650000001</v>
      </c>
      <c r="R30" s="36"/>
      <c r="S30" s="36"/>
      <c r="T30" s="36"/>
      <c r="U30" s="36"/>
      <c r="V30" s="36"/>
      <c r="W30" s="36"/>
      <c r="X30" s="36"/>
      <c r="Y30" s="36"/>
      <c r="Z30" s="36"/>
      <c r="AA30" s="36">
        <v>100</v>
      </c>
      <c r="AB30" s="36">
        <v>11478.709650000001</v>
      </c>
      <c r="AC30" s="36">
        <v>100</v>
      </c>
      <c r="AD30" s="36">
        <v>11478.709650000001</v>
      </c>
      <c r="AE30" s="36">
        <v>1</v>
      </c>
      <c r="AF30" s="36"/>
      <c r="AG30" s="36"/>
      <c r="AH30" s="36"/>
      <c r="AI30" s="36"/>
      <c r="AJ30" s="36"/>
      <c r="AK30" s="36"/>
      <c r="AL30" s="36"/>
      <c r="AM30" s="36"/>
      <c r="AN30" s="36"/>
      <c r="AO30" s="36"/>
      <c r="AP30" s="36">
        <v>11478.709650000001</v>
      </c>
      <c r="AQ30" s="36">
        <v>11478.709650000001</v>
      </c>
      <c r="AR30" s="36" t="s">
        <v>107</v>
      </c>
    </row>
    <row r="31" spans="1:44" ht="14.4" x14ac:dyDescent="0.3">
      <c r="A31" s="36">
        <v>708786360</v>
      </c>
      <c r="B31" s="36">
        <v>220360701</v>
      </c>
      <c r="C31" s="36">
        <v>8786360</v>
      </c>
      <c r="D31" s="36" t="s">
        <v>437</v>
      </c>
      <c r="E31" s="36" t="s">
        <v>108</v>
      </c>
      <c r="F31" s="36" t="s">
        <v>438</v>
      </c>
      <c r="G31" s="36">
        <v>40004031670000</v>
      </c>
      <c r="H31" s="36" t="s">
        <v>479</v>
      </c>
      <c r="I31" s="36" t="s">
        <v>443</v>
      </c>
      <c r="J31" s="36" t="s">
        <v>6</v>
      </c>
      <c r="K31" s="36" t="s">
        <v>441</v>
      </c>
      <c r="L31" s="36">
        <v>1.03921</v>
      </c>
      <c r="M31" s="36"/>
      <c r="N31" s="36">
        <v>522225</v>
      </c>
      <c r="O31" s="36"/>
      <c r="P31" s="36"/>
      <c r="Q31" s="36">
        <v>522225</v>
      </c>
      <c r="R31" s="36"/>
      <c r="S31" s="36"/>
      <c r="T31" s="36"/>
      <c r="U31" s="36"/>
      <c r="V31" s="36"/>
      <c r="W31" s="36"/>
      <c r="X31" s="36"/>
      <c r="Y31" s="36"/>
      <c r="Z31" s="36"/>
      <c r="AA31" s="36">
        <v>80</v>
      </c>
      <c r="AB31" s="36">
        <v>417780</v>
      </c>
      <c r="AC31" s="36">
        <v>80</v>
      </c>
      <c r="AD31" s="36">
        <v>417780</v>
      </c>
      <c r="AE31" s="36">
        <v>1</v>
      </c>
      <c r="AF31" s="36"/>
      <c r="AG31" s="36"/>
      <c r="AH31" s="36"/>
      <c r="AI31" s="36"/>
      <c r="AJ31" s="36"/>
      <c r="AK31" s="36"/>
      <c r="AL31" s="36"/>
      <c r="AM31" s="36"/>
      <c r="AN31" s="36"/>
      <c r="AO31" s="36"/>
      <c r="AP31" s="36">
        <v>417780</v>
      </c>
      <c r="AQ31" s="36">
        <v>417780</v>
      </c>
      <c r="AR31" s="36" t="s">
        <v>107</v>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15"/>
  <sheetViews>
    <sheetView showOutlineSymbols="0" showWhiteSpace="0" workbookViewId="0"/>
  </sheetViews>
  <sheetFormatPr defaultColWidth="9.109375" defaultRowHeight="13.8" x14ac:dyDescent="0.25"/>
  <cols>
    <col min="1" max="1" width="14.5546875" style="25" bestFit="1" customWidth="1"/>
    <col min="2" max="2" width="13.44140625" style="25" bestFit="1" customWidth="1"/>
    <col min="3" max="3" width="30.5546875" style="25" bestFit="1" customWidth="1"/>
    <col min="4" max="4" width="20.33203125" style="25" bestFit="1" customWidth="1"/>
    <col min="5" max="5" width="10" style="25" bestFit="1" customWidth="1"/>
    <col min="6" max="6" width="8.33203125" style="25" bestFit="1" customWidth="1"/>
    <col min="7" max="7" width="16.88671875" style="25" bestFit="1" customWidth="1"/>
    <col min="8" max="8" width="23.6640625" style="25" bestFit="1" customWidth="1"/>
    <col min="9" max="9" width="20.33203125" style="25" bestFit="1" customWidth="1"/>
    <col min="10" max="10" width="15.109375" style="25" bestFit="1" customWidth="1"/>
    <col min="11" max="11" width="18.5546875" style="25" bestFit="1" customWidth="1"/>
    <col min="12" max="16384" width="9.109375" style="25"/>
  </cols>
  <sheetData>
    <row r="1" spans="1:11" x14ac:dyDescent="0.25">
      <c r="A1" s="35" t="s">
        <v>263</v>
      </c>
      <c r="B1" s="35" t="s">
        <v>85</v>
      </c>
      <c r="C1" s="35" t="s">
        <v>264</v>
      </c>
      <c r="D1" s="35" t="s">
        <v>265</v>
      </c>
      <c r="E1" s="35" t="s">
        <v>2</v>
      </c>
      <c r="F1" s="35" t="s">
        <v>480</v>
      </c>
      <c r="G1" s="35" t="s">
        <v>267</v>
      </c>
      <c r="H1" s="35" t="s">
        <v>268</v>
      </c>
      <c r="I1" s="35" t="s">
        <v>269</v>
      </c>
      <c r="J1" s="35" t="s">
        <v>270</v>
      </c>
      <c r="K1" s="35" t="s">
        <v>481</v>
      </c>
    </row>
    <row r="2" spans="1:11" ht="14.4" x14ac:dyDescent="0.3">
      <c r="A2" s="36">
        <v>708786360</v>
      </c>
      <c r="B2" s="36">
        <v>220360701</v>
      </c>
      <c r="C2" s="36" t="s">
        <v>482</v>
      </c>
      <c r="D2" s="36" t="s">
        <v>179</v>
      </c>
      <c r="E2" s="36" t="s">
        <v>441</v>
      </c>
      <c r="F2" s="36"/>
      <c r="G2" s="36">
        <v>-595996.21</v>
      </c>
      <c r="H2" s="36"/>
      <c r="I2" s="36"/>
      <c r="J2" s="36"/>
      <c r="K2" s="36"/>
    </row>
    <row r="3" spans="1:11" ht="14.4" x14ac:dyDescent="0.3">
      <c r="A3" s="36">
        <v>708786360</v>
      </c>
      <c r="B3" s="36">
        <v>220360701</v>
      </c>
      <c r="C3" s="36" t="s">
        <v>483</v>
      </c>
      <c r="D3" s="36" t="s">
        <v>179</v>
      </c>
      <c r="E3" s="36" t="s">
        <v>484</v>
      </c>
      <c r="F3" s="36"/>
      <c r="G3" s="36">
        <v>-242408.14137500001</v>
      </c>
      <c r="H3" s="36"/>
      <c r="I3" s="36"/>
      <c r="J3" s="36"/>
      <c r="K3" s="36"/>
    </row>
    <row r="4" spans="1:11" ht="14.4" x14ac:dyDescent="0.3">
      <c r="A4" s="36">
        <v>708786360</v>
      </c>
      <c r="B4" s="36">
        <v>220360701</v>
      </c>
      <c r="C4" s="36" t="s">
        <v>485</v>
      </c>
      <c r="D4" s="36" t="s">
        <v>179</v>
      </c>
      <c r="E4" s="36" t="s">
        <v>441</v>
      </c>
      <c r="F4" s="36"/>
      <c r="G4" s="36">
        <v>-2844656.83</v>
      </c>
      <c r="H4" s="36"/>
      <c r="I4" s="36"/>
      <c r="J4" s="36"/>
      <c r="K4" s="36"/>
    </row>
    <row r="5" spans="1:11" ht="14.4" x14ac:dyDescent="0.3">
      <c r="A5" s="36">
        <v>702216860</v>
      </c>
      <c r="B5" s="36">
        <v>221970943</v>
      </c>
      <c r="C5" s="36" t="s">
        <v>486</v>
      </c>
      <c r="D5" s="36" t="s">
        <v>179</v>
      </c>
      <c r="E5" s="36" t="s">
        <v>441</v>
      </c>
      <c r="F5" s="36"/>
      <c r="G5" s="36">
        <v>-4000000</v>
      </c>
      <c r="H5" s="36"/>
      <c r="I5" s="36"/>
      <c r="J5" s="36"/>
      <c r="K5" s="36"/>
    </row>
    <row r="6" spans="1:11" ht="14.4" x14ac:dyDescent="0.3">
      <c r="A6" s="36">
        <v>708786360</v>
      </c>
      <c r="B6" s="36">
        <v>220360701</v>
      </c>
      <c r="C6" s="36" t="s">
        <v>487</v>
      </c>
      <c r="D6" s="36" t="s">
        <v>179</v>
      </c>
      <c r="E6" s="36" t="s">
        <v>463</v>
      </c>
      <c r="F6" s="36"/>
      <c r="G6" s="36">
        <v>-7.7398999999999996E-2</v>
      </c>
      <c r="H6" s="36"/>
      <c r="I6" s="36"/>
      <c r="J6" s="36"/>
      <c r="K6" s="36"/>
    </row>
    <row r="7" spans="1:11" ht="14.4" x14ac:dyDescent="0.3">
      <c r="A7" s="36">
        <v>708786360</v>
      </c>
      <c r="B7" s="36">
        <v>220360701</v>
      </c>
      <c r="C7" s="36" t="s">
        <v>488</v>
      </c>
      <c r="D7" s="36" t="s">
        <v>179</v>
      </c>
      <c r="E7" s="36" t="s">
        <v>441</v>
      </c>
      <c r="F7" s="36"/>
      <c r="G7" s="36">
        <v>-3721545.1</v>
      </c>
      <c r="H7" s="36"/>
      <c r="I7" s="36"/>
      <c r="J7" s="36"/>
      <c r="K7" s="36"/>
    </row>
    <row r="8" spans="1:11" ht="14.4" x14ac:dyDescent="0.3">
      <c r="A8" s="36">
        <v>708786360</v>
      </c>
      <c r="B8" s="36">
        <v>220360701</v>
      </c>
      <c r="C8" s="36" t="s">
        <v>489</v>
      </c>
      <c r="D8" s="36" t="s">
        <v>179</v>
      </c>
      <c r="E8" s="36" t="s">
        <v>441</v>
      </c>
      <c r="F8" s="36"/>
      <c r="G8" s="36">
        <v>-14000000</v>
      </c>
      <c r="H8" s="36"/>
      <c r="I8" s="36"/>
      <c r="J8" s="36"/>
      <c r="K8" s="36"/>
    </row>
    <row r="9" spans="1:11" ht="14.4" x14ac:dyDescent="0.3">
      <c r="A9" s="36">
        <v>708786360</v>
      </c>
      <c r="B9" s="36">
        <v>220360701</v>
      </c>
      <c r="C9" s="36" t="s">
        <v>490</v>
      </c>
      <c r="D9" s="36" t="s">
        <v>179</v>
      </c>
      <c r="E9" s="36" t="s">
        <v>441</v>
      </c>
      <c r="F9" s="36"/>
      <c r="G9" s="36">
        <v>-6006613.3300000001</v>
      </c>
      <c r="H9" s="36"/>
      <c r="I9" s="36"/>
      <c r="J9" s="36"/>
      <c r="K9" s="36"/>
    </row>
    <row r="10" spans="1:11" ht="14.4" x14ac:dyDescent="0.3">
      <c r="A10" s="36">
        <v>706611960</v>
      </c>
      <c r="B10" s="36">
        <v>221047310</v>
      </c>
      <c r="C10" s="36" t="s">
        <v>491</v>
      </c>
      <c r="D10" s="36" t="s">
        <v>179</v>
      </c>
      <c r="E10" s="36" t="s">
        <v>441</v>
      </c>
      <c r="F10" s="36"/>
      <c r="G10" s="36">
        <v>-4021170.2</v>
      </c>
      <c r="H10" s="36"/>
      <c r="I10" s="36"/>
      <c r="J10" s="36"/>
      <c r="K10" s="36"/>
    </row>
    <row r="11" spans="1:11" ht="14.4" x14ac:dyDescent="0.3">
      <c r="A11" s="36">
        <v>708786360</v>
      </c>
      <c r="B11" s="36">
        <v>220360701</v>
      </c>
      <c r="C11" s="36" t="s">
        <v>492</v>
      </c>
      <c r="D11" s="36" t="s">
        <v>179</v>
      </c>
      <c r="E11" s="36" t="s">
        <v>484</v>
      </c>
      <c r="F11" s="36"/>
      <c r="G11" s="36">
        <v>-256592.71228199999</v>
      </c>
      <c r="H11" s="36"/>
      <c r="I11" s="36"/>
      <c r="J11" s="36"/>
      <c r="K11" s="36"/>
    </row>
    <row r="12" spans="1:11" ht="14.4" x14ac:dyDescent="0.3">
      <c r="A12" s="36">
        <v>708786360</v>
      </c>
      <c r="B12" s="36">
        <v>220360701</v>
      </c>
      <c r="C12" s="36" t="s">
        <v>493</v>
      </c>
      <c r="D12" s="36" t="s">
        <v>179</v>
      </c>
      <c r="E12" s="36" t="s">
        <v>441</v>
      </c>
      <c r="F12" s="36"/>
      <c r="G12" s="36">
        <v>-1003698.56</v>
      </c>
      <c r="H12" s="36"/>
      <c r="I12" s="36"/>
      <c r="J12" s="36"/>
      <c r="K12" s="36"/>
    </row>
    <row r="13" spans="1:11" ht="14.4" x14ac:dyDescent="0.3">
      <c r="A13" s="36">
        <v>708786360</v>
      </c>
      <c r="B13" s="36">
        <v>220360701</v>
      </c>
      <c r="C13" s="36" t="s">
        <v>494</v>
      </c>
      <c r="D13" s="36" t="s">
        <v>179</v>
      </c>
      <c r="E13" s="36" t="s">
        <v>472</v>
      </c>
      <c r="F13" s="36"/>
      <c r="G13" s="36">
        <v>-185387.333449</v>
      </c>
      <c r="H13" s="36"/>
      <c r="I13" s="36"/>
      <c r="J13" s="36"/>
      <c r="K13" s="36"/>
    </row>
    <row r="14" spans="1:11" ht="14.4" x14ac:dyDescent="0.3">
      <c r="A14" s="36">
        <v>708786360</v>
      </c>
      <c r="B14" s="36">
        <v>220360701</v>
      </c>
      <c r="C14" s="36" t="s">
        <v>495</v>
      </c>
      <c r="D14" s="36" t="s">
        <v>179</v>
      </c>
      <c r="E14" s="36" t="s">
        <v>472</v>
      </c>
      <c r="F14" s="36"/>
      <c r="G14" s="36">
        <v>-13789.575262</v>
      </c>
      <c r="H14" s="36"/>
      <c r="I14" s="36"/>
      <c r="J14" s="36"/>
      <c r="K14" s="36"/>
    </row>
    <row r="15" spans="1:11" ht="14.4" x14ac:dyDescent="0.3">
      <c r="A15" s="36">
        <v>708786360</v>
      </c>
      <c r="B15" s="36">
        <v>220360701</v>
      </c>
      <c r="C15" s="36" t="s">
        <v>496</v>
      </c>
      <c r="D15" s="36" t="s">
        <v>179</v>
      </c>
      <c r="E15" s="36" t="s">
        <v>441</v>
      </c>
      <c r="F15" s="36"/>
      <c r="G15" s="36">
        <v>-18089461.199999999</v>
      </c>
      <c r="H15" s="36"/>
      <c r="I15" s="36"/>
      <c r="J15" s="36"/>
      <c r="K15" s="36"/>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S12"/>
  <sheetViews>
    <sheetView tabSelected="1" showOutlineSymbols="0" showWhiteSpace="0" workbookViewId="0">
      <selection activeCell="B2" sqref="A2:B7"/>
    </sheetView>
  </sheetViews>
  <sheetFormatPr defaultColWidth="9.109375" defaultRowHeight="13.8" x14ac:dyDescent="0.25"/>
  <cols>
    <col min="1" max="1" width="16.88671875" style="25" bestFit="1" customWidth="1"/>
    <col min="2" max="2" width="15.109375" style="25" bestFit="1" customWidth="1"/>
    <col min="3" max="6" width="18.5546875" style="25" bestFit="1" customWidth="1"/>
    <col min="7" max="7" width="28.88671875" style="25" bestFit="1" customWidth="1"/>
    <col min="8" max="9" width="22" style="25" bestFit="1" customWidth="1"/>
    <col min="10" max="11" width="28.88671875" style="25" bestFit="1" customWidth="1"/>
    <col min="12" max="12" width="22" style="25" bestFit="1" customWidth="1"/>
    <col min="13" max="13" width="30.5546875" style="25" bestFit="1" customWidth="1"/>
    <col min="14" max="14" width="25.44140625" style="25" bestFit="1" customWidth="1"/>
    <col min="15" max="15" width="40.88671875" style="25" bestFit="1" customWidth="1"/>
    <col min="16" max="16" width="32.33203125" style="25" bestFit="1" customWidth="1"/>
    <col min="17" max="18" width="22" style="25" bestFit="1" customWidth="1"/>
    <col min="19" max="19" width="30.5546875" style="25" bestFit="1" customWidth="1"/>
    <col min="20" max="16384" width="9.109375" style="25"/>
  </cols>
  <sheetData>
    <row r="1" spans="1:19" x14ac:dyDescent="0.25">
      <c r="A1" s="35" t="s">
        <v>497</v>
      </c>
      <c r="B1" s="35" t="s">
        <v>498</v>
      </c>
      <c r="C1" s="35" t="s">
        <v>499</v>
      </c>
      <c r="D1" s="35" t="s">
        <v>500</v>
      </c>
      <c r="E1" s="35" t="s">
        <v>501</v>
      </c>
      <c r="F1" s="35" t="s">
        <v>502</v>
      </c>
      <c r="G1" s="35" t="s">
        <v>503</v>
      </c>
      <c r="H1" s="35" t="s">
        <v>504</v>
      </c>
      <c r="I1" s="35" t="s">
        <v>505</v>
      </c>
      <c r="J1" s="35" t="s">
        <v>506</v>
      </c>
      <c r="K1" s="35" t="s">
        <v>507</v>
      </c>
      <c r="L1" s="35" t="s">
        <v>508</v>
      </c>
      <c r="M1" s="35" t="s">
        <v>113</v>
      </c>
      <c r="N1" s="35" t="s">
        <v>114</v>
      </c>
      <c r="O1" s="35" t="s">
        <v>509</v>
      </c>
      <c r="P1" s="35" t="s">
        <v>510</v>
      </c>
      <c r="Q1" s="35" t="s">
        <v>115</v>
      </c>
      <c r="R1" s="35" t="s">
        <v>511</v>
      </c>
      <c r="S1" s="35" t="s">
        <v>512</v>
      </c>
    </row>
    <row r="2" spans="1:19" ht="14.4" x14ac:dyDescent="0.3">
      <c r="A2" s="36">
        <v>708786360</v>
      </c>
      <c r="B2" s="36">
        <v>702216860</v>
      </c>
      <c r="C2" s="36" t="s">
        <v>513</v>
      </c>
      <c r="D2" s="36" t="s">
        <v>514</v>
      </c>
      <c r="E2" s="36" t="s">
        <v>107</v>
      </c>
      <c r="F2" s="36" t="s">
        <v>107</v>
      </c>
      <c r="G2" s="36"/>
      <c r="H2" s="36"/>
      <c r="I2" s="36"/>
      <c r="J2" s="36"/>
      <c r="K2" s="36">
        <v>5</v>
      </c>
      <c r="L2" s="36" t="s">
        <v>515</v>
      </c>
      <c r="M2" s="36"/>
      <c r="N2" s="36"/>
      <c r="O2" s="36"/>
      <c r="P2" s="36"/>
      <c r="Q2" s="36"/>
      <c r="R2" s="36" t="s">
        <v>107</v>
      </c>
      <c r="S2" s="36"/>
    </row>
    <row r="3" spans="1:19" ht="14.4" x14ac:dyDescent="0.3">
      <c r="A3" s="36">
        <v>708787760</v>
      </c>
      <c r="B3" s="36">
        <v>702216860</v>
      </c>
      <c r="C3" s="36" t="s">
        <v>513</v>
      </c>
      <c r="D3" s="36" t="s">
        <v>514</v>
      </c>
      <c r="E3" s="36" t="s">
        <v>107</v>
      </c>
      <c r="F3" s="36" t="s">
        <v>107</v>
      </c>
      <c r="G3" s="36"/>
      <c r="H3" s="36"/>
      <c r="I3" s="36"/>
      <c r="J3" s="36"/>
      <c r="K3" s="36">
        <v>4</v>
      </c>
      <c r="L3" s="36" t="s">
        <v>515</v>
      </c>
      <c r="M3" s="36"/>
      <c r="N3" s="36"/>
      <c r="O3" s="36"/>
      <c r="P3" s="36"/>
      <c r="Q3" s="36"/>
      <c r="R3" s="36" t="s">
        <v>107</v>
      </c>
      <c r="S3" s="36"/>
    </row>
    <row r="4" spans="1:19" ht="14.4" x14ac:dyDescent="0.3">
      <c r="A4" s="36">
        <v>708786360</v>
      </c>
      <c r="B4" s="36">
        <v>706611960</v>
      </c>
      <c r="C4" s="36" t="s">
        <v>513</v>
      </c>
      <c r="D4" s="36" t="s">
        <v>514</v>
      </c>
      <c r="E4" s="36" t="s">
        <v>107</v>
      </c>
      <c r="F4" s="36" t="s">
        <v>107</v>
      </c>
      <c r="G4" s="36"/>
      <c r="H4" s="36"/>
      <c r="I4" s="36"/>
      <c r="J4" s="36"/>
      <c r="K4" s="36">
        <v>6</v>
      </c>
      <c r="L4" s="36" t="s">
        <v>515</v>
      </c>
      <c r="M4" s="36"/>
      <c r="N4" s="36"/>
      <c r="O4" s="36"/>
      <c r="P4" s="36"/>
      <c r="Q4" s="36"/>
      <c r="R4" s="36" t="s">
        <v>107</v>
      </c>
      <c r="S4" s="36"/>
    </row>
    <row r="5" spans="1:19" ht="14.4" x14ac:dyDescent="0.3">
      <c r="A5" s="36">
        <v>702216860</v>
      </c>
      <c r="B5" s="36">
        <v>708786360</v>
      </c>
      <c r="C5" s="36" t="s">
        <v>513</v>
      </c>
      <c r="D5" s="36" t="s">
        <v>514</v>
      </c>
      <c r="E5" s="36" t="s">
        <v>107</v>
      </c>
      <c r="F5" s="36" t="s">
        <v>107</v>
      </c>
      <c r="G5" s="36"/>
      <c r="H5" s="36"/>
      <c r="I5" s="36"/>
      <c r="J5" s="36"/>
      <c r="K5" s="36">
        <v>1</v>
      </c>
      <c r="L5" s="36" t="s">
        <v>515</v>
      </c>
      <c r="M5" s="36"/>
      <c r="N5" s="36"/>
      <c r="O5" s="36"/>
      <c r="P5" s="36"/>
      <c r="Q5" s="36"/>
      <c r="R5" s="36" t="s">
        <v>107</v>
      </c>
      <c r="S5" s="36"/>
    </row>
    <row r="6" spans="1:19" ht="14.4" x14ac:dyDescent="0.3">
      <c r="A6" s="36">
        <v>708112160</v>
      </c>
      <c r="B6" s="36">
        <v>708786360</v>
      </c>
      <c r="C6" s="36" t="s">
        <v>513</v>
      </c>
      <c r="D6" s="36" t="s">
        <v>514</v>
      </c>
      <c r="E6" s="36" t="s">
        <v>107</v>
      </c>
      <c r="F6" s="36" t="s">
        <v>107</v>
      </c>
      <c r="G6" s="36"/>
      <c r="H6" s="36"/>
      <c r="I6" s="36"/>
      <c r="J6" s="36"/>
      <c r="K6" s="36">
        <v>1</v>
      </c>
      <c r="L6" s="36" t="s">
        <v>515</v>
      </c>
      <c r="M6" s="36"/>
      <c r="N6" s="36"/>
      <c r="O6" s="36"/>
      <c r="P6" s="36"/>
      <c r="Q6" s="36"/>
      <c r="R6" s="36" t="s">
        <v>107</v>
      </c>
      <c r="S6" s="36"/>
    </row>
    <row r="7" spans="1:19" ht="14.4" x14ac:dyDescent="0.3">
      <c r="A7" s="36">
        <v>708787760</v>
      </c>
      <c r="B7" s="36">
        <v>708786360</v>
      </c>
      <c r="C7" s="36" t="s">
        <v>513</v>
      </c>
      <c r="D7" s="36" t="s">
        <v>514</v>
      </c>
      <c r="E7" s="36" t="s">
        <v>107</v>
      </c>
      <c r="F7" s="36" t="s">
        <v>107</v>
      </c>
      <c r="G7" s="36"/>
      <c r="H7" s="36"/>
      <c r="I7" s="36"/>
      <c r="J7" s="36"/>
      <c r="K7" s="36">
        <v>3</v>
      </c>
      <c r="L7" s="36" t="s">
        <v>515</v>
      </c>
      <c r="M7" s="36"/>
      <c r="N7" s="36"/>
      <c r="O7" s="36"/>
      <c r="P7" s="36"/>
      <c r="Q7" s="36"/>
      <c r="R7" s="36" t="s">
        <v>107</v>
      </c>
      <c r="S7" s="36"/>
    </row>
    <row r="8" spans="1:19" ht="14.4" x14ac:dyDescent="0.3">
      <c r="A8" s="36"/>
      <c r="B8" s="36">
        <v>702216860</v>
      </c>
      <c r="C8" s="36" t="s">
        <v>516</v>
      </c>
      <c r="D8" s="36" t="s">
        <v>107</v>
      </c>
      <c r="E8" s="36" t="s">
        <v>514</v>
      </c>
      <c r="F8" s="36" t="s">
        <v>107</v>
      </c>
      <c r="G8" s="36"/>
      <c r="H8" s="36"/>
      <c r="I8" s="36"/>
      <c r="J8" s="36"/>
      <c r="K8" s="36"/>
      <c r="L8" s="36" t="s">
        <v>515</v>
      </c>
      <c r="M8" s="36">
        <v>2216860</v>
      </c>
      <c r="N8" s="36" t="s">
        <v>437</v>
      </c>
      <c r="O8" s="36"/>
      <c r="P8" s="36"/>
      <c r="Q8" s="36"/>
      <c r="R8" s="36" t="s">
        <v>107</v>
      </c>
      <c r="S8" s="36" t="s">
        <v>517</v>
      </c>
    </row>
    <row r="9" spans="1:19" ht="14.4" x14ac:dyDescent="0.3">
      <c r="A9" s="36"/>
      <c r="B9" s="36">
        <v>706611960</v>
      </c>
      <c r="C9" s="36" t="s">
        <v>516</v>
      </c>
      <c r="D9" s="36" t="s">
        <v>107</v>
      </c>
      <c r="E9" s="36" t="s">
        <v>514</v>
      </c>
      <c r="F9" s="36" t="s">
        <v>107</v>
      </c>
      <c r="G9" s="36"/>
      <c r="H9" s="36"/>
      <c r="I9" s="36"/>
      <c r="J9" s="36"/>
      <c r="K9" s="36"/>
      <c r="L9" s="36" t="s">
        <v>515</v>
      </c>
      <c r="M9" s="36">
        <v>6611960</v>
      </c>
      <c r="N9" s="36" t="s">
        <v>437</v>
      </c>
      <c r="O9" s="36"/>
      <c r="P9" s="36"/>
      <c r="Q9" s="36"/>
      <c r="R9" s="36" t="s">
        <v>107</v>
      </c>
      <c r="S9" s="36" t="s">
        <v>517</v>
      </c>
    </row>
    <row r="10" spans="1:19" ht="14.4" x14ac:dyDescent="0.3">
      <c r="A10" s="36"/>
      <c r="B10" s="36">
        <v>708786360</v>
      </c>
      <c r="C10" s="36" t="s">
        <v>516</v>
      </c>
      <c r="D10" s="36" t="s">
        <v>107</v>
      </c>
      <c r="E10" s="36" t="s">
        <v>514</v>
      </c>
      <c r="F10" s="36" t="s">
        <v>107</v>
      </c>
      <c r="G10" s="36"/>
      <c r="H10" s="36"/>
      <c r="I10" s="36"/>
      <c r="J10" s="36"/>
      <c r="K10" s="36"/>
      <c r="L10" s="36" t="s">
        <v>515</v>
      </c>
      <c r="M10" s="36">
        <v>8786360</v>
      </c>
      <c r="N10" s="36" t="s">
        <v>437</v>
      </c>
      <c r="O10" s="36"/>
      <c r="P10" s="36"/>
      <c r="Q10" s="36"/>
      <c r="R10" s="36" t="s">
        <v>107</v>
      </c>
      <c r="S10" s="36" t="s">
        <v>517</v>
      </c>
    </row>
    <row r="11" spans="1:19" ht="14.4" x14ac:dyDescent="0.3">
      <c r="A11" s="36"/>
      <c r="B11" s="36">
        <v>708787760</v>
      </c>
      <c r="C11" s="36" t="s">
        <v>516</v>
      </c>
      <c r="D11" s="36" t="s">
        <v>107</v>
      </c>
      <c r="E11" s="36" t="s">
        <v>514</v>
      </c>
      <c r="F11" s="36" t="s">
        <v>107</v>
      </c>
      <c r="G11" s="36"/>
      <c r="H11" s="36"/>
      <c r="I11" s="36"/>
      <c r="J11" s="36"/>
      <c r="K11" s="36"/>
      <c r="L11" s="36" t="s">
        <v>515</v>
      </c>
      <c r="M11" s="36">
        <v>8787760</v>
      </c>
      <c r="N11" s="36" t="s">
        <v>437</v>
      </c>
      <c r="O11" s="36"/>
      <c r="P11" s="36"/>
      <c r="Q11" s="36"/>
      <c r="R11" s="36" t="s">
        <v>107</v>
      </c>
      <c r="S11" s="36" t="s">
        <v>517</v>
      </c>
    </row>
    <row r="12" spans="1:19" ht="14.4" x14ac:dyDescent="0.3">
      <c r="A12" s="36"/>
      <c r="B12" s="36">
        <v>708112160</v>
      </c>
      <c r="C12" s="36" t="s">
        <v>516</v>
      </c>
      <c r="D12" s="36" t="s">
        <v>107</v>
      </c>
      <c r="E12" s="36" t="s">
        <v>514</v>
      </c>
      <c r="F12" s="36" t="s">
        <v>107</v>
      </c>
      <c r="G12" s="36"/>
      <c r="H12" s="36"/>
      <c r="I12" s="36"/>
      <c r="J12" s="36"/>
      <c r="K12" s="36"/>
      <c r="L12" s="36" t="s">
        <v>515</v>
      </c>
      <c r="M12" s="36">
        <v>8112160</v>
      </c>
      <c r="N12" s="36" t="s">
        <v>437</v>
      </c>
      <c r="O12" s="36"/>
      <c r="P12" s="36"/>
      <c r="Q12" s="36"/>
      <c r="R12" s="36" t="s">
        <v>107</v>
      </c>
      <c r="S12" s="36" t="s">
        <v>517</v>
      </c>
    </row>
  </sheetData>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H6"/>
  <sheetViews>
    <sheetView showOutlineSymbols="0" showWhiteSpace="0" workbookViewId="0"/>
  </sheetViews>
  <sheetFormatPr defaultColWidth="9.109375" defaultRowHeight="13.8" x14ac:dyDescent="0.25"/>
  <cols>
    <col min="1" max="1" width="14.5546875" style="25" bestFit="1" customWidth="1"/>
    <col min="2" max="3" width="13.44140625" style="25" bestFit="1" customWidth="1"/>
    <col min="4" max="5" width="15.109375" style="25" bestFit="1" customWidth="1"/>
    <col min="6" max="6" width="11.6640625" style="25" bestFit="1" customWidth="1"/>
    <col min="7" max="7" width="14.5546875" style="25" bestFit="1" customWidth="1"/>
    <col min="8" max="8" width="11.6640625" style="25" bestFit="1" customWidth="1"/>
    <col min="9" max="9" width="13.44140625" style="25" bestFit="1" customWidth="1"/>
    <col min="10" max="10" width="20.33203125" style="25" bestFit="1" customWidth="1"/>
    <col min="11" max="11" width="22" style="25" bestFit="1" customWidth="1"/>
    <col min="12" max="12" width="18.5546875" style="25" bestFit="1" customWidth="1"/>
    <col min="13" max="13" width="20.33203125" style="25" bestFit="1" customWidth="1"/>
    <col min="14" max="14" width="22" style="25" bestFit="1" customWidth="1"/>
    <col min="15" max="15" width="18.5546875" style="25" bestFit="1" customWidth="1"/>
    <col min="16" max="16" width="22" style="25" bestFit="1" customWidth="1"/>
    <col min="17" max="17" width="13.44140625" style="25" bestFit="1" customWidth="1"/>
    <col min="18" max="18" width="15.109375" style="25" bestFit="1" customWidth="1"/>
    <col min="19" max="19" width="16.88671875" style="25" bestFit="1" customWidth="1"/>
    <col min="20" max="20" width="15.109375" style="25" bestFit="1" customWidth="1"/>
    <col min="21" max="21" width="16.88671875" style="25" bestFit="1" customWidth="1"/>
    <col min="22" max="22" width="13.44140625" style="25" bestFit="1" customWidth="1"/>
    <col min="23" max="25" width="11.6640625" style="25" bestFit="1" customWidth="1"/>
    <col min="26" max="28" width="13.44140625" style="25" bestFit="1" customWidth="1"/>
    <col min="29" max="29" width="10" style="25" bestFit="1" customWidth="1"/>
    <col min="30" max="32" width="11.6640625" style="25" bestFit="1" customWidth="1"/>
    <col min="33" max="34" width="13.44140625" style="25" bestFit="1" customWidth="1"/>
    <col min="35" max="16384" width="9.109375" style="25"/>
  </cols>
  <sheetData>
    <row r="1" spans="1:34" x14ac:dyDescent="0.25">
      <c r="A1" s="35" t="s">
        <v>86</v>
      </c>
      <c r="B1" s="35" t="s">
        <v>85</v>
      </c>
      <c r="C1" s="35" t="s">
        <v>518</v>
      </c>
      <c r="D1" s="35" t="s">
        <v>246</v>
      </c>
      <c r="E1" s="35" t="s">
        <v>258</v>
      </c>
      <c r="F1" s="35" t="s">
        <v>185</v>
      </c>
      <c r="G1" s="35" t="s">
        <v>184</v>
      </c>
      <c r="H1" s="35" t="s">
        <v>259</v>
      </c>
      <c r="I1" s="35" t="s">
        <v>260</v>
      </c>
      <c r="J1" s="35" t="s">
        <v>255</v>
      </c>
      <c r="K1" s="35" t="s">
        <v>256</v>
      </c>
      <c r="L1" s="35" t="s">
        <v>257</v>
      </c>
      <c r="M1" s="35" t="s">
        <v>371</v>
      </c>
      <c r="N1" s="35" t="s">
        <v>372</v>
      </c>
      <c r="O1" s="35" t="s">
        <v>373</v>
      </c>
      <c r="P1" s="35" t="s">
        <v>374</v>
      </c>
      <c r="Q1" s="35" t="s">
        <v>261</v>
      </c>
      <c r="R1" s="35" t="s">
        <v>247</v>
      </c>
      <c r="S1" s="35" t="s">
        <v>248</v>
      </c>
      <c r="T1" s="35" t="s">
        <v>249</v>
      </c>
      <c r="U1" s="35" t="s">
        <v>250</v>
      </c>
      <c r="V1" s="35" t="s">
        <v>262</v>
      </c>
      <c r="W1" s="35" t="s">
        <v>519</v>
      </c>
      <c r="X1" s="35" t="s">
        <v>520</v>
      </c>
      <c r="Y1" s="35" t="s">
        <v>521</v>
      </c>
      <c r="Z1" s="35" t="s">
        <v>522</v>
      </c>
      <c r="AA1" s="35" t="s">
        <v>523</v>
      </c>
      <c r="AB1" s="35" t="s">
        <v>524</v>
      </c>
      <c r="AC1" s="35" t="s">
        <v>525</v>
      </c>
      <c r="AD1" s="35" t="s">
        <v>526</v>
      </c>
      <c r="AE1" s="35" t="s">
        <v>527</v>
      </c>
      <c r="AF1" s="35" t="s">
        <v>528</v>
      </c>
      <c r="AG1" s="35" t="s">
        <v>529</v>
      </c>
      <c r="AH1" s="35" t="s">
        <v>530</v>
      </c>
    </row>
    <row r="2" spans="1:34" ht="14.4" x14ac:dyDescent="0.3">
      <c r="A2" s="36">
        <v>702216860</v>
      </c>
      <c r="B2" s="36">
        <v>221970943</v>
      </c>
      <c r="C2" s="36" t="s">
        <v>531</v>
      </c>
      <c r="D2" s="36">
        <v>7</v>
      </c>
      <c r="E2" s="36"/>
      <c r="F2" s="36">
        <v>0</v>
      </c>
      <c r="G2" s="36">
        <v>-4000000</v>
      </c>
      <c r="H2" s="36"/>
      <c r="I2" s="36"/>
      <c r="J2" s="36" t="s">
        <v>532</v>
      </c>
      <c r="K2" s="36" t="s">
        <v>532</v>
      </c>
      <c r="L2" s="36" t="s">
        <v>532</v>
      </c>
      <c r="M2" s="36"/>
      <c r="N2" s="36"/>
      <c r="O2" s="36">
        <v>2</v>
      </c>
      <c r="P2" s="36">
        <v>1</v>
      </c>
      <c r="Q2" s="36">
        <v>2</v>
      </c>
      <c r="R2" s="36" t="s">
        <v>107</v>
      </c>
      <c r="S2" s="36" t="s">
        <v>514</v>
      </c>
      <c r="T2" s="36" t="s">
        <v>514</v>
      </c>
      <c r="U2" s="36" t="s">
        <v>514</v>
      </c>
      <c r="V2" s="36">
        <v>0</v>
      </c>
      <c r="W2" s="36">
        <v>0</v>
      </c>
      <c r="X2" s="36">
        <v>0</v>
      </c>
      <c r="Y2" s="36">
        <v>0</v>
      </c>
      <c r="Z2" s="36">
        <v>1</v>
      </c>
      <c r="AA2" s="36">
        <v>0</v>
      </c>
      <c r="AB2" s="36">
        <v>0</v>
      </c>
      <c r="AC2" s="36">
        <v>1</v>
      </c>
      <c r="AD2" s="36">
        <v>0</v>
      </c>
      <c r="AE2" s="36">
        <v>0</v>
      </c>
      <c r="AF2" s="36">
        <v>3</v>
      </c>
      <c r="AG2" s="36">
        <v>0</v>
      </c>
      <c r="AH2" s="36">
        <v>0</v>
      </c>
    </row>
    <row r="3" spans="1:34" ht="14.4" x14ac:dyDescent="0.3">
      <c r="A3" s="36">
        <v>706611960</v>
      </c>
      <c r="B3" s="36">
        <v>221047310</v>
      </c>
      <c r="C3" s="36" t="s">
        <v>531</v>
      </c>
      <c r="D3" s="36">
        <v>8</v>
      </c>
      <c r="E3" s="36"/>
      <c r="F3" s="36">
        <v>0</v>
      </c>
      <c r="G3" s="36">
        <v>-4021170.2</v>
      </c>
      <c r="H3" s="36"/>
      <c r="I3" s="36"/>
      <c r="J3" s="36" t="s">
        <v>532</v>
      </c>
      <c r="K3" s="36" t="s">
        <v>532</v>
      </c>
      <c r="L3" s="36" t="s">
        <v>532</v>
      </c>
      <c r="M3" s="36"/>
      <c r="N3" s="36"/>
      <c r="O3" s="36">
        <v>1</v>
      </c>
      <c r="P3" s="36">
        <v>0</v>
      </c>
      <c r="Q3" s="36">
        <v>0</v>
      </c>
      <c r="R3" s="36" t="s">
        <v>107</v>
      </c>
      <c r="S3" s="36" t="s">
        <v>514</v>
      </c>
      <c r="T3" s="36" t="s">
        <v>107</v>
      </c>
      <c r="U3" s="36" t="s">
        <v>107</v>
      </c>
      <c r="V3" s="36">
        <v>0</v>
      </c>
      <c r="W3" s="36">
        <v>0</v>
      </c>
      <c r="X3" s="36">
        <v>0</v>
      </c>
      <c r="Y3" s="36">
        <v>0</v>
      </c>
      <c r="Z3" s="36">
        <v>1</v>
      </c>
      <c r="AA3" s="36">
        <v>0</v>
      </c>
      <c r="AB3" s="36">
        <v>0</v>
      </c>
      <c r="AC3" s="36">
        <v>0</v>
      </c>
      <c r="AD3" s="36">
        <v>0</v>
      </c>
      <c r="AE3" s="36">
        <v>0</v>
      </c>
      <c r="AF3" s="36">
        <v>1</v>
      </c>
      <c r="AG3" s="36">
        <v>0</v>
      </c>
      <c r="AH3" s="36">
        <v>0</v>
      </c>
    </row>
    <row r="4" spans="1:34" ht="14.4" x14ac:dyDescent="0.3">
      <c r="A4" s="36">
        <v>708112160</v>
      </c>
      <c r="B4" s="36">
        <v>220432849</v>
      </c>
      <c r="C4" s="36" t="s">
        <v>531</v>
      </c>
      <c r="D4" s="36">
        <v>16</v>
      </c>
      <c r="E4" s="36"/>
      <c r="F4" s="36">
        <v>0</v>
      </c>
      <c r="G4" s="36">
        <v>0</v>
      </c>
      <c r="H4" s="36"/>
      <c r="I4" s="36"/>
      <c r="J4" s="36" t="s">
        <v>532</v>
      </c>
      <c r="K4" s="36" t="s">
        <v>532</v>
      </c>
      <c r="L4" s="36" t="s">
        <v>532</v>
      </c>
      <c r="M4" s="36"/>
      <c r="N4" s="36"/>
      <c r="O4" s="36">
        <v>0</v>
      </c>
      <c r="P4" s="36">
        <v>1</v>
      </c>
      <c r="Q4" s="36">
        <v>2</v>
      </c>
      <c r="R4" s="36" t="s">
        <v>107</v>
      </c>
      <c r="S4" s="36" t="s">
        <v>107</v>
      </c>
      <c r="T4" s="36" t="s">
        <v>107</v>
      </c>
      <c r="U4" s="36" t="s">
        <v>107</v>
      </c>
      <c r="V4" s="36">
        <v>0</v>
      </c>
      <c r="W4" s="36">
        <v>0</v>
      </c>
      <c r="X4" s="36">
        <v>0</v>
      </c>
      <c r="Y4" s="36">
        <v>0</v>
      </c>
      <c r="Z4" s="36">
        <v>0</v>
      </c>
      <c r="AA4" s="36">
        <v>0</v>
      </c>
      <c r="AB4" s="36">
        <v>0</v>
      </c>
      <c r="AC4" s="36">
        <v>0</v>
      </c>
      <c r="AD4" s="36">
        <v>0</v>
      </c>
      <c r="AE4" s="36">
        <v>0</v>
      </c>
      <c r="AF4" s="36">
        <v>0</v>
      </c>
      <c r="AG4" s="36">
        <v>0</v>
      </c>
      <c r="AH4" s="36">
        <v>0</v>
      </c>
    </row>
    <row r="5" spans="1:34" ht="14.4" x14ac:dyDescent="0.3">
      <c r="A5" s="36">
        <v>708786360</v>
      </c>
      <c r="B5" s="36">
        <v>220360701</v>
      </c>
      <c r="C5" s="36" t="s">
        <v>531</v>
      </c>
      <c r="D5" s="36">
        <v>7</v>
      </c>
      <c r="E5" s="36"/>
      <c r="F5" s="36">
        <v>0</v>
      </c>
      <c r="G5" s="36">
        <v>-46960149.07</v>
      </c>
      <c r="H5" s="36"/>
      <c r="I5" s="36"/>
      <c r="J5" s="36" t="s">
        <v>532</v>
      </c>
      <c r="K5" s="36" t="s">
        <v>532</v>
      </c>
      <c r="L5" s="36" t="s">
        <v>532</v>
      </c>
      <c r="M5" s="36"/>
      <c r="N5" s="36"/>
      <c r="O5" s="36">
        <v>3</v>
      </c>
      <c r="P5" s="36">
        <v>2</v>
      </c>
      <c r="Q5" s="36">
        <v>1</v>
      </c>
      <c r="R5" s="36" t="s">
        <v>107</v>
      </c>
      <c r="S5" s="36" t="s">
        <v>514</v>
      </c>
      <c r="T5" s="36" t="s">
        <v>514</v>
      </c>
      <c r="U5" s="36" t="s">
        <v>514</v>
      </c>
      <c r="V5" s="36">
        <v>0</v>
      </c>
      <c r="W5" s="36">
        <v>0</v>
      </c>
      <c r="X5" s="36">
        <v>0</v>
      </c>
      <c r="Y5" s="36">
        <v>0</v>
      </c>
      <c r="Z5" s="36">
        <v>1</v>
      </c>
      <c r="AA5" s="36">
        <v>0</v>
      </c>
      <c r="AB5" s="36">
        <v>1</v>
      </c>
      <c r="AC5" s="36">
        <v>10</v>
      </c>
      <c r="AD5" s="36">
        <v>0</v>
      </c>
      <c r="AE5" s="36">
        <v>0</v>
      </c>
      <c r="AF5" s="36">
        <v>26</v>
      </c>
      <c r="AG5" s="36">
        <v>0</v>
      </c>
      <c r="AH5" s="36">
        <v>0</v>
      </c>
    </row>
    <row r="6" spans="1:34" ht="14.4" x14ac:dyDescent="0.3">
      <c r="A6" s="36">
        <v>708787760</v>
      </c>
      <c r="B6" s="36">
        <v>220364487</v>
      </c>
      <c r="C6" s="36" t="s">
        <v>531</v>
      </c>
      <c r="D6" s="36">
        <v>14</v>
      </c>
      <c r="E6" s="36"/>
      <c r="F6" s="36">
        <v>0</v>
      </c>
      <c r="G6" s="36">
        <v>0</v>
      </c>
      <c r="H6" s="36"/>
      <c r="I6" s="36"/>
      <c r="J6" s="36" t="s">
        <v>532</v>
      </c>
      <c r="K6" s="36" t="s">
        <v>532</v>
      </c>
      <c r="L6" s="36" t="s">
        <v>532</v>
      </c>
      <c r="M6" s="36"/>
      <c r="N6" s="36"/>
      <c r="O6" s="36">
        <v>0</v>
      </c>
      <c r="P6" s="36">
        <v>2</v>
      </c>
      <c r="Q6" s="36">
        <v>3</v>
      </c>
      <c r="R6" s="36" t="s">
        <v>107</v>
      </c>
      <c r="S6" s="36" t="s">
        <v>107</v>
      </c>
      <c r="T6" s="36" t="s">
        <v>107</v>
      </c>
      <c r="U6" s="36" t="s">
        <v>514</v>
      </c>
      <c r="V6" s="36">
        <v>0</v>
      </c>
      <c r="W6" s="36">
        <v>0</v>
      </c>
      <c r="X6" s="36">
        <v>0</v>
      </c>
      <c r="Y6" s="36">
        <v>0</v>
      </c>
      <c r="Z6" s="36">
        <v>0</v>
      </c>
      <c r="AA6" s="36">
        <v>0</v>
      </c>
      <c r="AB6" s="36">
        <v>0</v>
      </c>
      <c r="AC6" s="36">
        <v>0</v>
      </c>
      <c r="AD6" s="36">
        <v>0</v>
      </c>
      <c r="AE6" s="36">
        <v>0</v>
      </c>
      <c r="AF6" s="36">
        <v>2</v>
      </c>
      <c r="AG6" s="36">
        <v>0</v>
      </c>
      <c r="AH6" s="36">
        <v>0</v>
      </c>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showOutlineSymbols="0" showWhiteSpace="0" topLeftCell="A10" workbookViewId="0">
      <selection activeCell="R24" sqref="R24"/>
    </sheetView>
  </sheetViews>
  <sheetFormatPr defaultColWidth="9.109375" defaultRowHeight="13.8" x14ac:dyDescent="0.25"/>
  <cols>
    <col min="1" max="16384" width="9.109375" style="25"/>
  </cols>
  <sheetData/>
  <pageMargins left="0.75" right="0.75" top="1" bottom="1" header="0.5" footer="0.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77B93EC2AD3DB445B3099CA6948536BD" ma:contentTypeVersion="1" ma:contentTypeDescription="Create a new document." ma:contentTypeScope="" ma:versionID="decdbb0e4d5f168e7ea5665284910190">
  <xsd:schema xmlns:xsd="http://www.w3.org/2001/XMLSchema" xmlns:xs="http://www.w3.org/2001/XMLSchema" xmlns:p="http://schemas.microsoft.com/office/2006/metadata/properties" xmlns:ns2="http://schemas.microsoft.com/sharepoint/v4" targetNamespace="http://schemas.microsoft.com/office/2006/metadata/properties" ma:root="true" ma:fieldsID="23c11eee0d542004c4a7d729835418c6" ns2:_="">
    <xsd:import namespace="http://schemas.microsoft.com/sharepoint/v4"/>
    <xsd:element name="properties">
      <xsd:complexType>
        <xsd:sequence>
          <xsd:element name="documentManagement">
            <xsd:complexType>
              <xsd:all>
                <xsd:element ref="ns2:IconOverla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A865C9B-5000-4C35-A08C-FC1C209FC3BF}">
  <ds:schemaRefs>
    <ds:schemaRef ds:uri="http://schemas.microsoft.com/DataMashup"/>
  </ds:schemaRefs>
</ds:datastoreItem>
</file>

<file path=customXml/itemProps2.xml><?xml version="1.0" encoding="utf-8"?>
<ds:datastoreItem xmlns:ds="http://schemas.openxmlformats.org/officeDocument/2006/customXml" ds:itemID="{4B0FF3BE-777B-47D2-B619-CCD68E8BDE4C}">
  <ds:schemaRefs>
    <ds:schemaRef ds:uri="http://purl.org/dc/dcmitype/"/>
    <ds:schemaRef ds:uri="http://purl.org/dc/terms/"/>
    <ds:schemaRef ds:uri="http://schemas.microsoft.com/office/2006/documentManagement/types"/>
    <ds:schemaRef ds:uri="http://schemas.microsoft.com/sharepoint/v4"/>
    <ds:schemaRef ds:uri="http://schemas.openxmlformats.org/package/2006/metadata/core-properties"/>
    <ds:schemaRef ds:uri="http://purl.org/dc/elements/1.1/"/>
    <ds:schemaRef ds:uri="http://www.w3.org/XML/1998/namespace"/>
    <ds:schemaRef ds:uri="http://schemas.microsoft.com/office/infopath/2007/PartnerControls"/>
    <ds:schemaRef ds:uri="http://schemas.microsoft.com/office/2006/metadata/properties"/>
  </ds:schemaRefs>
</ds:datastoreItem>
</file>

<file path=customXml/itemProps3.xml><?xml version="1.0" encoding="utf-8"?>
<ds:datastoreItem xmlns:ds="http://schemas.openxmlformats.org/officeDocument/2006/customXml" ds:itemID="{FE6A596A-C531-4F36-88F1-C21026DC3B1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3190A07-BC29-4903-B34C-311B8ABBA48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out</vt:lpstr>
      <vt:lpstr>Run_Consumption</vt:lpstr>
      <vt:lpstr>assets</vt:lpstr>
      <vt:lpstr>exposures</vt:lpstr>
      <vt:lpstr>pledges</vt:lpstr>
      <vt:lpstr>arrangements</vt:lpstr>
      <vt:lpstr>steps_engine</vt:lpstr>
    </vt:vector>
  </TitlesOfParts>
  <Company>JPMorgan Chase &amp; Co.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Siva Subramani, Naren</dc:creator>
  <cp:lastModifiedBy>Naren SS</cp:lastModifiedBy>
  <dcterms:created xsi:type="dcterms:W3CDTF">2017-03-21T15:58:16Z</dcterms:created>
  <dcterms:modified xsi:type="dcterms:W3CDTF">2017-08-04T06:30:59Z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0x01010077B93EC2AD3DB445B3099CA6948536BD</vt:lpwstr>
  </property>
</Properties>
</file>
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0" windowWidth="23040" windowHeight="9084" firstSheet="1" activeTab="3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t_temp" sheetId="455" r:id="rId7"/>
    <sheet name="assets_results" sheetId="456" r:id="rId8"/>
    <sheet name="expo_temp" sheetId="457" r:id="rId9"/>
    <sheet name="expo_results" sheetId="458" r:id="rId10"/>
    <sheet name="steps" sheetId="459" r:id="rId11"/>
  </sheets>
  <functionGroups builtInGroupCount="18"/>
  <definedNames>
    <definedName name="_xlnm._FilterDatabase" localSheetId="1" hidden="1">assets!#REF!</definedName>
    <definedName name="_xlnm._FilterDatabase" localSheetId="7" hidden="1">assets_results!$A$1:$AQ$5</definedName>
    <definedName name="_xlnm._FilterDatabase" localSheetId="6" hidden="1">asst_temp!$A$1:$AQ$5</definedName>
    <definedName name="_xlnm._FilterDatabase" localSheetId="9" hidden="1">expo_results!$A$1:$O$4</definedName>
    <definedName name="_xlnm._FilterDatabase" localSheetId="8" hidden="1">expo_temp!$A$1:$O$3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out!$D$1:$F$1</definedName>
    <definedName name="_xlnm._FilterDatabase" localSheetId="10" hidden="1">steps!$A$1:$Q$8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  <fileRecoveryPr repairLoad="1"/>
</workbook>
</file>

<file path=xl/calcChain.xml><?xml version="1.0" encoding="utf-8"?>
<calcChain xmlns="http://schemas.openxmlformats.org/spreadsheetml/2006/main">
  <c r="H21" i="11" l="1"/>
  <c r="H22" i="11"/>
  <c r="H23" i="11"/>
  <c r="H24" i="11"/>
  <c r="H25" i="11"/>
  <c r="H26" i="11"/>
  <c r="H27" i="11"/>
  <c r="H28" i="11"/>
  <c r="H29" i="11"/>
  <c r="H30" i="11"/>
  <c r="H20" i="11"/>
  <c r="AO3" i="14"/>
  <c r="AP3" i="14"/>
  <c r="AQ3" i="14"/>
  <c r="AR3" i="14"/>
  <c r="AS3" i="14"/>
  <c r="AT3" i="14"/>
  <c r="AU3" i="14"/>
  <c r="AV3" i="14"/>
  <c r="AO4" i="14"/>
  <c r="AP4" i="14"/>
  <c r="AQ4" i="14"/>
  <c r="AR4" i="14"/>
  <c r="AS4" i="14"/>
  <c r="AT4" i="14"/>
  <c r="AU4" i="14"/>
  <c r="AV4" i="14"/>
  <c r="AO5" i="14"/>
  <c r="AP5" i="14"/>
  <c r="AQ5" i="14"/>
  <c r="AR5" i="14"/>
  <c r="AS5" i="14"/>
  <c r="AT5" i="14"/>
  <c r="AU5" i="14"/>
  <c r="AV5" i="14"/>
  <c r="AO6" i="14"/>
  <c r="AP6" i="14"/>
  <c r="AQ6" i="14"/>
  <c r="AR6" i="14"/>
  <c r="AS6" i="14"/>
  <c r="AT6" i="14"/>
  <c r="AU6" i="14"/>
  <c r="AV6" i="14"/>
  <c r="AO7" i="14"/>
  <c r="AP7" i="14"/>
  <c r="AQ7" i="14"/>
  <c r="AR7" i="14"/>
  <c r="AS7" i="14"/>
  <c r="AT7" i="14"/>
  <c r="AU7" i="14"/>
  <c r="AV7" i="14"/>
  <c r="AO8" i="14"/>
  <c r="AP8" i="14"/>
  <c r="AQ8" i="14"/>
  <c r="AR8" i="14"/>
  <c r="AS8" i="14"/>
  <c r="AT8" i="14"/>
  <c r="AU8" i="14"/>
  <c r="AV8" i="14"/>
  <c r="AO9" i="14"/>
  <c r="AP9" i="14"/>
  <c r="AQ9" i="14"/>
  <c r="AR9" i="14"/>
  <c r="AS9" i="14"/>
  <c r="AT9" i="14"/>
  <c r="AU9" i="14"/>
  <c r="AV9" i="14"/>
  <c r="AO10" i="14"/>
  <c r="AP10" i="14"/>
  <c r="AQ10" i="14"/>
  <c r="AR10" i="14"/>
  <c r="AS10" i="14"/>
  <c r="AT10" i="14"/>
  <c r="AU10" i="14"/>
  <c r="AV10" i="14"/>
  <c r="AO11" i="14"/>
  <c r="AP11" i="14"/>
  <c r="AQ11" i="14"/>
  <c r="AR11" i="14"/>
  <c r="AS11" i="14"/>
  <c r="AT11" i="14"/>
  <c r="AU11" i="14"/>
  <c r="AV11" i="14"/>
  <c r="AO12" i="14"/>
  <c r="AP12" i="14"/>
  <c r="AQ12" i="14"/>
  <c r="AR12" i="14"/>
  <c r="AS12" i="14"/>
  <c r="AT12" i="14"/>
  <c r="AU12" i="14"/>
  <c r="AV12" i="14"/>
  <c r="AO13" i="14"/>
  <c r="AP13" i="14"/>
  <c r="AQ13" i="14"/>
  <c r="AR13" i="14"/>
  <c r="AS13" i="14"/>
  <c r="AT13" i="14"/>
  <c r="AU13" i="14"/>
  <c r="AV13" i="14"/>
  <c r="AO14" i="14"/>
  <c r="AP14" i="14"/>
  <c r="AQ14" i="14"/>
  <c r="AR14" i="14"/>
  <c r="AS14" i="14"/>
  <c r="AT14" i="14"/>
  <c r="AU14" i="14"/>
  <c r="AV14" i="14"/>
  <c r="AO15" i="14"/>
  <c r="AP15" i="14"/>
  <c r="AQ15" i="14"/>
  <c r="AR15" i="14"/>
  <c r="AS15" i="14"/>
  <c r="AT15" i="14"/>
  <c r="AU15" i="14"/>
  <c r="AV15" i="14"/>
  <c r="AO16" i="14"/>
  <c r="AP16" i="14"/>
  <c r="AQ16" i="14"/>
  <c r="AR16" i="14"/>
  <c r="AS16" i="14"/>
  <c r="AT16" i="14"/>
  <c r="AU16" i="14"/>
  <c r="AV16" i="14"/>
  <c r="AO17" i="14"/>
  <c r="AP17" i="14"/>
  <c r="AQ17" i="14"/>
  <c r="AR17" i="14"/>
  <c r="AS17" i="14"/>
  <c r="AT17" i="14"/>
  <c r="AU17" i="14"/>
  <c r="AV17" i="14"/>
  <c r="AO18" i="14"/>
  <c r="AP18" i="14"/>
  <c r="AQ18" i="14"/>
  <c r="AR18" i="14"/>
  <c r="AS18" i="14"/>
  <c r="AT18" i="14"/>
  <c r="AU18" i="14"/>
  <c r="AV18" i="14"/>
  <c r="O3" i="56"/>
  <c r="O4" i="56"/>
  <c r="O5" i="56"/>
  <c r="O6" i="56"/>
  <c r="O7" i="56"/>
  <c r="O8" i="56"/>
  <c r="O9" i="56"/>
  <c r="O2" i="56"/>
  <c r="AU2" i="14" l="1"/>
  <c r="AT2" i="14"/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I42" i="14"/>
  <c r="H42" i="14"/>
  <c r="B42" i="14"/>
  <c r="J42" i="14" s="1"/>
  <c r="O41" i="14"/>
  <c r="N41" i="14"/>
  <c r="M41" i="14"/>
  <c r="L41" i="14"/>
  <c r="K41" i="14"/>
  <c r="I41" i="14"/>
  <c r="H41" i="14"/>
  <c r="B41" i="14"/>
  <c r="J41" i="14" s="1"/>
  <c r="O40" i="14"/>
  <c r="N40" i="14"/>
  <c r="M40" i="14"/>
  <c r="L40" i="14"/>
  <c r="K40" i="14"/>
  <c r="I40" i="14"/>
  <c r="H40" i="14"/>
  <c r="B40" i="14"/>
  <c r="J40" i="14" s="1"/>
  <c r="O39" i="14"/>
  <c r="N39" i="14"/>
  <c r="M39" i="14"/>
  <c r="L39" i="14"/>
  <c r="K39" i="14"/>
  <c r="I39" i="14"/>
  <c r="H39" i="14"/>
  <c r="B39" i="14"/>
  <c r="J39" i="14" s="1"/>
  <c r="O38" i="14"/>
  <c r="N38" i="14"/>
  <c r="M38" i="14"/>
  <c r="L38" i="14"/>
  <c r="K38" i="14"/>
  <c r="I38" i="14"/>
  <c r="H38" i="14"/>
  <c r="B38" i="14"/>
  <c r="J38" i="14" s="1"/>
  <c r="O37" i="14"/>
  <c r="N37" i="14"/>
  <c r="M37" i="14"/>
  <c r="L37" i="14"/>
  <c r="K37" i="14"/>
  <c r="I37" i="14"/>
  <c r="H37" i="14"/>
  <c r="B37" i="14"/>
  <c r="J37" i="14" s="1"/>
  <c r="O36" i="14"/>
  <c r="N36" i="14"/>
  <c r="M36" i="14"/>
  <c r="L36" i="14"/>
  <c r="K36" i="14"/>
  <c r="I36" i="14"/>
  <c r="H36" i="14"/>
  <c r="B36" i="14"/>
  <c r="J36" i="14" s="1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I34" i="14"/>
  <c r="H34" i="14"/>
  <c r="B34" i="14"/>
  <c r="J34" i="14" s="1"/>
  <c r="O33" i="14"/>
  <c r="N33" i="14"/>
  <c r="M33" i="14"/>
  <c r="L33" i="14"/>
  <c r="K33" i="14"/>
  <c r="I33" i="14"/>
  <c r="H33" i="14"/>
  <c r="B33" i="14"/>
  <c r="J33" i="14" s="1"/>
  <c r="O32" i="14"/>
  <c r="N32" i="14"/>
  <c r="M32" i="14"/>
  <c r="L32" i="14"/>
  <c r="K32" i="14"/>
  <c r="I32" i="14"/>
  <c r="H32" i="14"/>
  <c r="B32" i="14"/>
  <c r="J32" i="14" s="1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I30" i="14"/>
  <c r="B30" i="14"/>
  <c r="J30" i="14" s="1"/>
  <c r="O29" i="14"/>
  <c r="N29" i="14"/>
  <c r="M29" i="14"/>
  <c r="L29" i="14"/>
  <c r="K29" i="14"/>
  <c r="I29" i="14"/>
  <c r="B29" i="14"/>
  <c r="J29" i="14" s="1"/>
  <c r="O28" i="14"/>
  <c r="N28" i="14"/>
  <c r="M28" i="14"/>
  <c r="L28" i="14"/>
  <c r="K28" i="14"/>
  <c r="I28" i="14"/>
  <c r="B28" i="14"/>
  <c r="J28" i="14" s="1"/>
  <c r="O27" i="14"/>
  <c r="N27" i="14"/>
  <c r="M27" i="14"/>
  <c r="L27" i="14"/>
  <c r="K27" i="14"/>
  <c r="I27" i="14"/>
  <c r="B27" i="14"/>
  <c r="J27" i="14" s="1"/>
  <c r="O26" i="14"/>
  <c r="N26" i="14"/>
  <c r="M26" i="14"/>
  <c r="L26" i="14"/>
  <c r="K26" i="14"/>
  <c r="I26" i="14"/>
  <c r="B26" i="14"/>
  <c r="J26" i="14" s="1"/>
  <c r="F25" i="14"/>
  <c r="L25" i="14" s="1"/>
  <c r="B25" i="14"/>
  <c r="F24" i="14"/>
  <c r="K24" i="14" s="1"/>
  <c r="B24" i="14"/>
  <c r="F23" i="14"/>
  <c r="I23" i="14" s="1"/>
  <c r="B23" i="14"/>
  <c r="F22" i="14"/>
  <c r="M22" i="14" s="1"/>
  <c r="B22" i="14"/>
  <c r="F21" i="14"/>
  <c r="N21" i="14" s="1"/>
  <c r="B21" i="14"/>
  <c r="F20" i="14"/>
  <c r="O20" i="14" s="1"/>
  <c r="B20" i="14"/>
  <c r="F19" i="14"/>
  <c r="O19" i="14" s="1"/>
  <c r="B19" i="14"/>
  <c r="F18" i="14"/>
  <c r="O18" i="14" s="1"/>
  <c r="B18" i="14"/>
  <c r="F17" i="14"/>
  <c r="N17" i="14" s="1"/>
  <c r="B17" i="14"/>
  <c r="AA16" i="14"/>
  <c r="Z16" i="14"/>
  <c r="Y16" i="14"/>
  <c r="X16" i="14"/>
  <c r="W16" i="14"/>
  <c r="U16" i="14"/>
  <c r="O16" i="14"/>
  <c r="N16" i="14"/>
  <c r="M16" i="14"/>
  <c r="L16" i="14"/>
  <c r="K16" i="14"/>
  <c r="I16" i="14"/>
  <c r="B16" i="14"/>
  <c r="J16" i="14" s="1"/>
  <c r="AA15" i="14"/>
  <c r="Z15" i="14"/>
  <c r="Y15" i="14"/>
  <c r="X15" i="14"/>
  <c r="W15" i="14"/>
  <c r="U15" i="14"/>
  <c r="O15" i="14"/>
  <c r="N15" i="14"/>
  <c r="M15" i="14"/>
  <c r="L15" i="14"/>
  <c r="K15" i="14"/>
  <c r="I15" i="14"/>
  <c r="B15" i="14"/>
  <c r="AA14" i="14"/>
  <c r="Z14" i="14"/>
  <c r="Y14" i="14"/>
  <c r="X14" i="14"/>
  <c r="W14" i="14"/>
  <c r="U14" i="14"/>
  <c r="O14" i="14"/>
  <c r="N14" i="14"/>
  <c r="M14" i="14"/>
  <c r="L14" i="14"/>
  <c r="K14" i="14"/>
  <c r="I14" i="14"/>
  <c r="B14" i="14"/>
  <c r="AA13" i="14"/>
  <c r="Z13" i="14"/>
  <c r="Y13" i="14"/>
  <c r="X13" i="14"/>
  <c r="W13" i="14"/>
  <c r="U13" i="14"/>
  <c r="O13" i="14"/>
  <c r="N13" i="14"/>
  <c r="M13" i="14"/>
  <c r="L13" i="14"/>
  <c r="K13" i="14"/>
  <c r="I13" i="14"/>
  <c r="B13" i="14"/>
  <c r="V13" i="14" s="1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S11" i="14"/>
  <c r="Z11" i="14" s="1"/>
  <c r="O11" i="14"/>
  <c r="N11" i="14"/>
  <c r="M11" i="14"/>
  <c r="L11" i="14"/>
  <c r="K11" i="14"/>
  <c r="I11" i="14"/>
  <c r="B11" i="14"/>
  <c r="J11" i="14" s="1"/>
  <c r="S10" i="14"/>
  <c r="Z10" i="14" s="1"/>
  <c r="O10" i="14"/>
  <c r="N10" i="14"/>
  <c r="M10" i="14"/>
  <c r="L10" i="14"/>
  <c r="K10" i="14"/>
  <c r="I10" i="14"/>
  <c r="B10" i="14"/>
  <c r="J10" i="14" s="1"/>
  <c r="S9" i="14"/>
  <c r="Z9" i="14" s="1"/>
  <c r="O9" i="14"/>
  <c r="N9" i="14"/>
  <c r="M9" i="14"/>
  <c r="L9" i="14"/>
  <c r="K9" i="14"/>
  <c r="I9" i="14"/>
  <c r="B9" i="14"/>
  <c r="J9" i="14" s="1"/>
  <c r="AA8" i="14"/>
  <c r="Z8" i="14"/>
  <c r="Y8" i="14"/>
  <c r="X8" i="14"/>
  <c r="W8" i="14"/>
  <c r="U8" i="14"/>
  <c r="O8" i="14"/>
  <c r="N8" i="14"/>
  <c r="M8" i="14"/>
  <c r="L8" i="14"/>
  <c r="K8" i="14"/>
  <c r="I8" i="14"/>
  <c r="B8" i="14"/>
  <c r="J8" i="14" s="1"/>
  <c r="AA7" i="14"/>
  <c r="Z7" i="14"/>
  <c r="Y7" i="14"/>
  <c r="X7" i="14"/>
  <c r="W7" i="14"/>
  <c r="U7" i="14"/>
  <c r="O7" i="14"/>
  <c r="N7" i="14"/>
  <c r="M7" i="14"/>
  <c r="L7" i="14"/>
  <c r="K7" i="14"/>
  <c r="J7" i="14"/>
  <c r="I7" i="14"/>
  <c r="B7" i="14"/>
  <c r="V7" i="14" s="1"/>
  <c r="AA6" i="14"/>
  <c r="Z6" i="14"/>
  <c r="Y6" i="14"/>
  <c r="X6" i="14"/>
  <c r="W6" i="14"/>
  <c r="U6" i="14"/>
  <c r="F6" i="14"/>
  <c r="K6" i="14" s="1"/>
  <c r="B6" i="14"/>
  <c r="AA5" i="14"/>
  <c r="Z5" i="14"/>
  <c r="Y5" i="14"/>
  <c r="X5" i="14"/>
  <c r="W5" i="14"/>
  <c r="U5" i="14"/>
  <c r="I5" i="14"/>
  <c r="F5" i="14"/>
  <c r="N5" i="14" s="1"/>
  <c r="B5" i="14"/>
  <c r="J5" i="14" s="1"/>
  <c r="S4" i="14"/>
  <c r="X4" i="14" s="1"/>
  <c r="F4" i="14"/>
  <c r="L4" i="14" s="1"/>
  <c r="B4" i="14"/>
  <c r="S3" i="14"/>
  <c r="Y3" i="14" s="1"/>
  <c r="F3" i="14"/>
  <c r="M3" i="14" s="1"/>
  <c r="B3" i="14"/>
  <c r="AV2" i="14"/>
  <c r="AS2" i="14"/>
  <c r="AR2" i="14"/>
  <c r="AQ2" i="14"/>
  <c r="AO2" i="14"/>
  <c r="S2" i="14"/>
  <c r="Z2" i="14" s="1"/>
  <c r="O2" i="14"/>
  <c r="F2" i="14"/>
  <c r="N2" i="14" s="1"/>
  <c r="B2" i="14"/>
  <c r="AP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AC9" i="56"/>
  <c r="AB9" i="56"/>
  <c r="Z9" i="56"/>
  <c r="AC8" i="56"/>
  <c r="AB8" i="56"/>
  <c r="Z8" i="56"/>
  <c r="AC7" i="56"/>
  <c r="AB7" i="56"/>
  <c r="Z7" i="56"/>
  <c r="AC6" i="56"/>
  <c r="AB6" i="56"/>
  <c r="Z6" i="56"/>
  <c r="AC5" i="56"/>
  <c r="AB5" i="56"/>
  <c r="Z5" i="56"/>
  <c r="AC4" i="56"/>
  <c r="AB4" i="56"/>
  <c r="Z4" i="56"/>
  <c r="AC3" i="56"/>
  <c r="AB3" i="56"/>
  <c r="Z3" i="56"/>
  <c r="AC2" i="56"/>
  <c r="AB2" i="56"/>
  <c r="Z2" i="56"/>
  <c r="K25" i="14" l="1"/>
  <c r="K3" i="14"/>
  <c r="N3" i="14"/>
  <c r="L5" i="14"/>
  <c r="O23" i="14"/>
  <c r="O5" i="14"/>
  <c r="W3" i="14"/>
  <c r="N4" i="14"/>
  <c r="AA10" i="14"/>
  <c r="J19" i="14"/>
  <c r="I24" i="14"/>
  <c r="J14" i="14"/>
  <c r="L24" i="14"/>
  <c r="AA9" i="14"/>
  <c r="L17" i="14"/>
  <c r="K19" i="14"/>
  <c r="M24" i="14"/>
  <c r="M5" i="14"/>
  <c r="V15" i="14"/>
  <c r="J23" i="14"/>
  <c r="J15" i="14"/>
  <c r="K23" i="14"/>
  <c r="L6" i="14"/>
  <c r="AA11" i="14"/>
  <c r="I18" i="14"/>
  <c r="O3" i="14"/>
  <c r="Y4" i="14"/>
  <c r="N6" i="14"/>
  <c r="V8" i="14"/>
  <c r="J18" i="14"/>
  <c r="N19" i="14"/>
  <c r="K22" i="14"/>
  <c r="L23" i="14"/>
  <c r="M6" i="14"/>
  <c r="Z4" i="14"/>
  <c r="O6" i="14"/>
  <c r="K18" i="14"/>
  <c r="N22" i="14"/>
  <c r="M23" i="14"/>
  <c r="U3" i="14"/>
  <c r="K5" i="14"/>
  <c r="J6" i="14"/>
  <c r="V14" i="14"/>
  <c r="L18" i="14"/>
  <c r="O22" i="14"/>
  <c r="N23" i="14"/>
  <c r="J25" i="14"/>
  <c r="M18" i="14"/>
  <c r="I6" i="14"/>
  <c r="J17" i="14"/>
  <c r="N18" i="14"/>
  <c r="Z3" i="14"/>
  <c r="AA2" i="14"/>
  <c r="I3" i="14"/>
  <c r="AA3" i="14"/>
  <c r="M4" i="14"/>
  <c r="K17" i="14"/>
  <c r="I19" i="14"/>
  <c r="O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I2" i="14"/>
  <c r="U2" i="14"/>
  <c r="O4" i="14"/>
  <c r="AA4" i="14"/>
  <c r="U9" i="14"/>
  <c r="U10" i="14"/>
  <c r="U11" i="14"/>
  <c r="V12" i="14"/>
  <c r="J13" i="14"/>
  <c r="M17" i="14"/>
  <c r="J20" i="14"/>
  <c r="I21" i="14"/>
  <c r="N24" i="14"/>
  <c r="M25" i="14"/>
  <c r="J2" i="14"/>
  <c r="V2" i="14"/>
  <c r="V9" i="14"/>
  <c r="V10" i="14"/>
  <c r="V11" i="14"/>
  <c r="L19" i="14"/>
  <c r="K20" i="14"/>
  <c r="J21" i="14"/>
  <c r="I22" i="14"/>
  <c r="O24" i="14"/>
  <c r="N25" i="14"/>
  <c r="J3" i="11"/>
  <c r="K3" i="11" s="1"/>
  <c r="J12" i="11"/>
  <c r="K12" i="11" s="1"/>
  <c r="L12" i="11" s="1"/>
  <c r="P5" i="15"/>
  <c r="R10" i="15"/>
  <c r="K2" i="14"/>
  <c r="W2" i="14"/>
  <c r="J3" i="14"/>
  <c r="V3" i="14"/>
  <c r="I4" i="14"/>
  <c r="U4" i="14"/>
  <c r="W9" i="14"/>
  <c r="W10" i="14"/>
  <c r="W11" i="14"/>
  <c r="O17" i="14"/>
  <c r="M19" i="14"/>
  <c r="L20" i="14"/>
  <c r="K21" i="14"/>
  <c r="J22" i="14"/>
  <c r="O25" i="14"/>
  <c r="L2" i="14"/>
  <c r="X2" i="14"/>
  <c r="J4" i="14"/>
  <c r="V4" i="14"/>
  <c r="V5" i="14"/>
  <c r="V6" i="14"/>
  <c r="X9" i="14"/>
  <c r="X10" i="14"/>
  <c r="X11" i="14"/>
  <c r="M20" i="14"/>
  <c r="L21" i="14"/>
  <c r="J2" i="11"/>
  <c r="K2" i="11" s="1"/>
  <c r="L2" i="11" s="1"/>
  <c r="O2" i="11" s="1"/>
  <c r="M2" i="14"/>
  <c r="Y2" i="14"/>
  <c r="L3" i="14"/>
  <c r="X3" i="14"/>
  <c r="K4" i="14"/>
  <c r="W4" i="14"/>
  <c r="Y9" i="14"/>
  <c r="Y10" i="14"/>
  <c r="Y11" i="14"/>
  <c r="V16" i="14"/>
  <c r="I17" i="14"/>
  <c r="N20" i="14"/>
  <c r="M21" i="14"/>
  <c r="L22" i="14"/>
  <c r="J24" i="14"/>
  <c r="I25" i="14"/>
  <c r="I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<sst xmlns="http://schemas.openxmlformats.org/spreadsheetml/2006/main" count="901" uniqueCount="329">
  <si>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</si>
  <si>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</si>
  <si>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</si>
  <si>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</si>
  <si>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</si>
  <si>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</si>
  <si>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</si>
  <si>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</si>
  <si>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</si>
  <si>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</si>
  <si>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</si>
  <si>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</si>
  <si>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</si>
  <si>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</si>
  <si>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</si>
  <si>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</si>
  <si>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</si>
  <si>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</si>
  <si>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</si>
  <si>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</si>
  <si>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</si>
  <si>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</si>
  <si>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</si>
  <si>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</si>
  <si>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</si>
  <si>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</si>
  <si>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</si>
  <si>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</si>
  <si>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</si>
  <si>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</si>
  <si>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</si>
  <si>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</si>
  <si>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</si>
  <si>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</si>
  <si>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</si>
  <si>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</si>
  <si>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</si>
  <si>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</si>
  <si>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</si>
  <si>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</si>
  <si>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</si>
  <si>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</si>
  <si>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</si>
  <si>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</si>
  <si>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</si>
  <si>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</si>
  <si>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</si>
  <si>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</si>
  <si>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</si>
  <si>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</si>
  <si>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</si>
  <si>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</si>
  <si>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</si>
  <si>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</si>
  <si>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</si>
  <si>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</si>
  <si>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</si>
  <si>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</si>
  <si>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</si>
  <si>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</si>
  <si>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</si>
  <si>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</si>
  <si>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</si>
  <si>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</si>
  <si>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</si>
  <si>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</si>
  <si>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</si>
  <si>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</si>
  <si>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</si>
  <si>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</si>
  <si>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</si>
  <si>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</si>
  <si>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</si>
  <si>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</si>
  <si>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</si>
  <si>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</si>
  <si>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</si>
  <si>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</si>
  <si>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</si>
  <si>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</si>
  <si>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</si>
  <si>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</si>
  <si>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</si>
  <si>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</si>
  <si>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</si>
  <si>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</si>
  <si>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</si>
  <si>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</si>
  <si>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</si>
  <si>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</si>
  <si>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</si>
  <si>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</si>
  <si>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</si>
  <si>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</si>
  <si>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</si>
  <si>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</si>
  <si>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</si>
  <si>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</si>
  <si>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</si>
  <si>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</si>
  <si>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</si>
  <si>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</si>
  <si>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</si>
  <si>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</si>
  <si>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</si>
  <si>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</si>
  <si>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</si>
  <si>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</si>
  <si>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</si>
  <si>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</si>
  <si>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</si>
  <si>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</si>
  <si>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</si>
  <si>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</si>
  <si>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</si>
  <si>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</si>
  <si>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</si>
  <si>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</si>
  <si>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</si>
  <si>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</si>
  <si>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</si>
  <si>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</si>
  <si>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</si>
  <si>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</si>
  <si>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</si>
  <si>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</si>
  <si>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</si>
  <si>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</si>
  <si>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</si>
  <si>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</si>
  <si>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</si>
  <si>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</si>
  <si>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</si>
  <si>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</si>
  <si>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</si>
  <si>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</si>
  <si>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</si>
  <si>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</si>
  <si>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</si>
  <si>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</si>
  <si>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</si>
  <si>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</si>
  <si>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</si>
  <si>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</si>
  <si>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</si>
  <si>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</si>
  <si>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</si>
  <si>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</si>
  <si>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</si>
  <si>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</si>
  <si>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</si>
  <si>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</si>
  <si>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</si>
  <si>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</si>
  <si>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</si>
  <si>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</si>
  <si>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</si>
  <si>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</si>
  <si>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</si>
  <si>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</si>
  <si>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</si>
  <si>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</si>
  <si>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</si>
  <si>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</si>
  <si>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</si>
  <si>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</si>
  <si>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</si>
  <si>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</si>
  <si>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</si>
  <si>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</si>
  <si>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</si>
  <si>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</si>
  <si>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</si>
  <si>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</si>
  <si>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</si>
  <si>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</si>
  <si>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</si>
  <si>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</si>
  <si>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</si>
  <si>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</si>
  <si>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</si>
  <si>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</si>
  <si>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</si>
  <si>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</si>
  <si>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</si>
  <si>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</si>
  <si>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</si>
  <si>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</si>
  <si>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</si>
  <si>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</si>
  <si>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</si>
  <si>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</si>
  <si>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</si>
  <si>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</si>
  <si>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</si>
  <si>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</si>
  <si>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</si>
  <si>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</si>
  <si>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</si>
  <si>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</si>
  <si>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</si>
  <si>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</si>
  <si>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</si>
  <si>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</si>
  <si>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</si>
  <si>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</si>
  <si>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</si>
  <si>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</si>
  <si>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</si>
  <si>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</si>
  <si>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</si>
  <si>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</si>
  <si>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</si>
  <si>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</si>
  <si>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</si>
  <si>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</si>
  <si>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</si>
  <si>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</si>
  <si>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</si>
  <si>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</si>
  <si>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</si>
  <si>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</si>
  <si>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</si>
  <si>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</si>
  <si>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</si>
  <si>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</si>
  <si>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</si>
  <si>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</si>
  <si>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</si>
  <si>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</si>
  <si>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</si>
  <si>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</si>
  <si>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</si>
  <si>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</si>
  <si>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</si>
  <si>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</si>
  <si>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</si>
  <si>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</si>
  <si>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</si>
  <si>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</si>
  <si>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</si>
  <si>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</si>
  <si>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</si>
  <si>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</si>
  <si>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</si>
  <si>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</si>
  <si>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</si>
  <si>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</si>
  <si>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</si>
  <si>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</si>
  <si>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</si>
  <si>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</si>
  <si>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</si>
  <si>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</si>
  <si>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</si>
  <si>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</si>
  <si>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</si>
  <si>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</si>
  <si>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</si>
  <si>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</si>
  <si>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</si>
  <si>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</si>
  <si>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</si>
  <si>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</si>
  <si>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</si>
  <si>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</si>
  <si>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</si>
  <si>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</si>
  <si>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</si>
  <si>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</si>
  <si>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</si>
  <si>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</si>
  <si>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</si>
  <si>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</si>
  <si>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</si>
  <si>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</si>
  <si>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</si>
  <si>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</si>
  <si>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</si>
  <si>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</si>
  <si>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</si>
  <si>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</si>
  <si>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</si>
  <si>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</si>
  <si>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</si>
  <si>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</si>
  <si>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</si>
  <si>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</si>
  <si>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</si>
  <si>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</si>
  <si>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</si>
  <si>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</si>
  <si>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</si>
  <si>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</si>
  <si>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</si>
  <si>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</si>
  <si>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</si>
  <si>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</si>
  <si>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</si>
  <si>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</si>
  <si>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</si>
  <si>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</si>
  <si>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</si>
  <si>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</si>
  <si>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</si>
  <si>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</si>
  <si>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</si>
  <si>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</si>
  <si>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</si>
  <si>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</si>
  <si>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</si>
  <si>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</si>
  <si>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</si>
  <si>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</si>
  <si>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</si>
  <si>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</si>
  <si>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idEXP</t>
  </si>
  <si>
    <t>E1</t>
  </si>
  <si>
    <t>PE</t>
  </si>
  <si>
    <t>E2</t>
  </si>
  <si>
    <t>E3</t>
  </si>
  <si>
    <t>E4</t>
  </si>
  <si>
    <t>E5</t>
  </si>
  <si>
    <t>NPE</t>
  </si>
  <si>
    <t>E6</t>
  </si>
  <si>
    <t>:Assts:</t>
  </si>
  <si>
    <t>1, 1</t>
  </si>
  <si>
    <t>ID</t>
  </si>
  <si>
    <t>Eureka!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</si>
</sst>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22</v>
      </c>
      <c r="B1" s="1" t="s">
        <v>21</v>
      </c>
    </row>
    <row r="2" spans="1:2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x14ac:dyDescent="0.25">
      <c r="A35" s="3" t="s">
        <v>49</v>
      </c>
      <c r="B35" s="2">
        <v>0.15</v>
      </c>
    </row>
    <row r="36" spans="1:2" x14ac:dyDescent="0.25">
      <c r="A36" s="3" t="s">
        <v>50</v>
      </c>
      <c r="B36" s="2">
        <v>0.15</v>
      </c>
    </row>
    <row r="37" spans="1:2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x14ac:dyDescent="0.25">
      <c r="A39" s="3" t="s">
        <v>53</v>
      </c>
      <c r="B39" s="2">
        <v>0.15</v>
      </c>
    </row>
    <row r="40" spans="1:2" x14ac:dyDescent="0.25">
      <c r="A40" s="3" t="s">
        <v>54</v>
      </c>
      <c r="B40" s="2">
        <v>0.15</v>
      </c>
    </row>
    <row r="41" spans="1:2" x14ac:dyDescent="0.25">
      <c r="A41" s="3" t="s">
        <v>55</v>
      </c>
      <c r="B41" s="2">
        <v>0.15</v>
      </c>
    </row>
    <row r="42" spans="1:2" x14ac:dyDescent="0.25">
      <c r="A42" s="3" t="s">
        <v>56</v>
      </c>
      <c r="B42" s="2">
        <v>0.15</v>
      </c>
    </row>
    <row r="43" spans="1:2" x14ac:dyDescent="0.25">
      <c r="A43" s="3" t="s">
        <v>57</v>
      </c>
      <c r="B43" s="2">
        <v>0.15</v>
      </c>
    </row>
    <row r="44" spans="1:2" x14ac:dyDescent="0.25">
      <c r="A44" s="3" t="s">
        <v>58</v>
      </c>
      <c r="B44" s="2">
        <v>0.15</v>
      </c>
    </row>
    <row r="45" spans="1:2" x14ac:dyDescent="0.25">
      <c r="A45" s="3" t="s">
        <v>59</v>
      </c>
      <c r="B45" s="2">
        <v>0.15</v>
      </c>
    </row>
    <row r="46" spans="1:2" x14ac:dyDescent="0.25">
      <c r="A46" s="3" t="s">
        <v>60</v>
      </c>
      <c r="B46" s="2">
        <v>0.15</v>
      </c>
    </row>
    <row r="47" spans="1:2" x14ac:dyDescent="0.25">
      <c r="A47" s="3" t="s">
        <v>61</v>
      </c>
      <c r="B47" s="2">
        <v>0.2</v>
      </c>
    </row>
    <row r="48" spans="1:2" x14ac:dyDescent="0.25">
      <c r="A48" s="3" t="s">
        <v>62</v>
      </c>
      <c r="B48" s="2">
        <v>0.2</v>
      </c>
    </row>
    <row r="49" spans="1:2" x14ac:dyDescent="0.25">
      <c r="A49" s="3" t="s">
        <v>63</v>
      </c>
      <c r="B49" s="2">
        <v>0.2</v>
      </c>
    </row>
    <row r="50" spans="1:2" x14ac:dyDescent="0.25">
      <c r="A50" s="3" t="s">
        <v>64</v>
      </c>
      <c r="B50" s="2">
        <v>0.2</v>
      </c>
    </row>
    <row r="51" spans="1:2" x14ac:dyDescent="0.25">
      <c r="A51" s="3" t="s">
        <v>24</v>
      </c>
      <c r="B51" s="2">
        <v>0.25</v>
      </c>
    </row>
    <row r="52" spans="1:2" x14ac:dyDescent="0.25">
      <c r="A52" s="3" t="s">
        <v>25</v>
      </c>
      <c r="B52" s="2">
        <v>0.25</v>
      </c>
    </row>
    <row r="53" spans="1:2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E1" sqref="E1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18" t="s">
        <v>206</v>
      </c>
      <c r="B1" s="18" t="s">
        <v>207</v>
      </c>
      <c r="C1" s="18" t="s">
        <v>208</v>
      </c>
      <c r="D1" s="18" t="s">
        <v>209</v>
      </c>
      <c r="E1" s="18" t="s">
        <v>210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240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14" t="s">
        <v>227</v>
      </c>
      <c r="Q1" s="19" t="s">
        <v>228</v>
      </c>
      <c r="R1" s="14" t="s">
        <v>229</v>
      </c>
      <c r="S1" s="14" t="s">
        <v>230</v>
      </c>
      <c r="T1" s="19" t="s">
        <v>231</v>
      </c>
      <c r="U1" s="14" t="s">
        <v>232</v>
      </c>
      <c r="V1" s="14" t="s">
        <v>233</v>
      </c>
      <c r="W1" s="19" t="s">
        <v>234</v>
      </c>
      <c r="X1" s="14" t="s">
        <v>235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>
        <v>6</v>
      </c>
      <c r="B2" t="s">
        <v>9</v>
      </c>
      <c r="C2" t="s">
        <v>269</v>
      </c>
      <c r="D2" t="s">
        <v>270</v>
      </c>
      <c r="E2" t="s">
        <v>85</v>
      </c>
      <c r="F2">
        <v>1</v>
      </c>
      <c r="G2" t="s">
        <v>17</v>
      </c>
      <c r="H2" t="s">
        <v>12</v>
      </c>
      <c r="I2" t="s">
        <v>14</v>
      </c>
      <c r="J2">
        <v>100</v>
      </c>
      <c r="K2">
        <v>1</v>
      </c>
      <c r="L2" s="25">
        <v>350</v>
      </c>
      <c r="M2" s="5">
        <v>0</v>
      </c>
      <c r="N2">
        <v>1</v>
      </c>
      <c r="O2">
        <f>L2</f>
        <v>350</v>
      </c>
      <c r="Y2">
        <v>50</v>
      </c>
      <c r="Z2">
        <f>$O2*Y2/100</f>
        <v>175</v>
      </c>
      <c r="AA2">
        <v>80</v>
      </c>
      <c r="AB2">
        <f>$O2*AA2/100</f>
        <v>280</v>
      </c>
      <c r="AC2">
        <f>IFERROR(Y2/AA2,0)</f>
        <v>0.625</v>
      </c>
    </row>
    <row r="3" spans="1:29" x14ac:dyDescent="0.25">
      <c r="A3">
        <v>6</v>
      </c>
      <c r="B3" t="s">
        <v>9</v>
      </c>
      <c r="C3" t="s">
        <v>274</v>
      </c>
      <c r="D3" t="s">
        <v>272</v>
      </c>
      <c r="E3" t="s">
        <v>86</v>
      </c>
      <c r="F3">
        <v>4</v>
      </c>
      <c r="G3" t="s">
        <v>17</v>
      </c>
      <c r="H3" t="s">
        <v>12</v>
      </c>
      <c r="I3" t="s">
        <v>67</v>
      </c>
      <c r="J3">
        <v>300</v>
      </c>
      <c r="K3">
        <v>1</v>
      </c>
      <c r="L3" s="25">
        <v>300</v>
      </c>
      <c r="M3" s="5">
        <v>0.05</v>
      </c>
      <c r="N3">
        <v>1</v>
      </c>
      <c r="O3" s="25">
        <f>L3</f>
        <v>300</v>
      </c>
      <c r="Y3">
        <v>50</v>
      </c>
      <c r="Z3">
        <f>$O3*Y3/100</f>
        <v>150</v>
      </c>
      <c r="AA3">
        <v>60</v>
      </c>
      <c r="AB3">
        <f>$O3*AA3/100</f>
        <v>180</v>
      </c>
      <c r="AC3">
        <f>IFERROR(Y3/AA3,0)</f>
        <v>0.83333333333333337</v>
      </c>
    </row>
    <row r="4" spans="1:29" x14ac:dyDescent="0.25">
      <c r="A4">
        <v>6</v>
      </c>
      <c r="B4" t="s">
        <v>9</v>
      </c>
      <c r="C4" t="s">
        <v>275</v>
      </c>
      <c r="D4" t="s">
        <v>270</v>
      </c>
      <c r="E4" t="s">
        <v>87</v>
      </c>
      <c r="F4">
        <v>5</v>
      </c>
      <c r="G4" t="s">
        <v>16</v>
      </c>
      <c r="H4" t="s">
        <v>12</v>
      </c>
      <c r="I4" t="s">
        <v>14</v>
      </c>
      <c r="J4">
        <v>200</v>
      </c>
      <c r="K4">
        <v>1</v>
      </c>
      <c r="L4" s="25">
        <v>1600</v>
      </c>
      <c r="M4" s="5">
        <v>0</v>
      </c>
      <c r="N4">
        <v>1</v>
      </c>
      <c r="O4" s="25">
        <f>L4</f>
        <v>1600</v>
      </c>
      <c r="Y4">
        <v>50</v>
      </c>
      <c r="Z4">
        <f>$O4*Y4/100</f>
        <v>800</v>
      </c>
      <c r="AA4">
        <v>70</v>
      </c>
      <c r="AB4">
        <f>$O4*AA4/100</f>
        <v>1120</v>
      </c>
      <c r="AC4">
        <f>IFERROR(Y4/AA4,0)</f>
        <v>0.7142857142857143</v>
      </c>
    </row>
    <row r="5" spans="1:29" x14ac:dyDescent="0.25">
      <c r="A5">
        <v>6</v>
      </c>
      <c r="B5" t="s">
        <v>9</v>
      </c>
      <c r="C5" t="s">
        <v>276</v>
      </c>
      <c r="D5" t="s">
        <v>272</v>
      </c>
      <c r="E5" t="s">
        <v>88</v>
      </c>
      <c r="F5">
        <v>6</v>
      </c>
      <c r="G5" t="s">
        <v>15</v>
      </c>
      <c r="H5" t="s">
        <v>13</v>
      </c>
      <c r="I5" t="s">
        <v>42</v>
      </c>
      <c r="J5">
        <v>250</v>
      </c>
      <c r="K5">
        <v>1</v>
      </c>
      <c r="L5" s="25">
        <v>250</v>
      </c>
      <c r="M5" s="5">
        <v>0.15</v>
      </c>
      <c r="N5">
        <v>1</v>
      </c>
      <c r="O5" s="25">
        <f>L5</f>
        <v>250</v>
      </c>
      <c r="Y5">
        <v>70</v>
      </c>
      <c r="Z5">
        <f>$O5*Y5/100</f>
        <v>175</v>
      </c>
      <c r="AA5">
        <v>70</v>
      </c>
      <c r="AB5">
        <f>$O5*AA5/100</f>
        <v>175</v>
      </c>
      <c r="AC5">
        <f>IFERROR(Y5/AA5,0)</f>
        <v>1</v>
      </c>
    </row>
    <row r="6" spans="1:29" x14ac:dyDescent="0.25">
      <c r="A6">
        <v>6</v>
      </c>
      <c r="B6" t="s">
        <v>9</v>
      </c>
      <c r="C6" t="s">
        <v>277</v>
      </c>
      <c r="D6" t="s">
        <v>270</v>
      </c>
      <c r="E6" t="s">
        <v>89</v>
      </c>
      <c r="F6">
        <v>7</v>
      </c>
      <c r="G6" t="s">
        <v>18</v>
      </c>
      <c r="H6" t="s">
        <v>13</v>
      </c>
      <c r="I6" t="s">
        <v>14</v>
      </c>
      <c r="J6">
        <v>400</v>
      </c>
      <c r="K6">
        <v>1</v>
      </c>
      <c r="L6" s="25">
        <v>400</v>
      </c>
      <c r="M6" s="5">
        <v>0</v>
      </c>
      <c r="N6">
        <v>1</v>
      </c>
      <c r="O6" s="25">
        <f>L6</f>
        <v>400</v>
      </c>
      <c r="Y6">
        <v>80</v>
      </c>
      <c r="Z6">
        <f>$O6*Y6/100</f>
        <v>320</v>
      </c>
      <c r="AA6">
        <v>80</v>
      </c>
      <c r="AB6">
        <f>$O6*AA6/100</f>
        <v>320</v>
      </c>
      <c r="AC6">
        <f>IFERROR(Y6/AA6,0)</f>
        <v>1</v>
      </c>
    </row>
    <row r="7" spans="1:29" x14ac:dyDescent="0.25">
      <c r="A7">
        <v>6</v>
      </c>
      <c r="B7" t="s">
        <v>9</v>
      </c>
      <c r="C7" t="s">
        <v>278</v>
      </c>
      <c r="D7" t="s">
        <v>272</v>
      </c>
      <c r="E7" t="s">
        <v>90</v>
      </c>
      <c r="F7">
        <v>8</v>
      </c>
      <c r="G7" t="s">
        <v>17</v>
      </c>
      <c r="H7" t="s">
        <v>13</v>
      </c>
      <c r="I7" t="s">
        <v>67</v>
      </c>
      <c r="J7">
        <v>600</v>
      </c>
      <c r="K7">
        <v>1</v>
      </c>
      <c r="L7" s="25">
        <v>600</v>
      </c>
      <c r="M7" s="5">
        <v>0.05</v>
      </c>
      <c r="N7">
        <v>1</v>
      </c>
      <c r="O7" s="25">
        <f>L7</f>
        <v>600</v>
      </c>
      <c r="Y7">
        <v>90</v>
      </c>
      <c r="Z7">
        <f>$O7*Y7/100</f>
        <v>540</v>
      </c>
      <c r="AA7">
        <v>90</v>
      </c>
      <c r="AB7">
        <f>$O7*AA7/100</f>
        <v>540</v>
      </c>
      <c r="AC7">
        <f>IFERROR(Y7/AA7,0)</f>
        <v>1</v>
      </c>
    </row>
    <row r="8" spans="1:29" x14ac:dyDescent="0.25">
      <c r="A8">
        <v>6</v>
      </c>
      <c r="B8" t="s">
        <v>9</v>
      </c>
      <c r="C8" t="s">
        <v>273</v>
      </c>
      <c r="D8" t="s">
        <v>272</v>
      </c>
      <c r="E8" t="s">
        <v>94</v>
      </c>
      <c r="F8">
        <v>3</v>
      </c>
      <c r="G8" t="s">
        <v>17</v>
      </c>
      <c r="H8" t="s">
        <v>12</v>
      </c>
      <c r="I8" t="s">
        <v>51</v>
      </c>
      <c r="J8">
        <v>800</v>
      </c>
      <c r="K8">
        <v>1</v>
      </c>
      <c r="L8" s="25">
        <v>800</v>
      </c>
      <c r="M8" s="5">
        <v>0.15</v>
      </c>
      <c r="N8">
        <v>1</v>
      </c>
      <c r="O8" s="25">
        <f>L8</f>
        <v>800</v>
      </c>
      <c r="Y8">
        <v>50</v>
      </c>
      <c r="Z8">
        <f>$O8*Y8/100</f>
        <v>400</v>
      </c>
      <c r="AA8">
        <v>60</v>
      </c>
      <c r="AB8">
        <f>$O8*AA8/100</f>
        <v>480</v>
      </c>
      <c r="AC8">
        <f>IFERROR(Y8/AA8,0)</f>
        <v>0.83333333333333337</v>
      </c>
    </row>
    <row r="9" spans="1:29" x14ac:dyDescent="0.25">
      <c r="A9">
        <v>6</v>
      </c>
      <c r="B9" t="s">
        <v>9</v>
      </c>
      <c r="C9" t="s">
        <v>271</v>
      </c>
      <c r="D9" t="s">
        <v>272</v>
      </c>
      <c r="E9" t="s">
        <v>95</v>
      </c>
      <c r="F9">
        <v>2</v>
      </c>
      <c r="G9" t="s">
        <v>17</v>
      </c>
      <c r="H9" t="s">
        <v>12</v>
      </c>
      <c r="I9" t="s">
        <v>29</v>
      </c>
      <c r="J9">
        <v>950</v>
      </c>
      <c r="K9">
        <v>1</v>
      </c>
      <c r="L9" s="25">
        <v>950</v>
      </c>
      <c r="M9" s="5">
        <v>7.0000000000000007E-2</v>
      </c>
      <c r="N9">
        <v>1</v>
      </c>
      <c r="O9" s="25">
        <f>L9</f>
        <v>950</v>
      </c>
      <c r="Y9">
        <v>50</v>
      </c>
      <c r="Z9">
        <f>$O9*Y9/100</f>
        <v>475</v>
      </c>
      <c r="AA9">
        <v>60</v>
      </c>
      <c r="AB9">
        <f>$O9*AA9/100</f>
        <v>570</v>
      </c>
      <c r="AC9">
        <f>IFERROR(Y9/AA9,0)</f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7" t="s">
        <v>206</v>
      </c>
      <c r="B1" s="27" t="s">
        <v>207</v>
      </c>
      <c r="C1" s="29" t="s">
        <v>313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261</v>
      </c>
      <c r="I1" s="28" t="s">
        <v>262</v>
      </c>
      <c r="J1" s="26" t="s">
        <v>263</v>
      </c>
      <c r="K1" s="25" t="s">
        <v>315</v>
      </c>
    </row>
    <row r="2" spans="1:11" x14ac:dyDescent="0.25">
      <c r="A2" s="25">
        <v>6</v>
      </c>
      <c r="B2" s="25" t="s">
        <v>9</v>
      </c>
      <c r="C2" s="25" t="s">
        <v>317</v>
      </c>
      <c r="D2" s="25" t="s">
        <v>318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x14ac:dyDescent="0.25">
      <c r="A3" s="25">
        <v>6</v>
      </c>
      <c r="B3" s="25" t="s">
        <v>9</v>
      </c>
      <c r="C3" s="25" t="s">
        <v>319</v>
      </c>
      <c r="D3" s="25" t="s">
        <v>318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x14ac:dyDescent="0.25">
      <c r="A4" s="25">
        <v>6</v>
      </c>
      <c r="B4" s="25" t="s">
        <v>9</v>
      </c>
      <c r="C4" s="25" t="s">
        <v>320</v>
      </c>
      <c r="D4" s="25" t="s">
        <v>318</v>
      </c>
      <c r="E4" s="25" t="s">
        <v>42</v>
      </c>
      <c r="F4" s="25">
        <v>0.15</v>
      </c>
      <c r="G4" s="25">
        <v>-500</v>
      </c>
      <c r="H4" s="25"/>
      <c r="I4" s="25"/>
      <c r="J4" s="25"/>
      <c r="K4" s="25">
        <v>2</v>
      </c>
    </row>
    <row r="5" spans="1:11" x14ac:dyDescent="0.25">
      <c r="A5" s="25">
        <v>6</v>
      </c>
      <c r="B5" s="25" t="s">
        <v>9</v>
      </c>
      <c r="C5" s="25" t="s">
        <v>321</v>
      </c>
      <c r="D5" s="25" t="s">
        <v>318</v>
      </c>
      <c r="E5" s="25" t="s">
        <v>63</v>
      </c>
      <c r="F5" s="25">
        <v>0.2</v>
      </c>
      <c r="G5" s="25">
        <v>-400</v>
      </c>
      <c r="H5" s="25"/>
      <c r="I5" s="25"/>
      <c r="J5" s="25"/>
      <c r="K5" s="25">
        <v>3</v>
      </c>
    </row>
    <row r="6" spans="1:11" x14ac:dyDescent="0.25">
      <c r="A6" s="25">
        <v>6</v>
      </c>
      <c r="B6" s="25" t="s">
        <v>9</v>
      </c>
      <c r="C6" s="25" t="s">
        <v>322</v>
      </c>
      <c r="D6" s="25" t="s">
        <v>323</v>
      </c>
      <c r="E6" s="25" t="s">
        <v>14</v>
      </c>
      <c r="F6" s="25">
        <v>0</v>
      </c>
      <c r="G6" s="25">
        <v>-200</v>
      </c>
      <c r="H6" s="25"/>
      <c r="I6" s="25"/>
      <c r="J6" s="25"/>
      <c r="K6" s="25">
        <v>4</v>
      </c>
    </row>
    <row r="7" spans="1:11" x14ac:dyDescent="0.25">
      <c r="A7" s="25">
        <v>6</v>
      </c>
      <c r="B7" s="25" t="s">
        <v>9</v>
      </c>
      <c r="C7" s="25" t="s">
        <v>324</v>
      </c>
      <c r="D7" s="25" t="s">
        <v>323</v>
      </c>
      <c r="E7" s="25" t="s">
        <v>67</v>
      </c>
      <c r="F7" s="25">
        <v>0.05</v>
      </c>
      <c r="G7" s="25">
        <v>-100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abSelected="1" topLeftCell="A4" workbookViewId="0">
      <selection activeCell="H20" sqref="H20:H30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x14ac:dyDescent="0.25">
      <c r="A3">
        <v>66</v>
      </c>
      <c r="B3" t="str">
        <f t="shared" ref="B3:B27" si="0">CHAR(A3)</f>
        <v>B</v>
      </c>
      <c r="D3" t="s">
        <v>206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207</v>
      </c>
      <c r="E4" t="s">
        <v>132</v>
      </c>
      <c r="F4" t="str">
        <f>$R$43&amp;G4</f>
        <v>idECI</v>
      </c>
      <c r="G4" t="s">
        <v>175</v>
      </c>
      <c r="I4" t="s">
        <v>226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208</v>
      </c>
      <c r="E5" t="s">
        <v>132</v>
      </c>
      <c r="F5" t="str">
        <f>$R$43&amp;G5</f>
        <v>idACC</v>
      </c>
      <c r="G5" t="s">
        <v>211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209</v>
      </c>
      <c r="E6" t="s">
        <v>132</v>
      </c>
      <c r="F6" t="str">
        <f>$R$43&amp;G6</f>
        <v>idBSC</v>
      </c>
      <c r="G6" t="s">
        <v>212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210</v>
      </c>
      <c r="E7" t="s">
        <v>132</v>
      </c>
      <c r="F7" t="str">
        <f>$R$43&amp;G7</f>
        <v>idINST</v>
      </c>
      <c r="G7" t="s">
        <v>213</v>
      </c>
      <c r="I7" s="10" t="s">
        <v>222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223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224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6" t="s">
        <v>215</v>
      </c>
      <c r="E18" t="s">
        <v>133</v>
      </c>
      <c r="F18" t="str">
        <f>$R44&amp;G18</f>
        <v>hcOverrideARR</v>
      </c>
      <c r="G18" t="s">
        <v>180</v>
      </c>
      <c r="H18" t="s">
        <v>225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5" t="s">
        <v>216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7" t="s">
        <v>217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4" t="s">
        <v>218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7" t="s">
        <v>219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5" t="s">
        <v>220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4" t="s">
        <v>221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214</v>
      </c>
    </row>
    <row r="44" spans="18:18" x14ac:dyDescent="0.25">
      <c r="R44" t="s">
        <v>157</v>
      </c>
    </row>
    <row r="45" spans="18:18" x14ac:dyDescent="0.25">
      <c r="R45" t="s">
        <v>158</v>
      </c>
    </row>
    <row r="46" spans="18:18" x14ac:dyDescent="0.25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topLeftCell="AH1" zoomScaleNormal="100" workbookViewId="0">
      <selection activeCell="AP2" sqref="AP2:AP18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18" bestFit="1" customWidth="1"/>
    <col min="5" max="5" width="7.6640625" bestFit="1" customWidth="1"/>
    <col min="6" max="6" width="13.88671875" hidden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18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6"/>
      <c r="D1" s="6" t="s">
        <v>103</v>
      </c>
      <c r="E1" s="6" t="s">
        <v>101</v>
      </c>
      <c r="F1" s="6" t="s">
        <v>139</v>
      </c>
      <c r="H1" t="s">
        <v>243</v>
      </c>
      <c r="I1" t="s">
        <v>10</v>
      </c>
      <c r="L1" t="s">
        <v>244</v>
      </c>
      <c r="O1" t="s">
        <v>246</v>
      </c>
      <c r="Q1" s="18" t="s">
        <v>78</v>
      </c>
      <c r="R1" t="s">
        <v>101</v>
      </c>
      <c r="S1" t="s">
        <v>139</v>
      </c>
      <c r="U1" t="s">
        <v>172</v>
      </c>
      <c r="X1" t="s">
        <v>245</v>
      </c>
      <c r="AA1" t="s">
        <v>246</v>
      </c>
      <c r="AK1" t="s">
        <v>294</v>
      </c>
      <c r="AO1" t="s">
        <v>310</v>
      </c>
      <c r="AR1" t="s">
        <v>312</v>
      </c>
      <c r="AU1" t="s">
        <v>246</v>
      </c>
    </row>
    <row r="2" spans="1:48" x14ac:dyDescent="0.25">
      <c r="A2">
        <v>65</v>
      </c>
      <c r="B2" t="str">
        <f>IF(A2&lt;91,CHAR(A2),"A"&amp;CHAR(A2-26))</f>
        <v>A</v>
      </c>
      <c r="C2" t="s">
        <v>314</v>
      </c>
      <c r="D2" s="18" t="s">
        <v>206</v>
      </c>
      <c r="E2" t="s">
        <v>132</v>
      </c>
      <c r="F2" t="str">
        <f>$AI$2&amp;G2</f>
        <v>idARR</v>
      </c>
      <c r="G2" t="s">
        <v>180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18" t="s">
        <v>206</v>
      </c>
      <c r="R2" t="s">
        <v>132</v>
      </c>
      <c r="S2" t="str">
        <f>$AI$2&amp;T2</f>
        <v>idARR</v>
      </c>
      <c r="T2" t="s">
        <v>180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214</v>
      </c>
      <c r="AK2" s="8" t="s">
        <v>75</v>
      </c>
      <c r="AL2" t="s">
        <v>132</v>
      </c>
      <c r="AM2" t="s">
        <v>299</v>
      </c>
      <c r="AO2" t="str">
        <f t="shared" ref="AO2:AO4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"Long"),"s."&amp; AM2 &amp;" = assign(sc." &amp; AM2 &amp; ", i)","s."&amp; AM2 &amp;" = s."&amp; AM2 &amp;" + assign(sc." &amp; AM2 &amp; ", i)")</f>
        <v>s.step = assign(sc.step, i)</v>
      </c>
      <c r="AU2" t="str">
        <f>"Call "&amp;$AA$1&amp;"(sc." &amp;AM2 &amp; ", row, var." &amp; AM2 &amp;")"</f>
        <v>Call store(sc.step,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314</v>
      </c>
      <c r="D3" s="18" t="s">
        <v>207</v>
      </c>
      <c r="E3" t="s">
        <v>132</v>
      </c>
      <c r="F3" t="str">
        <f>$AI$2&amp;G3</f>
        <v>idECI</v>
      </c>
      <c r="G3" t="s">
        <v>175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18" t="s">
        <v>207</v>
      </c>
      <c r="R3" t="s">
        <v>132</v>
      </c>
      <c r="S3" t="str">
        <f>$AI$2&amp;T3</f>
        <v>idECI</v>
      </c>
      <c r="T3" t="s">
        <v>175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182</v>
      </c>
      <c r="AG3" s="17" t="s">
        <v>125</v>
      </c>
      <c r="AH3" t="s">
        <v>133</v>
      </c>
      <c r="AI3" t="s">
        <v>157</v>
      </c>
      <c r="AK3" s="6" t="s">
        <v>78</v>
      </c>
      <c r="AL3" t="s">
        <v>132</v>
      </c>
      <c r="AM3" t="s">
        <v>297</v>
      </c>
      <c r="AO3" s="25" t="str">
        <f t="shared" ref="AO3:AO18" si="16">"Public "&amp;AM3&amp;" As "&amp;AL3</f>
        <v>Public idExpo As String</v>
      </c>
      <c r="AP3" s="25" t="str">
        <f t="shared" ref="AP3:AP18" si="17">$V$1&amp;AM3&amp;" = """&amp;B3&amp;""""</f>
        <v>idExpo = "B"</v>
      </c>
      <c r="AQ3" s="25" t="str">
        <f t="shared" ref="AQ3:AQ18" si="18">$W$1&amp;AM3&amp;" = """&amp;AK3&amp;""""</f>
        <v>idExpo = "Expo"</v>
      </c>
      <c r="AR3" s="25" t="str">
        <f t="shared" ref="AR3:AR18" si="19">"Public "&amp;AM3&amp;" As String"</f>
        <v>Public idExpo As String</v>
      </c>
      <c r="AS3" s="25" t="str">
        <f t="shared" ref="AS3:AS18" si="20">$W$1&amp;AM3&amp;" = """&amp;AM3&amp;""""</f>
        <v>idExpo = "idExpo"</v>
      </c>
      <c r="AT3" s="25" t="str">
        <f t="shared" ref="AT3:AT18" si="21">IF(AND(AL3 &lt;&gt; "Integer",AL3 &lt;&gt; "Double",AL3 &lt;&gt; "Long"),"s."&amp; AM3 &amp;" = assign(sc." &amp; AM3 &amp; ", i)","s."&amp; AM3 &amp;" = s."&amp; AM3 &amp;" + assign(sc." &amp; AM3 &amp; ", i)")</f>
        <v>s.idExpo = assign(sc.idExpo, i)</v>
      </c>
      <c r="AU3" s="25" t="str">
        <f t="shared" ref="AU3:AU18" si="22">"Call "&amp;$AA$1&amp;"(sc." &amp;AM3 &amp; ", row, var." &amp; AM3 &amp;")"</f>
        <v>Call store(sc.idExpo, row, var.idExpo)</v>
      </c>
      <c r="AV3" s="25" t="str">
        <f t="shared" ref="AV3:AV18" si="23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314</v>
      </c>
      <c r="D4" s="18" t="s">
        <v>208</v>
      </c>
      <c r="E4" t="s">
        <v>132</v>
      </c>
      <c r="F4" t="str">
        <f>$AI$2&amp;G4</f>
        <v>idACC</v>
      </c>
      <c r="G4" t="s">
        <v>211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23" t="s">
        <v>313</v>
      </c>
      <c r="R4" t="s">
        <v>132</v>
      </c>
      <c r="S4" t="str">
        <f>$AI$2&amp;T4</f>
        <v>idEXP</v>
      </c>
      <c r="T4" t="s">
        <v>311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183</v>
      </c>
      <c r="AG4" s="15" t="s">
        <v>126</v>
      </c>
      <c r="AH4" t="s">
        <v>133</v>
      </c>
      <c r="AI4" t="s">
        <v>158</v>
      </c>
      <c r="AK4" s="6" t="s">
        <v>76</v>
      </c>
      <c r="AL4" t="s">
        <v>132</v>
      </c>
      <c r="AM4" t="s">
        <v>298</v>
      </c>
      <c r="AO4" s="25" t="str">
        <f t="shared" si="16"/>
        <v>Public idAsst As String</v>
      </c>
      <c r="AP4" s="25" t="str">
        <f t="shared" si="17"/>
        <v>idAsst = "C"</v>
      </c>
      <c r="AQ4" s="25" t="str">
        <f t="shared" si="18"/>
        <v>idAsst = "Asset"</v>
      </c>
      <c r="AR4" s="25" t="str">
        <f t="shared" si="19"/>
        <v>Public idAsst As String</v>
      </c>
      <c r="AS4" s="25" t="str">
        <f t="shared" si="20"/>
        <v>idAsst = "idAsst"</v>
      </c>
      <c r="AT4" s="25" t="str">
        <f t="shared" si="21"/>
        <v>s.idAsst = assign(sc.idAsst, i)</v>
      </c>
      <c r="AU4" s="25" t="str">
        <f t="shared" si="22"/>
        <v>Call store(sc.idAsst, row, var.idAsst)</v>
      </c>
      <c r="AV4" s="25" t="str">
        <f t="shared" si="23"/>
        <v>s.idAsst = kod</v>
      </c>
    </row>
    <row r="5" spans="1:48" x14ac:dyDescent="0.25">
      <c r="A5">
        <v>68</v>
      </c>
      <c r="B5" t="str">
        <f t="shared" si="7"/>
        <v>D</v>
      </c>
      <c r="C5" t="s">
        <v>314</v>
      </c>
      <c r="D5" s="18" t="s">
        <v>209</v>
      </c>
      <c r="E5" t="s">
        <v>132</v>
      </c>
      <c r="F5" t="str">
        <f>$AI$2&amp;G5</f>
        <v>idBSC</v>
      </c>
      <c r="G5" t="s">
        <v>212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2" t="s">
        <v>101</v>
      </c>
      <c r="R5" t="s">
        <v>132</v>
      </c>
      <c r="S5" t="s">
        <v>165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184</v>
      </c>
      <c r="AG5" s="16" t="s">
        <v>127</v>
      </c>
      <c r="AH5" t="s">
        <v>133</v>
      </c>
      <c r="AI5" t="s">
        <v>159</v>
      </c>
      <c r="AK5" t="s">
        <v>83</v>
      </c>
      <c r="AL5" t="s">
        <v>132</v>
      </c>
      <c r="AM5" t="s">
        <v>300</v>
      </c>
      <c r="AO5" s="25" t="str">
        <f t="shared" si="16"/>
        <v>Public expoCCY As String</v>
      </c>
      <c r="AP5" s="25" t="str">
        <f t="shared" si="17"/>
        <v>expoCCY = "D"</v>
      </c>
      <c r="AQ5" s="25" t="str">
        <f t="shared" si="18"/>
        <v>expoCCY = "Expo CCY"</v>
      </c>
      <c r="AR5" s="25" t="str">
        <f t="shared" si="19"/>
        <v>Public expoCCY As String</v>
      </c>
      <c r="AS5" s="25" t="str">
        <f t="shared" si="20"/>
        <v>expoCCY = "expoCCY"</v>
      </c>
      <c r="AT5" s="25" t="str">
        <f t="shared" si="21"/>
        <v>s.expoCCY = assign(sc.expoCCY, i)</v>
      </c>
      <c r="AU5" s="25" t="str">
        <f t="shared" si="22"/>
        <v>Call store(sc.expoCCY, row, var.expoCCY)</v>
      </c>
      <c r="AV5" s="25" t="str">
        <f t="shared" si="23"/>
        <v>s.expoCCY = kod</v>
      </c>
    </row>
    <row r="6" spans="1:48" x14ac:dyDescent="0.25">
      <c r="A6">
        <v>69</v>
      </c>
      <c r="B6" t="str">
        <f t="shared" si="7"/>
        <v>E</v>
      </c>
      <c r="C6" t="s">
        <v>314</v>
      </c>
      <c r="D6" s="18" t="s">
        <v>210</v>
      </c>
      <c r="E6" t="s">
        <v>132</v>
      </c>
      <c r="F6" t="str">
        <f>$AI$2&amp;G6</f>
        <v>idINST</v>
      </c>
      <c r="G6" t="s">
        <v>213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2" t="s">
        <v>22</v>
      </c>
      <c r="R6" t="s">
        <v>132</v>
      </c>
      <c r="S6" t="s">
        <v>7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185</v>
      </c>
      <c r="AG6" s="7" t="s">
        <v>284</v>
      </c>
      <c r="AK6" t="s">
        <v>84</v>
      </c>
      <c r="AL6" t="s">
        <v>132</v>
      </c>
      <c r="AM6" t="s">
        <v>301</v>
      </c>
      <c r="AO6" s="25" t="str">
        <f t="shared" si="16"/>
        <v>Public asstCCY As String</v>
      </c>
      <c r="AP6" s="25" t="str">
        <f t="shared" si="17"/>
        <v>asstCCY = "E"</v>
      </c>
      <c r="AQ6" s="25" t="str">
        <f t="shared" si="18"/>
        <v>asstCCY = "Asset CCY"</v>
      </c>
      <c r="AR6" s="25" t="str">
        <f t="shared" si="19"/>
        <v>Public asstCCY As String</v>
      </c>
      <c r="AS6" s="25" t="str">
        <f t="shared" si="20"/>
        <v>asstCCY = "asstCCY"</v>
      </c>
      <c r="AT6" s="25" t="str">
        <f t="shared" si="21"/>
        <v>s.asstCCY = assign(sc.asstCCY, i)</v>
      </c>
      <c r="AU6" s="25" t="str">
        <f t="shared" si="22"/>
        <v>Call store(sc.asstCCY, row, var.asstCCY)</v>
      </c>
      <c r="AV6" s="25" t="str">
        <f t="shared" si="23"/>
        <v>s.asstCCY = kod</v>
      </c>
    </row>
    <row r="7" spans="1:48" x14ac:dyDescent="0.25">
      <c r="A7">
        <v>70</v>
      </c>
      <c r="B7" t="str">
        <f t="shared" si="7"/>
        <v>F</v>
      </c>
      <c r="D7" s="9" t="s">
        <v>104</v>
      </c>
      <c r="E7" t="s">
        <v>132</v>
      </c>
      <c r="F7" t="s">
        <v>140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2" t="s">
        <v>21</v>
      </c>
      <c r="R7" t="s">
        <v>133</v>
      </c>
      <c r="S7" t="s">
        <v>156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186</v>
      </c>
      <c r="AG7" t="s">
        <v>201</v>
      </c>
      <c r="AH7" t="s">
        <v>205</v>
      </c>
      <c r="AK7" t="s">
        <v>280</v>
      </c>
      <c r="AL7" t="s">
        <v>132</v>
      </c>
      <c r="AM7" t="s">
        <v>165</v>
      </c>
      <c r="AO7" s="25" t="str">
        <f t="shared" si="16"/>
        <v>Public expoType As String</v>
      </c>
      <c r="AP7" s="25" t="str">
        <f t="shared" si="17"/>
        <v>expoType = "F"</v>
      </c>
      <c r="AQ7" s="25" t="str">
        <f t="shared" si="18"/>
        <v>expoType = "Expo Type"</v>
      </c>
      <c r="AR7" s="25" t="str">
        <f t="shared" si="19"/>
        <v>Public expoType As String</v>
      </c>
      <c r="AS7" s="25" t="str">
        <f t="shared" si="20"/>
        <v>expoType = "expoType"</v>
      </c>
      <c r="AT7" s="25" t="str">
        <f t="shared" si="21"/>
        <v>s.expoType = assign(sc.expoType, i)</v>
      </c>
      <c r="AU7" s="25" t="str">
        <f t="shared" si="22"/>
        <v>Call store(sc.expoType, row, var.expoType)</v>
      </c>
      <c r="AV7" s="25" t="str">
        <f t="shared" si="23"/>
        <v>s.expoType = kod</v>
      </c>
    </row>
    <row r="8" spans="1:48" x14ac:dyDescent="0.25">
      <c r="A8">
        <v>71</v>
      </c>
      <c r="B8" t="str">
        <f t="shared" si="7"/>
        <v>G</v>
      </c>
      <c r="D8" s="9" t="s">
        <v>105</v>
      </c>
      <c r="E8" t="s">
        <v>132</v>
      </c>
      <c r="F8" t="s">
        <v>141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2" t="s">
        <v>138</v>
      </c>
      <c r="R8" t="s">
        <v>133</v>
      </c>
      <c r="S8" t="s">
        <v>170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187</v>
      </c>
      <c r="AG8" t="s">
        <v>202</v>
      </c>
      <c r="AH8" t="s">
        <v>204</v>
      </c>
      <c r="AK8" t="s">
        <v>281</v>
      </c>
      <c r="AL8" t="s">
        <v>132</v>
      </c>
      <c r="AM8" t="s">
        <v>166</v>
      </c>
      <c r="AO8" s="25" t="str">
        <f t="shared" si="16"/>
        <v>Public asstType As String</v>
      </c>
      <c r="AP8" s="25" t="str">
        <f t="shared" si="17"/>
        <v>asstType = "G"</v>
      </c>
      <c r="AQ8" s="25" t="str">
        <f t="shared" si="18"/>
        <v>asstType = "Asst Type"</v>
      </c>
      <c r="AR8" s="25" t="str">
        <f t="shared" si="19"/>
        <v>Public asstType As String</v>
      </c>
      <c r="AS8" s="25" t="str">
        <f t="shared" si="20"/>
        <v>asstType = "asstType"</v>
      </c>
      <c r="AT8" s="25" t="str">
        <f t="shared" si="21"/>
        <v>s.asstType = assign(sc.asstType, i)</v>
      </c>
      <c r="AU8" s="25" t="str">
        <f t="shared" si="22"/>
        <v>Call store(sc.asstType, row, var.asstType)</v>
      </c>
      <c r="AV8" s="25" t="str">
        <f t="shared" si="23"/>
        <v>s.asstType = kod</v>
      </c>
    </row>
    <row r="9" spans="1:48" x14ac:dyDescent="0.25">
      <c r="A9">
        <v>72</v>
      </c>
      <c r="B9" t="str">
        <f t="shared" si="7"/>
        <v>H</v>
      </c>
      <c r="C9" t="s">
        <v>314</v>
      </c>
      <c r="D9" s="9" t="s">
        <v>106</v>
      </c>
      <c r="E9" t="s">
        <v>132</v>
      </c>
      <c r="F9" t="s">
        <v>166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14" t="s">
        <v>261</v>
      </c>
      <c r="R9" t="s">
        <v>133</v>
      </c>
      <c r="S9" t="str">
        <f>$AI3&amp;T9</f>
        <v>hcOverrideFAC</v>
      </c>
      <c r="T9" t="s">
        <v>198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188</v>
      </c>
      <c r="AG9" s="24" t="s">
        <v>203</v>
      </c>
      <c r="AH9" s="24" t="s">
        <v>238</v>
      </c>
      <c r="AK9" t="s">
        <v>279</v>
      </c>
      <c r="AL9" t="s">
        <v>133</v>
      </c>
      <c r="AM9" t="s">
        <v>170</v>
      </c>
      <c r="AO9" s="25" t="str">
        <f t="shared" si="16"/>
        <v>Public expoAmt As Double</v>
      </c>
      <c r="AP9" s="25" t="str">
        <f t="shared" si="17"/>
        <v>expoAmt = "H"</v>
      </c>
      <c r="AQ9" s="25" t="str">
        <f t="shared" si="18"/>
        <v>expoAmt = "Expo Amt"</v>
      </c>
      <c r="AR9" s="25" t="str">
        <f t="shared" si="19"/>
        <v>Public expoAmt As String</v>
      </c>
      <c r="AS9" s="25" t="str">
        <f t="shared" si="20"/>
        <v>expoAmt = "expoAmt"</v>
      </c>
      <c r="AT9" s="25" t="str">
        <f t="shared" si="21"/>
        <v>s.expoAmt = s.expoAmt + assign(sc.expoAmt, i)</v>
      </c>
      <c r="AU9" s="25" t="str">
        <f t="shared" si="22"/>
        <v>Call store(sc.expoAmt, row, var.expoAmt)</v>
      </c>
      <c r="AV9" s="25" t="str">
        <f t="shared" si="23"/>
        <v>s.expoAmt = kod</v>
      </c>
    </row>
    <row r="10" spans="1:48" x14ac:dyDescent="0.25">
      <c r="A10">
        <v>73</v>
      </c>
      <c r="B10" t="str">
        <f t="shared" si="7"/>
        <v>I</v>
      </c>
      <c r="D10" s="9" t="s">
        <v>22</v>
      </c>
      <c r="E10" t="s">
        <v>132</v>
      </c>
      <c r="F10" t="s">
        <v>7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19" t="s">
        <v>262</v>
      </c>
      <c r="R10" t="s">
        <v>200</v>
      </c>
      <c r="S10" t="str">
        <f>$AI4&amp;T10</f>
        <v>hcExpiryFAC</v>
      </c>
      <c r="T10" t="s">
        <v>198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189</v>
      </c>
      <c r="AG10" t="s">
        <v>292</v>
      </c>
      <c r="AH10" t="s">
        <v>293</v>
      </c>
      <c r="AK10" t="s">
        <v>283</v>
      </c>
      <c r="AL10" t="s">
        <v>133</v>
      </c>
      <c r="AM10" t="s">
        <v>302</v>
      </c>
      <c r="AO10" s="25" t="str">
        <f t="shared" si="16"/>
        <v>Public initLV As Double</v>
      </c>
      <c r="AP10" s="25" t="str">
        <f t="shared" si="17"/>
        <v>initLV = "I"</v>
      </c>
      <c r="AQ10" s="25" t="str">
        <f t="shared" si="18"/>
        <v>initLV = "init LV wo HC"</v>
      </c>
      <c r="AR10" s="25" t="str">
        <f t="shared" si="19"/>
        <v>Public initLV As String</v>
      </c>
      <c r="AS10" s="25" t="str">
        <f t="shared" si="20"/>
        <v>initLV = "initLV"</v>
      </c>
      <c r="AT10" s="25" t="str">
        <f t="shared" si="21"/>
        <v>s.initLV = s.initLV + assign(sc.initLV, i)</v>
      </c>
      <c r="AU10" s="25" t="str">
        <f t="shared" si="22"/>
        <v>Call store(sc.initLV, row, var.initLV)</v>
      </c>
      <c r="AV10" s="25" t="str">
        <f t="shared" si="23"/>
        <v>s.initLV = kod</v>
      </c>
    </row>
    <row r="11" spans="1:48" x14ac:dyDescent="0.25">
      <c r="A11">
        <v>74</v>
      </c>
      <c r="B11" t="str">
        <f t="shared" si="7"/>
        <v>J</v>
      </c>
      <c r="D11" s="9" t="s">
        <v>240</v>
      </c>
      <c r="E11" t="s">
        <v>133</v>
      </c>
      <c r="F11" t="s">
        <v>241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14" t="s">
        <v>263</v>
      </c>
      <c r="R11" t="s">
        <v>199</v>
      </c>
      <c r="S11" t="str">
        <f>$AI5&amp;T11</f>
        <v>hcFlagFAC</v>
      </c>
      <c r="T11" t="s">
        <v>198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7" t="s">
        <v>285</v>
      </c>
      <c r="AK11" t="s">
        <v>82</v>
      </c>
      <c r="AL11" t="s">
        <v>133</v>
      </c>
      <c r="AM11" t="s">
        <v>160</v>
      </c>
      <c r="AO11" s="25" t="str">
        <f t="shared" si="16"/>
        <v>Public hcApplied As Double</v>
      </c>
      <c r="AP11" s="25" t="str">
        <f t="shared" si="17"/>
        <v>hcApplied = "J"</v>
      </c>
      <c r="AQ11" s="25" t="str">
        <f t="shared" si="18"/>
        <v>hcApplied = "HC Choice"</v>
      </c>
      <c r="AR11" s="25" t="str">
        <f t="shared" si="19"/>
        <v>Public hcApplied As String</v>
      </c>
      <c r="AS11" s="25" t="str">
        <f t="shared" si="20"/>
        <v>hcApplied = "hcApplied"</v>
      </c>
      <c r="AT11" s="25" t="str">
        <f t="shared" si="21"/>
        <v>s.hcApplied = s.hcApplied + assign(sc.hcApplied, i)</v>
      </c>
      <c r="AU11" s="25" t="str">
        <f t="shared" si="22"/>
        <v>Call store(sc.hcApplied, row, var.hcApplied)</v>
      </c>
      <c r="AV11" s="25" t="str">
        <f t="shared" si="23"/>
        <v>s.hcApplied = kod</v>
      </c>
    </row>
    <row r="12" spans="1:48" x14ac:dyDescent="0.25">
      <c r="A12">
        <v>75</v>
      </c>
      <c r="B12" t="str">
        <f t="shared" si="7"/>
        <v>K</v>
      </c>
      <c r="D12" s="9" t="s">
        <v>107</v>
      </c>
      <c r="E12" t="s">
        <v>133</v>
      </c>
      <c r="F12" t="s">
        <v>142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13" t="s">
        <v>93</v>
      </c>
      <c r="R12" t="s">
        <v>134</v>
      </c>
      <c r="S12" t="s">
        <v>164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190</v>
      </c>
      <c r="AG12" t="s">
        <v>289</v>
      </c>
      <c r="AH12" t="s">
        <v>288</v>
      </c>
      <c r="AK12" t="s">
        <v>80</v>
      </c>
      <c r="AL12" t="s">
        <v>133</v>
      </c>
      <c r="AM12" t="s">
        <v>304</v>
      </c>
      <c r="AO12" s="25" t="str">
        <f t="shared" si="16"/>
        <v>Public hcLV As Double</v>
      </c>
      <c r="AP12" s="25" t="str">
        <f t="shared" si="17"/>
        <v>hcLV = "K"</v>
      </c>
      <c r="AQ12" s="25" t="str">
        <f t="shared" si="18"/>
        <v>hcLV = "LV w HC"</v>
      </c>
      <c r="AR12" s="25" t="str">
        <f t="shared" si="19"/>
        <v>Public hcLV As String</v>
      </c>
      <c r="AS12" s="25" t="str">
        <f t="shared" si="20"/>
        <v>hcLV = "hcLV"</v>
      </c>
      <c r="AT12" s="25" t="str">
        <f t="shared" si="21"/>
        <v>s.hcLV = s.hcLV + assign(sc.hcLV, i)</v>
      </c>
      <c r="AU12" s="25" t="str">
        <f t="shared" si="22"/>
        <v>Call store(sc.hcLV, row, var.hcLV)</v>
      </c>
      <c r="AV12" s="25" t="str">
        <f t="shared" si="23"/>
        <v>s.hcLV = kod</v>
      </c>
    </row>
    <row r="13" spans="1:48" x14ac:dyDescent="0.25">
      <c r="A13">
        <v>76</v>
      </c>
      <c r="B13" t="str">
        <f t="shared" si="7"/>
        <v>L</v>
      </c>
      <c r="C13" t="s">
        <v>314</v>
      </c>
      <c r="D13" s="9" t="s">
        <v>109</v>
      </c>
      <c r="E13" t="s">
        <v>133</v>
      </c>
      <c r="F13" t="s">
        <v>8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13" t="s">
        <v>136</v>
      </c>
      <c r="R13" t="s">
        <v>132</v>
      </c>
      <c r="S13" t="s">
        <v>169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191</v>
      </c>
      <c r="AG13" t="s">
        <v>290</v>
      </c>
      <c r="AH13" t="s">
        <v>291</v>
      </c>
      <c r="AK13" t="s">
        <v>99</v>
      </c>
      <c r="AL13" t="s">
        <v>133</v>
      </c>
      <c r="AM13" t="s">
        <v>305</v>
      </c>
      <c r="AO13" s="25" t="str">
        <f t="shared" si="16"/>
        <v>Public remExpo As Double</v>
      </c>
      <c r="AP13" s="25" t="str">
        <f t="shared" si="17"/>
        <v>remExpo = "L"</v>
      </c>
      <c r="AQ13" s="25" t="str">
        <f t="shared" si="18"/>
        <v>remExpo = "Rem Expo"</v>
      </c>
      <c r="AR13" s="25" t="str">
        <f t="shared" si="19"/>
        <v>Public remExpo As String</v>
      </c>
      <c r="AS13" s="25" t="str">
        <f t="shared" si="20"/>
        <v>remExpo = "remExpo"</v>
      </c>
      <c r="AT13" s="25" t="str">
        <f t="shared" si="21"/>
        <v>s.remExpo = s.remExpo + assign(sc.remExpo, i)</v>
      </c>
      <c r="AU13" s="25" t="str">
        <f t="shared" si="22"/>
        <v>Call store(sc.remExpo, row, var.remExpo)</v>
      </c>
      <c r="AV13" s="25" t="str">
        <f t="shared" si="23"/>
        <v>s.remExpo = kod</v>
      </c>
    </row>
    <row r="14" spans="1:48" x14ac:dyDescent="0.25">
      <c r="A14">
        <v>77</v>
      </c>
      <c r="B14" t="str">
        <f t="shared" si="7"/>
        <v>M</v>
      </c>
      <c r="D14" s="9" t="s">
        <v>124</v>
      </c>
      <c r="E14" t="s">
        <v>133</v>
      </c>
      <c r="F14" t="s">
        <v>156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13" t="s">
        <v>137</v>
      </c>
      <c r="R14" t="s">
        <v>133</v>
      </c>
      <c r="S14" t="s">
        <v>171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192</v>
      </c>
      <c r="AG14" t="s">
        <v>296</v>
      </c>
      <c r="AH14" t="s">
        <v>295</v>
      </c>
      <c r="AK14" t="s">
        <v>100</v>
      </c>
      <c r="AL14" t="s">
        <v>133</v>
      </c>
      <c r="AM14" t="s">
        <v>306</v>
      </c>
      <c r="AO14" s="25" t="str">
        <f t="shared" si="16"/>
        <v>Public remLV As Double</v>
      </c>
      <c r="AP14" s="25" t="str">
        <f t="shared" si="17"/>
        <v>remLV = "M"</v>
      </c>
      <c r="AQ14" s="25" t="str">
        <f t="shared" si="18"/>
        <v>remLV = "Rem LV"</v>
      </c>
      <c r="AR14" s="25" t="str">
        <f t="shared" si="19"/>
        <v>Public remLV As String</v>
      </c>
      <c r="AS14" s="25" t="str">
        <f t="shared" si="20"/>
        <v>remLV = "remLV"</v>
      </c>
      <c r="AT14" s="25" t="str">
        <f t="shared" si="21"/>
        <v>s.remLV = s.remLV + assign(sc.remLV, i)</v>
      </c>
      <c r="AU14" s="25" t="str">
        <f t="shared" si="22"/>
        <v>Call store(sc.remLV, row, var.remLV)</v>
      </c>
      <c r="AV14" s="25" t="str">
        <f t="shared" si="23"/>
        <v>s.remLV = kod</v>
      </c>
    </row>
    <row r="15" spans="1:48" x14ac:dyDescent="0.25">
      <c r="A15">
        <v>78</v>
      </c>
      <c r="B15" t="str">
        <f t="shared" si="7"/>
        <v>N</v>
      </c>
      <c r="D15" s="9" t="s">
        <v>108</v>
      </c>
      <c r="E15" t="s">
        <v>133</v>
      </c>
      <c r="F15" t="s">
        <v>143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13" t="s">
        <v>135</v>
      </c>
      <c r="R15" t="s">
        <v>132</v>
      </c>
      <c r="S15" t="s">
        <v>167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193</v>
      </c>
      <c r="AK15" t="s">
        <v>282</v>
      </c>
      <c r="AL15" t="s">
        <v>133</v>
      </c>
      <c r="AM15" t="s">
        <v>303</v>
      </c>
      <c r="AO15" s="25" t="str">
        <f t="shared" si="16"/>
        <v>Public finLV As Double</v>
      </c>
      <c r="AP15" s="25" t="str">
        <f t="shared" si="17"/>
        <v>finLV = "N"</v>
      </c>
      <c r="AQ15" s="25" t="str">
        <f t="shared" si="18"/>
        <v>finLV = "final LV wo HC"</v>
      </c>
      <c r="AR15" s="25" t="str">
        <f t="shared" si="19"/>
        <v>Public finLV As String</v>
      </c>
      <c r="AS15" s="25" t="str">
        <f t="shared" si="20"/>
        <v>finLV = "finLV"</v>
      </c>
      <c r="AT15" s="25" t="str">
        <f t="shared" si="21"/>
        <v>s.finLV = s.finLV + assign(sc.finLV, i)</v>
      </c>
      <c r="AU15" s="25" t="str">
        <f t="shared" si="22"/>
        <v>Call store(sc.finLV, row, var.finLV)</v>
      </c>
      <c r="AV15" s="25" t="str">
        <f t="shared" si="23"/>
        <v>s.finLV = kod</v>
      </c>
    </row>
    <row r="16" spans="1:48" x14ac:dyDescent="0.25">
      <c r="A16">
        <v>79</v>
      </c>
      <c r="B16" t="str">
        <f t="shared" si="7"/>
        <v>O</v>
      </c>
      <c r="D16" s="9" t="s">
        <v>110</v>
      </c>
      <c r="E16" t="s">
        <v>133</v>
      </c>
      <c r="F16" t="s">
        <v>144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13" t="s">
        <v>264</v>
      </c>
      <c r="R16" t="s">
        <v>132</v>
      </c>
      <c r="S16" t="s">
        <v>265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194</v>
      </c>
      <c r="AJ16" t="s">
        <v>287</v>
      </c>
      <c r="AK16" s="7" t="s">
        <v>285</v>
      </c>
      <c r="AL16" t="s">
        <v>132</v>
      </c>
      <c r="AM16" t="s">
        <v>307</v>
      </c>
      <c r="AO16" s="25" t="str">
        <f t="shared" si="16"/>
        <v>Public expoTag As String</v>
      </c>
      <c r="AP16" s="25" t="str">
        <f t="shared" si="17"/>
        <v>expoTag = "O"</v>
      </c>
      <c r="AQ16" s="25" t="str">
        <f t="shared" si="18"/>
        <v>expoTag = "Expo Tag"</v>
      </c>
      <c r="AR16" s="25" t="str">
        <f t="shared" si="19"/>
        <v>Public expoTag As String</v>
      </c>
      <c r="AS16" s="25" t="str">
        <f t="shared" si="20"/>
        <v>expoTag = "expoTag"</v>
      </c>
      <c r="AT16" s="25" t="str">
        <f t="shared" si="21"/>
        <v>s.expoTag = assign(sc.expoTag, i)</v>
      </c>
      <c r="AU16" s="25" t="str">
        <f t="shared" si="22"/>
        <v>Call store(sc.expoTag, row, var.expoTag)</v>
      </c>
      <c r="AV16" s="25" t="str">
        <f t="shared" si="23"/>
        <v>s.expoTag = kod</v>
      </c>
    </row>
    <row r="17" spans="1:48" x14ac:dyDescent="0.25">
      <c r="A17">
        <v>80</v>
      </c>
      <c r="B17" t="str">
        <f t="shared" si="7"/>
        <v>P</v>
      </c>
      <c r="D17" s="14" t="s">
        <v>227</v>
      </c>
      <c r="E17" t="s">
        <v>133</v>
      </c>
      <c r="F17" t="str">
        <f>$AI3&amp;G17</f>
        <v>hcOverrideARR</v>
      </c>
      <c r="G17" t="s">
        <v>180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195</v>
      </c>
      <c r="AJ17" t="s">
        <v>286</v>
      </c>
      <c r="AK17" s="7" t="s">
        <v>284</v>
      </c>
      <c r="AL17" t="s">
        <v>132</v>
      </c>
      <c r="AM17" t="s">
        <v>308</v>
      </c>
      <c r="AO17" s="25" t="str">
        <f t="shared" si="16"/>
        <v>Public asstTag As String</v>
      </c>
      <c r="AP17" s="25" t="str">
        <f t="shared" si="17"/>
        <v>asstTag = "P"</v>
      </c>
      <c r="AQ17" s="25" t="str">
        <f t="shared" si="18"/>
        <v>asstTag = "Asst Tag"</v>
      </c>
      <c r="AR17" s="25" t="str">
        <f t="shared" si="19"/>
        <v>Public asstTag As String</v>
      </c>
      <c r="AS17" s="25" t="str">
        <f t="shared" si="20"/>
        <v>asstTag = "asstTag"</v>
      </c>
      <c r="AT17" s="25" t="str">
        <f t="shared" si="21"/>
        <v>s.asstTag = assign(sc.asstTag, i)</v>
      </c>
      <c r="AU17" s="25" t="str">
        <f t="shared" si="22"/>
        <v>Call store(sc.asstTag, row, var.asstTag)</v>
      </c>
      <c r="AV17" s="25" t="str">
        <f t="shared" si="23"/>
        <v>s.asstTag = kod</v>
      </c>
    </row>
    <row r="18" spans="1:48" x14ac:dyDescent="0.25">
      <c r="A18">
        <v>81</v>
      </c>
      <c r="B18" t="str">
        <f t="shared" si="7"/>
        <v>Q</v>
      </c>
      <c r="D18" s="19" t="s">
        <v>228</v>
      </c>
      <c r="E18" t="s">
        <v>200</v>
      </c>
      <c r="F18" t="str">
        <f>$AI4&amp;G18</f>
        <v>hcExpiryARR</v>
      </c>
      <c r="G18" t="s">
        <v>180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196</v>
      </c>
      <c r="AK18" t="s">
        <v>97</v>
      </c>
      <c r="AL18" t="s">
        <v>132</v>
      </c>
      <c r="AM18" t="s">
        <v>309</v>
      </c>
      <c r="AO18" s="25" t="str">
        <f t="shared" si="16"/>
        <v>Public comment As String</v>
      </c>
      <c r="AP18" s="25" t="str">
        <f t="shared" si="17"/>
        <v>comment = "Q"</v>
      </c>
      <c r="AQ18" s="25" t="str">
        <f t="shared" si="18"/>
        <v>comment = "commnet"</v>
      </c>
      <c r="AR18" s="25" t="str">
        <f t="shared" si="19"/>
        <v>Public comment As String</v>
      </c>
      <c r="AS18" s="25" t="str">
        <f t="shared" si="20"/>
        <v>comment = "comment"</v>
      </c>
      <c r="AT18" s="25" t="str">
        <f t="shared" si="21"/>
        <v>s.comment = assign(sc.comment, i)</v>
      </c>
      <c r="AU18" s="25" t="str">
        <f t="shared" si="22"/>
        <v>Call store(sc.comment, row, var.comment)</v>
      </c>
      <c r="AV18" s="25" t="str">
        <f t="shared" si="23"/>
        <v>s.comment = kod</v>
      </c>
    </row>
    <row r="19" spans="1:48" x14ac:dyDescent="0.25">
      <c r="A19">
        <v>82</v>
      </c>
      <c r="B19" t="str">
        <f t="shared" si="7"/>
        <v>R</v>
      </c>
      <c r="D19" s="14" t="s">
        <v>229</v>
      </c>
      <c r="E19" t="s">
        <v>199</v>
      </c>
      <c r="F19" t="str">
        <f>$AI5&amp;G19</f>
        <v>hcFlagARR</v>
      </c>
      <c r="G19" t="s">
        <v>180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197</v>
      </c>
    </row>
    <row r="20" spans="1:48" x14ac:dyDescent="0.25">
      <c r="A20">
        <v>83</v>
      </c>
      <c r="B20" t="str">
        <f t="shared" si="7"/>
        <v>S</v>
      </c>
      <c r="D20" s="14" t="s">
        <v>230</v>
      </c>
      <c r="E20" t="s">
        <v>133</v>
      </c>
      <c r="F20" t="str">
        <f>$AI3&amp;G20</f>
        <v>hcOverrideCCY</v>
      </c>
      <c r="G20" t="s">
        <v>7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19" t="s">
        <v>231</v>
      </c>
      <c r="E21" t="s">
        <v>200</v>
      </c>
      <c r="F21" t="str">
        <f>$AI4&amp;G21</f>
        <v>hcExpiryCCY</v>
      </c>
      <c r="G21" t="s">
        <v>7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14" t="s">
        <v>232</v>
      </c>
      <c r="E22" t="s">
        <v>199</v>
      </c>
      <c r="F22" t="str">
        <f>$AI5&amp;G22</f>
        <v>hcFlagCCY</v>
      </c>
      <c r="G22" t="s">
        <v>7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14" t="s">
        <v>233</v>
      </c>
      <c r="E23" t="s">
        <v>133</v>
      </c>
      <c r="F23" t="str">
        <f>$AI3&amp;G23</f>
        <v>hcOverridePOS</v>
      </c>
      <c r="G23" t="s">
        <v>181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19" t="s">
        <v>234</v>
      </c>
      <c r="E24" t="s">
        <v>200</v>
      </c>
      <c r="F24" t="str">
        <f>$AI4&amp;G24</f>
        <v>hcExpiryPOS</v>
      </c>
      <c r="G24" t="s">
        <v>181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14" t="s">
        <v>235</v>
      </c>
      <c r="E25" t="s">
        <v>199</v>
      </c>
      <c r="F25" t="str">
        <f>$AI5&amp;G25</f>
        <v>hcFlagPOS</v>
      </c>
      <c r="G25" t="s">
        <v>181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0" t="s">
        <v>111</v>
      </c>
      <c r="E26" t="s">
        <v>133</v>
      </c>
      <c r="F26" t="s">
        <v>145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0" t="s">
        <v>112</v>
      </c>
      <c r="E27" t="s">
        <v>133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0" t="s">
        <v>115</v>
      </c>
      <c r="E28" t="s">
        <v>133</v>
      </c>
      <c r="F28" t="s">
        <v>149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0" t="s">
        <v>116</v>
      </c>
      <c r="E29" t="s">
        <v>133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9" t="s">
        <v>121</v>
      </c>
      <c r="E30" t="s">
        <v>133</v>
      </c>
      <c r="F30" t="s">
        <v>153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14" t="s">
        <v>236</v>
      </c>
      <c r="E31" t="s">
        <v>133</v>
      </c>
      <c r="F31" t="s">
        <v>237</v>
      </c>
      <c r="H31" t="str">
        <f t="shared" ref="H31:H43" si="24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1" t="s">
        <v>128</v>
      </c>
      <c r="E32" t="s">
        <v>133</v>
      </c>
      <c r="F32" s="22" t="s">
        <v>160</v>
      </c>
      <c r="G32" t="s">
        <v>239</v>
      </c>
      <c r="H32" t="str">
        <f t="shared" si="24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242</v>
      </c>
      <c r="D33" s="21" t="s">
        <v>129</v>
      </c>
      <c r="E33" t="s">
        <v>132</v>
      </c>
      <c r="F33" s="22" t="s">
        <v>161</v>
      </c>
      <c r="G33" t="s">
        <v>239</v>
      </c>
      <c r="H33" t="str">
        <f t="shared" si="24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1" t="s">
        <v>130</v>
      </c>
      <c r="E34" t="s">
        <v>133</v>
      </c>
      <c r="F34" t="s">
        <v>162</v>
      </c>
      <c r="H34" t="str">
        <f t="shared" si="24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1" t="s">
        <v>113</v>
      </c>
      <c r="E35" t="s">
        <v>133</v>
      </c>
      <c r="F35" t="s">
        <v>146</v>
      </c>
      <c r="H35" t="str">
        <f t="shared" si="24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1" t="s">
        <v>114</v>
      </c>
      <c r="E36" t="s">
        <v>133</v>
      </c>
      <c r="F36" t="s">
        <v>147</v>
      </c>
      <c r="H36" t="str">
        <f t="shared" si="24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1" t="s">
        <v>117</v>
      </c>
      <c r="E37" t="s">
        <v>133</v>
      </c>
      <c r="F37" t="s">
        <v>150</v>
      </c>
      <c r="H37" t="str">
        <f t="shared" si="24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1" t="s">
        <v>118</v>
      </c>
      <c r="E38" t="s">
        <v>133</v>
      </c>
      <c r="F38" t="s">
        <v>148</v>
      </c>
      <c r="H38" t="str">
        <f t="shared" si="24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242</v>
      </c>
      <c r="D39" s="21" t="s">
        <v>119</v>
      </c>
      <c r="E39" t="s">
        <v>132</v>
      </c>
      <c r="F39" t="s">
        <v>151</v>
      </c>
      <c r="H39" t="str">
        <f t="shared" si="24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1" t="s">
        <v>120</v>
      </c>
      <c r="E40" t="s">
        <v>134</v>
      </c>
      <c r="F40" t="s">
        <v>152</v>
      </c>
      <c r="H40" t="str">
        <f t="shared" si="24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1" t="s">
        <v>122</v>
      </c>
      <c r="E41" t="s">
        <v>133</v>
      </c>
      <c r="F41" t="s">
        <v>154</v>
      </c>
      <c r="H41" t="str">
        <f t="shared" si="24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1" t="s">
        <v>123</v>
      </c>
      <c r="E42" t="s">
        <v>133</v>
      </c>
      <c r="F42" t="s">
        <v>155</v>
      </c>
      <c r="H42" t="str">
        <f t="shared" si="24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1" t="s">
        <v>131</v>
      </c>
      <c r="E43" t="s">
        <v>132</v>
      </c>
      <c r="F43" t="s">
        <v>163</v>
      </c>
      <c r="H43" t="str">
        <f t="shared" si="24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1" t="s">
        <v>214</v>
      </c>
      <c r="E44" t="s">
        <v>132</v>
      </c>
      <c r="F44" t="s">
        <v>214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5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1.8867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9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0.33203125" bestFit="1" customWidth="1"/>
    <col min="37" max="37" width="7.88671875" bestFit="1" customWidth="1"/>
    <col min="38" max="38" width="10.109375" bestFit="1" customWidth="1"/>
    <col min="39" max="39" width="11.77734375" bestFit="1" customWidth="1"/>
    <col min="40" max="40" width="6.88671875" bestFit="1" customWidth="1"/>
    <col min="41" max="41" width="8.109375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247</v>
      </c>
      <c r="B1" t="s">
        <v>248</v>
      </c>
      <c r="C1" t="s">
        <v>249</v>
      </c>
      <c r="D1" t="s">
        <v>250</v>
      </c>
      <c r="E1" s="30" t="s">
        <v>251</v>
      </c>
      <c r="F1" t="s">
        <v>140</v>
      </c>
      <c r="G1" t="s">
        <v>141</v>
      </c>
      <c r="H1" s="30" t="s">
        <v>166</v>
      </c>
      <c r="I1" s="30" t="s">
        <v>7</v>
      </c>
      <c r="J1" t="s">
        <v>241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252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237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214</v>
      </c>
    </row>
    <row r="2" spans="1:43" x14ac:dyDescent="0.25">
      <c r="A2">
        <v>6</v>
      </c>
      <c r="B2" t="s">
        <v>9</v>
      </c>
      <c r="C2" t="s">
        <v>269</v>
      </c>
      <c r="D2" t="s">
        <v>270</v>
      </c>
      <c r="E2" t="s">
        <v>85</v>
      </c>
      <c r="F2">
        <v>1</v>
      </c>
      <c r="G2" t="s">
        <v>17</v>
      </c>
      <c r="H2" t="s">
        <v>12</v>
      </c>
      <c r="I2" t="s">
        <v>14</v>
      </c>
      <c r="J2">
        <v>100</v>
      </c>
      <c r="K2">
        <v>1</v>
      </c>
      <c r="L2">
        <v>350</v>
      </c>
      <c r="M2">
        <v>0</v>
      </c>
      <c r="N2">
        <v>1</v>
      </c>
      <c r="O2">
        <v>350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175</v>
      </c>
      <c r="AA2">
        <v>80</v>
      </c>
      <c r="AB2">
        <v>280</v>
      </c>
      <c r="AC2">
        <v>0.625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75</v>
      </c>
      <c r="AO2">
        <v>120</v>
      </c>
      <c r="AP2" t="s">
        <v>204</v>
      </c>
      <c r="AQ2">
        <v>1</v>
      </c>
    </row>
    <row r="3" spans="1:43" x14ac:dyDescent="0.25">
      <c r="A3">
        <v>6</v>
      </c>
      <c r="B3" t="s">
        <v>9</v>
      </c>
      <c r="C3" t="s">
        <v>278</v>
      </c>
      <c r="D3" t="s">
        <v>272</v>
      </c>
      <c r="E3" t="s">
        <v>90</v>
      </c>
      <c r="F3">
        <v>8</v>
      </c>
      <c r="G3" t="s">
        <v>17</v>
      </c>
      <c r="H3" t="s">
        <v>13</v>
      </c>
      <c r="I3" t="s">
        <v>67</v>
      </c>
      <c r="J3">
        <v>600</v>
      </c>
      <c r="K3">
        <v>1</v>
      </c>
      <c r="L3">
        <v>600</v>
      </c>
      <c r="M3">
        <v>0.05</v>
      </c>
      <c r="N3">
        <v>1</v>
      </c>
      <c r="O3">
        <v>600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90</v>
      </c>
      <c r="Z3">
        <v>540</v>
      </c>
      <c r="AA3">
        <v>90</v>
      </c>
      <c r="AB3">
        <v>540</v>
      </c>
      <c r="AC3">
        <v>1</v>
      </c>
      <c r="AD3">
        <v>0.05</v>
      </c>
      <c r="AE3">
        <v>0.05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540</v>
      </c>
      <c r="AO3">
        <v>540</v>
      </c>
      <c r="AP3" t="s">
        <v>289</v>
      </c>
      <c r="AQ3">
        <v>6</v>
      </c>
    </row>
    <row r="4" spans="1:43" x14ac:dyDescent="0.25">
      <c r="A4">
        <v>6</v>
      </c>
      <c r="B4" t="s">
        <v>9</v>
      </c>
      <c r="C4" t="s">
        <v>277</v>
      </c>
      <c r="D4" t="s">
        <v>270</v>
      </c>
      <c r="E4" t="s">
        <v>89</v>
      </c>
      <c r="F4">
        <v>7</v>
      </c>
      <c r="G4" t="s">
        <v>18</v>
      </c>
      <c r="H4" t="s">
        <v>13</v>
      </c>
      <c r="I4" t="s">
        <v>14</v>
      </c>
      <c r="J4">
        <v>400</v>
      </c>
      <c r="K4">
        <v>1</v>
      </c>
      <c r="L4">
        <v>400</v>
      </c>
      <c r="M4">
        <v>0</v>
      </c>
      <c r="N4">
        <v>1</v>
      </c>
      <c r="O4">
        <v>400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80</v>
      </c>
      <c r="Z4">
        <v>320</v>
      </c>
      <c r="AA4">
        <v>80</v>
      </c>
      <c r="AB4">
        <v>320</v>
      </c>
      <c r="AC4">
        <v>1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320</v>
      </c>
      <c r="AO4">
        <v>320</v>
      </c>
      <c r="AP4" t="s">
        <v>289</v>
      </c>
      <c r="AQ4">
        <v>5</v>
      </c>
    </row>
    <row r="5" spans="1:43" x14ac:dyDescent="0.25">
      <c r="A5">
        <v>6</v>
      </c>
      <c r="B5" t="s">
        <v>9</v>
      </c>
      <c r="C5" t="s">
        <v>276</v>
      </c>
      <c r="D5" t="s">
        <v>272</v>
      </c>
      <c r="E5" t="s">
        <v>88</v>
      </c>
      <c r="F5">
        <v>6</v>
      </c>
      <c r="G5" t="s">
        <v>15</v>
      </c>
      <c r="H5" t="s">
        <v>13</v>
      </c>
      <c r="I5" t="s">
        <v>42</v>
      </c>
      <c r="J5">
        <v>250</v>
      </c>
      <c r="K5">
        <v>1</v>
      </c>
      <c r="L5">
        <v>250</v>
      </c>
      <c r="M5">
        <v>0.15</v>
      </c>
      <c r="N5">
        <v>1</v>
      </c>
      <c r="O5">
        <v>250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70</v>
      </c>
      <c r="Z5">
        <v>175</v>
      </c>
      <c r="AA5">
        <v>70</v>
      </c>
      <c r="AB5">
        <v>175</v>
      </c>
      <c r="AC5">
        <v>1</v>
      </c>
      <c r="AD5">
        <v>0.15</v>
      </c>
      <c r="AE5">
        <v>0.15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-1</v>
      </c>
      <c r="AN5">
        <v>175</v>
      </c>
      <c r="AO5">
        <v>175</v>
      </c>
      <c r="AP5" t="s">
        <v>289</v>
      </c>
      <c r="AQ5">
        <v>4</v>
      </c>
    </row>
  </sheetData>
  <autoFilter ref="A1:AQ5"/>
  <dataConsolidate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5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4.332031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104</v>
      </c>
      <c r="G1" t="s">
        <v>105</v>
      </c>
      <c r="H1" t="s">
        <v>106</v>
      </c>
      <c r="I1" t="s">
        <v>22</v>
      </c>
      <c r="J1" t="s">
        <v>240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236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327</v>
      </c>
    </row>
    <row r="2" spans="1:43" x14ac:dyDescent="0.25">
      <c r="A2">
        <v>6</v>
      </c>
      <c r="B2" t="s">
        <v>9</v>
      </c>
      <c r="C2" t="s">
        <v>275</v>
      </c>
      <c r="D2" t="s">
        <v>270</v>
      </c>
      <c r="E2" t="s">
        <v>87</v>
      </c>
      <c r="F2">
        <v>5</v>
      </c>
      <c r="G2" t="s">
        <v>16</v>
      </c>
      <c r="H2" t="s">
        <v>12</v>
      </c>
      <c r="I2" t="s">
        <v>14</v>
      </c>
      <c r="J2">
        <v>200</v>
      </c>
      <c r="K2">
        <v>1</v>
      </c>
      <c r="L2">
        <v>1600</v>
      </c>
      <c r="M2">
        <v>0</v>
      </c>
      <c r="N2">
        <v>1</v>
      </c>
      <c r="O2">
        <v>1600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800</v>
      </c>
      <c r="AA2">
        <v>70</v>
      </c>
      <c r="AB2">
        <v>1120</v>
      </c>
      <c r="AC2">
        <v>0.7142857142857143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1</v>
      </c>
      <c r="AN2">
        <v>0</v>
      </c>
      <c r="AO2">
        <v>0</v>
      </c>
      <c r="AP2" t="s">
        <v>293</v>
      </c>
      <c r="AQ2">
        <v>3</v>
      </c>
    </row>
    <row r="3" spans="1:43" x14ac:dyDescent="0.25">
      <c r="A3">
        <v>6</v>
      </c>
      <c r="B3" t="s">
        <v>9</v>
      </c>
      <c r="C3" t="s">
        <v>271</v>
      </c>
      <c r="D3" t="s">
        <v>272</v>
      </c>
      <c r="E3" t="s">
        <v>95</v>
      </c>
      <c r="F3">
        <v>2</v>
      </c>
      <c r="G3" t="s">
        <v>17</v>
      </c>
      <c r="H3" t="s">
        <v>12</v>
      </c>
      <c r="I3" t="s">
        <v>29</v>
      </c>
      <c r="J3">
        <v>950</v>
      </c>
      <c r="K3">
        <v>1</v>
      </c>
      <c r="L3">
        <v>950</v>
      </c>
      <c r="M3">
        <v>7.0000000000000007E-2</v>
      </c>
      <c r="N3">
        <v>1</v>
      </c>
      <c r="O3">
        <v>950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475</v>
      </c>
      <c r="AA3">
        <v>60</v>
      </c>
      <c r="AB3">
        <v>570</v>
      </c>
      <c r="AC3">
        <v>0.83333333333333337</v>
      </c>
      <c r="AD3">
        <v>7.0000000000000007E-2</v>
      </c>
      <c r="AE3">
        <v>7.0000000000000007E-2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2</v>
      </c>
      <c r="AN3">
        <v>0</v>
      </c>
      <c r="AO3">
        <v>0</v>
      </c>
      <c r="AP3" t="s">
        <v>293</v>
      </c>
      <c r="AQ3">
        <v>8</v>
      </c>
    </row>
    <row r="4" spans="1:43" x14ac:dyDescent="0.25">
      <c r="A4">
        <v>6</v>
      </c>
      <c r="B4" t="s">
        <v>9</v>
      </c>
      <c r="C4" t="s">
        <v>273</v>
      </c>
      <c r="D4" t="s">
        <v>272</v>
      </c>
      <c r="E4" t="s">
        <v>94</v>
      </c>
      <c r="F4">
        <v>3</v>
      </c>
      <c r="G4" t="s">
        <v>17</v>
      </c>
      <c r="H4" t="s">
        <v>12</v>
      </c>
      <c r="I4" t="s">
        <v>51</v>
      </c>
      <c r="J4">
        <v>800</v>
      </c>
      <c r="K4">
        <v>1</v>
      </c>
      <c r="L4">
        <v>800</v>
      </c>
      <c r="M4">
        <v>0.15</v>
      </c>
      <c r="N4">
        <v>1</v>
      </c>
      <c r="O4">
        <v>800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400</v>
      </c>
      <c r="AA4">
        <v>60</v>
      </c>
      <c r="AB4">
        <v>480</v>
      </c>
      <c r="AC4">
        <v>0.83333333333333337</v>
      </c>
      <c r="AD4">
        <v>0.15</v>
      </c>
      <c r="AE4">
        <v>0.15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3</v>
      </c>
      <c r="AN4">
        <v>0</v>
      </c>
      <c r="AO4">
        <v>0</v>
      </c>
      <c r="AP4" t="s">
        <v>293</v>
      </c>
      <c r="AQ4">
        <v>7</v>
      </c>
    </row>
    <row r="5" spans="1:43" x14ac:dyDescent="0.25">
      <c r="A5">
        <v>6</v>
      </c>
      <c r="B5" t="s">
        <v>9</v>
      </c>
      <c r="C5" t="s">
        <v>274</v>
      </c>
      <c r="D5" t="s">
        <v>272</v>
      </c>
      <c r="E5" t="s">
        <v>86</v>
      </c>
      <c r="F5">
        <v>4</v>
      </c>
      <c r="G5" t="s">
        <v>17</v>
      </c>
      <c r="H5" t="s">
        <v>12</v>
      </c>
      <c r="I5" t="s">
        <v>67</v>
      </c>
      <c r="J5">
        <v>300</v>
      </c>
      <c r="K5">
        <v>1</v>
      </c>
      <c r="L5">
        <v>300</v>
      </c>
      <c r="M5">
        <v>0.05</v>
      </c>
      <c r="N5">
        <v>1</v>
      </c>
      <c r="O5">
        <v>300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150</v>
      </c>
      <c r="AA5">
        <v>60</v>
      </c>
      <c r="AB5">
        <v>180</v>
      </c>
      <c r="AC5">
        <v>0.83333333333333337</v>
      </c>
      <c r="AD5">
        <v>0.05</v>
      </c>
      <c r="AE5">
        <v>0.05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4</v>
      </c>
      <c r="AN5">
        <v>0</v>
      </c>
      <c r="AO5">
        <v>0</v>
      </c>
      <c r="AP5" t="s">
        <v>293</v>
      </c>
      <c r="AQ5">
        <v>2</v>
      </c>
    </row>
  </sheetData>
  <autoFilter ref="A1:AQ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9.88671875" bestFit="1" customWidth="1"/>
    <col min="13" max="13" width="12.66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247</v>
      </c>
      <c r="B1" s="30" t="s">
        <v>248</v>
      </c>
      <c r="C1" t="s">
        <v>316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266</v>
      </c>
      <c r="I1" t="s">
        <v>267</v>
      </c>
      <c r="J1" t="s">
        <v>268</v>
      </c>
      <c r="K1" t="s">
        <v>164</v>
      </c>
      <c r="L1" t="s">
        <v>169</v>
      </c>
      <c r="M1" t="s">
        <v>171</v>
      </c>
      <c r="N1" t="s">
        <v>167</v>
      </c>
      <c r="O1" t="s">
        <v>265</v>
      </c>
    </row>
    <row r="2" spans="1:15" x14ac:dyDescent="0.25">
      <c r="A2">
        <v>6</v>
      </c>
      <c r="B2" t="s">
        <v>9</v>
      </c>
      <c r="C2">
        <v>2</v>
      </c>
      <c r="D2" t="s">
        <v>318</v>
      </c>
      <c r="E2" t="s">
        <v>42</v>
      </c>
      <c r="F2">
        <v>0.15</v>
      </c>
      <c r="G2">
        <v>-500</v>
      </c>
      <c r="H2">
        <v>0</v>
      </c>
      <c r="I2" s="31">
        <v>0</v>
      </c>
      <c r="J2" t="b">
        <v>0</v>
      </c>
      <c r="K2">
        <v>2</v>
      </c>
      <c r="L2" t="s">
        <v>291</v>
      </c>
      <c r="M2">
        <v>-96.25</v>
      </c>
      <c r="N2" t="s">
        <v>325</v>
      </c>
      <c r="O2">
        <v>2</v>
      </c>
    </row>
    <row r="3" spans="1:15" x14ac:dyDescent="0.25">
      <c r="A3">
        <v>6</v>
      </c>
      <c r="B3" t="s">
        <v>9</v>
      </c>
      <c r="C3">
        <v>4</v>
      </c>
      <c r="D3" t="s">
        <v>323</v>
      </c>
      <c r="E3" t="s">
        <v>14</v>
      </c>
      <c r="F3">
        <v>0</v>
      </c>
      <c r="G3">
        <v>-200</v>
      </c>
      <c r="H3">
        <v>0</v>
      </c>
      <c r="I3" s="31">
        <v>0</v>
      </c>
      <c r="J3" t="b">
        <v>0</v>
      </c>
      <c r="K3">
        <v>4</v>
      </c>
      <c r="L3" t="s">
        <v>291</v>
      </c>
      <c r="M3">
        <v>-185.91764705882355</v>
      </c>
      <c r="N3" t="s">
        <v>325</v>
      </c>
      <c r="O3">
        <v>4</v>
      </c>
    </row>
  </sheetData>
  <autoFilter ref="A1:O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10.44140625" bestFit="1" customWidth="1"/>
    <col min="15" max="15" width="14.109375" bestFit="1" customWidth="1"/>
  </cols>
  <sheetData>
    <row r="1" spans="1:15" x14ac:dyDescent="0.25">
      <c r="A1" t="s">
        <v>206</v>
      </c>
      <c r="B1" t="s">
        <v>207</v>
      </c>
      <c r="C1" t="s">
        <v>313</v>
      </c>
      <c r="D1" t="s">
        <v>101</v>
      </c>
      <c r="E1" t="s">
        <v>22</v>
      </c>
      <c r="F1" t="s">
        <v>21</v>
      </c>
      <c r="G1" t="s">
        <v>138</v>
      </c>
      <c r="H1" t="s">
        <v>261</v>
      </c>
      <c r="I1" t="s">
        <v>262</v>
      </c>
      <c r="J1" t="s">
        <v>263</v>
      </c>
      <c r="K1" t="s">
        <v>93</v>
      </c>
      <c r="L1" t="s">
        <v>136</v>
      </c>
      <c r="M1" t="s">
        <v>137</v>
      </c>
      <c r="N1" t="s">
        <v>135</v>
      </c>
      <c r="O1" t="s">
        <v>264</v>
      </c>
    </row>
    <row r="2" spans="1:15" x14ac:dyDescent="0.25">
      <c r="A2">
        <v>6</v>
      </c>
      <c r="B2" t="s">
        <v>9</v>
      </c>
      <c r="C2">
        <v>1</v>
      </c>
      <c r="D2" t="s">
        <v>318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295</v>
      </c>
      <c r="M2">
        <v>0</v>
      </c>
      <c r="N2" t="s">
        <v>325</v>
      </c>
      <c r="O2" t="s">
        <v>326</v>
      </c>
    </row>
    <row r="3" spans="1:15" x14ac:dyDescent="0.25">
      <c r="A3">
        <v>6</v>
      </c>
      <c r="B3" t="s">
        <v>9</v>
      </c>
      <c r="C3">
        <v>5</v>
      </c>
      <c r="D3" t="s">
        <v>323</v>
      </c>
      <c r="E3" t="s">
        <v>67</v>
      </c>
      <c r="F3">
        <v>0.05</v>
      </c>
      <c r="G3">
        <v>-100</v>
      </c>
      <c r="H3">
        <v>0</v>
      </c>
      <c r="I3" s="31">
        <v>0</v>
      </c>
      <c r="J3" t="b">
        <v>0</v>
      </c>
      <c r="K3">
        <v>5</v>
      </c>
      <c r="L3" t="s">
        <v>295</v>
      </c>
      <c r="M3">
        <v>0</v>
      </c>
      <c r="N3" t="s">
        <v>325</v>
      </c>
      <c r="O3">
        <v>5</v>
      </c>
    </row>
    <row r="4" spans="1:15" x14ac:dyDescent="0.25">
      <c r="A4">
        <v>6</v>
      </c>
      <c r="B4" t="s">
        <v>9</v>
      </c>
      <c r="C4">
        <v>3</v>
      </c>
      <c r="D4" t="s">
        <v>318</v>
      </c>
      <c r="E4" t="s">
        <v>63</v>
      </c>
      <c r="F4">
        <v>0.2</v>
      </c>
      <c r="G4">
        <v>-400</v>
      </c>
      <c r="H4">
        <v>0</v>
      </c>
      <c r="I4" s="31">
        <v>0</v>
      </c>
      <c r="J4" t="b">
        <v>0</v>
      </c>
      <c r="K4">
        <v>3</v>
      </c>
      <c r="L4" t="s">
        <v>295</v>
      </c>
      <c r="M4">
        <v>0</v>
      </c>
      <c r="N4" t="s">
        <v>325</v>
      </c>
      <c r="O4">
        <v>3</v>
      </c>
    </row>
  </sheetData>
  <autoFilter ref="A1:O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8"/>
  <sheetViews>
    <sheetView workbookViewId="0">
      <selection activeCell="B9" sqref="B9"/>
    </sheetView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10.5546875" bestFit="1" customWidth="1"/>
  </cols>
  <sheetData>
    <row r="1" spans="1:17" x14ac:dyDescent="0.25">
      <c r="A1" t="s">
        <v>299</v>
      </c>
      <c r="B1" s="30" t="s">
        <v>297</v>
      </c>
      <c r="C1" s="30" t="s">
        <v>298</v>
      </c>
      <c r="D1" t="s">
        <v>300</v>
      </c>
      <c r="E1" t="s">
        <v>301</v>
      </c>
      <c r="F1" t="s">
        <v>165</v>
      </c>
      <c r="G1" t="s">
        <v>166</v>
      </c>
      <c r="H1" t="s">
        <v>170</v>
      </c>
      <c r="I1" t="s">
        <v>302</v>
      </c>
      <c r="J1" t="s">
        <v>160</v>
      </c>
      <c r="K1" t="s">
        <v>304</v>
      </c>
      <c r="L1" t="s">
        <v>305</v>
      </c>
      <c r="M1" t="s">
        <v>306</v>
      </c>
      <c r="N1" t="s">
        <v>303</v>
      </c>
      <c r="O1" t="s">
        <v>307</v>
      </c>
      <c r="P1" t="s">
        <v>308</v>
      </c>
      <c r="Q1" t="s">
        <v>309</v>
      </c>
    </row>
    <row r="2" spans="1:17" x14ac:dyDescent="0.25">
      <c r="A2">
        <v>1</v>
      </c>
      <c r="B2">
        <v>1</v>
      </c>
      <c r="C2">
        <v>3</v>
      </c>
      <c r="D2" t="s">
        <v>14</v>
      </c>
      <c r="E2" t="s">
        <v>14</v>
      </c>
      <c r="F2" t="s">
        <v>318</v>
      </c>
      <c r="G2" t="s">
        <v>12</v>
      </c>
      <c r="H2">
        <v>-900</v>
      </c>
      <c r="I2">
        <v>800</v>
      </c>
      <c r="J2">
        <v>0</v>
      </c>
      <c r="K2">
        <v>800</v>
      </c>
      <c r="L2">
        <v>-100</v>
      </c>
      <c r="M2">
        <v>0</v>
      </c>
      <c r="N2">
        <v>0</v>
      </c>
      <c r="O2" t="s">
        <v>291</v>
      </c>
      <c r="P2" t="s">
        <v>293</v>
      </c>
      <c r="Q2" t="s">
        <v>328</v>
      </c>
    </row>
    <row r="3" spans="1:17" x14ac:dyDescent="0.25">
      <c r="A3">
        <v>2</v>
      </c>
      <c r="B3">
        <v>1</v>
      </c>
      <c r="C3">
        <v>1</v>
      </c>
      <c r="D3" t="s">
        <v>14</v>
      </c>
      <c r="E3" t="s">
        <v>14</v>
      </c>
      <c r="F3" t="s">
        <v>318</v>
      </c>
      <c r="G3" t="s">
        <v>12</v>
      </c>
      <c r="H3">
        <v>-100</v>
      </c>
      <c r="I3">
        <v>175</v>
      </c>
      <c r="J3">
        <v>0</v>
      </c>
      <c r="K3">
        <v>175</v>
      </c>
      <c r="L3">
        <v>0</v>
      </c>
      <c r="M3">
        <v>75</v>
      </c>
      <c r="N3">
        <v>75</v>
      </c>
      <c r="O3" t="s">
        <v>295</v>
      </c>
      <c r="P3" t="s">
        <v>204</v>
      </c>
      <c r="Q3" t="s">
        <v>328</v>
      </c>
    </row>
    <row r="4" spans="1:17" x14ac:dyDescent="0.25">
      <c r="A4">
        <v>3</v>
      </c>
      <c r="B4">
        <v>2</v>
      </c>
      <c r="C4">
        <v>8</v>
      </c>
      <c r="D4" t="s">
        <v>42</v>
      </c>
      <c r="E4" t="s">
        <v>29</v>
      </c>
      <c r="F4" t="s">
        <v>318</v>
      </c>
      <c r="G4" t="s">
        <v>12</v>
      </c>
      <c r="H4">
        <v>-500</v>
      </c>
      <c r="I4">
        <v>475</v>
      </c>
      <c r="J4">
        <v>0.15</v>
      </c>
      <c r="K4">
        <v>403.75</v>
      </c>
      <c r="L4">
        <v>-96.25</v>
      </c>
      <c r="M4">
        <v>0</v>
      </c>
      <c r="N4">
        <v>0</v>
      </c>
      <c r="O4" t="s">
        <v>291</v>
      </c>
      <c r="P4" t="s">
        <v>293</v>
      </c>
      <c r="Q4" t="s">
        <v>328</v>
      </c>
    </row>
    <row r="5" spans="1:17" x14ac:dyDescent="0.25">
      <c r="A5">
        <v>4</v>
      </c>
      <c r="B5">
        <v>5</v>
      </c>
      <c r="C5">
        <v>7</v>
      </c>
      <c r="D5" t="s">
        <v>67</v>
      </c>
      <c r="E5" t="s">
        <v>51</v>
      </c>
      <c r="F5" t="s">
        <v>323</v>
      </c>
      <c r="G5" t="s">
        <v>12</v>
      </c>
      <c r="H5">
        <v>-100</v>
      </c>
      <c r="I5">
        <v>480</v>
      </c>
      <c r="J5">
        <v>0.15</v>
      </c>
      <c r="K5">
        <v>408</v>
      </c>
      <c r="L5">
        <v>0</v>
      </c>
      <c r="M5">
        <v>308</v>
      </c>
      <c r="N5">
        <v>362.35294117647061</v>
      </c>
      <c r="O5" t="s">
        <v>295</v>
      </c>
      <c r="P5" t="s">
        <v>204</v>
      </c>
      <c r="Q5" t="s">
        <v>328</v>
      </c>
    </row>
    <row r="6" spans="1:17" x14ac:dyDescent="0.25">
      <c r="A6">
        <v>5</v>
      </c>
      <c r="B6">
        <v>3</v>
      </c>
      <c r="C6">
        <v>7</v>
      </c>
      <c r="D6" t="s">
        <v>63</v>
      </c>
      <c r="E6" t="s">
        <v>51</v>
      </c>
      <c r="F6" t="s">
        <v>318</v>
      </c>
      <c r="G6" t="s">
        <v>12</v>
      </c>
      <c r="H6">
        <v>-400</v>
      </c>
      <c r="I6">
        <v>362.35294117647061</v>
      </c>
      <c r="J6">
        <v>0.2</v>
      </c>
      <c r="K6">
        <v>289.88235294117646</v>
      </c>
      <c r="L6">
        <v>-110.11764705882354</v>
      </c>
      <c r="M6">
        <v>0</v>
      </c>
      <c r="N6">
        <v>0</v>
      </c>
      <c r="O6" t="s">
        <v>291</v>
      </c>
      <c r="P6" t="s">
        <v>293</v>
      </c>
      <c r="Q6" t="s">
        <v>328</v>
      </c>
    </row>
    <row r="7" spans="1:17" x14ac:dyDescent="0.25">
      <c r="A7">
        <v>6</v>
      </c>
      <c r="B7">
        <v>3</v>
      </c>
      <c r="C7">
        <v>2</v>
      </c>
      <c r="D7" t="s">
        <v>63</v>
      </c>
      <c r="E7" t="s">
        <v>67</v>
      </c>
      <c r="F7" t="s">
        <v>318</v>
      </c>
      <c r="G7" t="s">
        <v>12</v>
      </c>
      <c r="H7">
        <v>-110.11764705882354</v>
      </c>
      <c r="I7">
        <v>150</v>
      </c>
      <c r="J7">
        <v>0.2</v>
      </c>
      <c r="K7">
        <v>120</v>
      </c>
      <c r="L7">
        <v>0</v>
      </c>
      <c r="M7">
        <v>9.8823529411764639</v>
      </c>
      <c r="N7">
        <v>12.35294117647058</v>
      </c>
      <c r="O7" t="s">
        <v>295</v>
      </c>
      <c r="P7" t="s">
        <v>204</v>
      </c>
      <c r="Q7" t="s">
        <v>328</v>
      </c>
    </row>
    <row r="8" spans="1:17" x14ac:dyDescent="0.25">
      <c r="A8">
        <v>7</v>
      </c>
      <c r="B8">
        <v>4</v>
      </c>
      <c r="C8">
        <v>2</v>
      </c>
      <c r="D8" t="s">
        <v>14</v>
      </c>
      <c r="E8" t="s">
        <v>67</v>
      </c>
      <c r="F8" t="s">
        <v>323</v>
      </c>
      <c r="G8" t="s">
        <v>12</v>
      </c>
      <c r="H8">
        <v>-200</v>
      </c>
      <c r="I8">
        <v>14.823529411764696</v>
      </c>
      <c r="J8">
        <v>0.05</v>
      </c>
      <c r="K8">
        <v>14.082352941176461</v>
      </c>
      <c r="L8">
        <v>-185.91764705882355</v>
      </c>
      <c r="M8">
        <v>0</v>
      </c>
      <c r="N8">
        <v>0</v>
      </c>
      <c r="O8" t="s">
        <v>291</v>
      </c>
      <c r="P8" t="s">
        <v>293</v>
      </c>
      <c r="Q8" t="s">
        <v>328</v>
      </c>
    </row>
  </sheetData>
  <autoFilter ref="A1:Q8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B0FF3BE-777B-47D2-B619-CCD68E8BDE4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old_steps</vt:lpstr>
      <vt:lpstr>in</vt:lpstr>
      <vt:lpstr>out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2017-05-21T03:01:10Z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
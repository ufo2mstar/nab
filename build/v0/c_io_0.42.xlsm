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80" windowWidth="23040" windowHeight="8610" tabRatio="792" firstSheet="1" activeTab="1"/>
  </bookViews>
  <sheets>
    <sheet name="out" sheetId="14" state="hidden" r:id="rId1"/>
    <sheet name="Run_Consumption" sheetId="111" r:id="rId2"/>
  </sheets>
  <functionGroups builtInGroupCount="17"/>
  <definedNames>
    <definedName name="_xlnm._FilterDatabase" localSheetId="0" hidden="1">out!$E$1:$G$1</definedName>
  </definedNames>
  <calcPr calcId="145621"/>
  <customWorkbookViews>
    <customWorkbookView name="exp" guid="{F4545DFF-08E6-4CDF-9134-6A3BEA3A7F51}" maximized="1" windowWidth="1596" windowHeight="678" activeSheetId="4"/>
  </customWorkbookViews>
</workbook>
</file>

<file path=xl/calcChain.xml><?xml version="1.0" encoding="utf-8"?>
<calcChain xmlns="http://schemas.openxmlformats.org/spreadsheetml/2006/main">
  <c r="BV3" i="14" l="1"/>
  <c r="BW3" i="14"/>
  <c r="BX3" i="14"/>
  <c r="BY3" i="14"/>
  <c r="BZ3" i="14"/>
  <c r="CA3" i="14"/>
  <c r="CB3" i="14"/>
  <c r="BV4" i="14"/>
  <c r="BW4" i="14"/>
  <c r="BX4" i="14"/>
  <c r="BY4" i="14"/>
  <c r="BZ4" i="14"/>
  <c r="CA4" i="14"/>
  <c r="CB4" i="14"/>
  <c r="BV5" i="14"/>
  <c r="BW5" i="14"/>
  <c r="BX5" i="14"/>
  <c r="BY5" i="14"/>
  <c r="BZ5" i="14"/>
  <c r="CA5" i="14"/>
  <c r="CB5" i="14"/>
  <c r="BV6" i="14"/>
  <c r="BW6" i="14"/>
  <c r="BX6" i="14"/>
  <c r="BY6" i="14"/>
  <c r="BZ6" i="14"/>
  <c r="CA6" i="14"/>
  <c r="CB6" i="14"/>
  <c r="BV7" i="14"/>
  <c r="BW7" i="14"/>
  <c r="BX7" i="14"/>
  <c r="BY7" i="14"/>
  <c r="BZ7" i="14"/>
  <c r="CA7" i="14"/>
  <c r="CB7" i="14"/>
  <c r="BV8" i="14"/>
  <c r="BW8" i="14"/>
  <c r="BX8" i="14"/>
  <c r="BY8" i="14"/>
  <c r="BZ8" i="14"/>
  <c r="CA8" i="14"/>
  <c r="CB8" i="14"/>
  <c r="BV9" i="14"/>
  <c r="BW9" i="14"/>
  <c r="BX9" i="14"/>
  <c r="BY9" i="14"/>
  <c r="BZ9" i="14"/>
  <c r="CA9" i="14"/>
  <c r="CB9" i="14"/>
  <c r="BV10" i="14"/>
  <c r="BW10" i="14"/>
  <c r="BX10" i="14"/>
  <c r="BY10" i="14"/>
  <c r="BZ10" i="14"/>
  <c r="CA10" i="14"/>
  <c r="CB10" i="14"/>
  <c r="BV11" i="14"/>
  <c r="BW11" i="14"/>
  <c r="BX11" i="14"/>
  <c r="BY11" i="14"/>
  <c r="BZ11" i="14"/>
  <c r="CA11" i="14"/>
  <c r="CB11" i="14"/>
  <c r="BV12" i="14"/>
  <c r="BW12" i="14"/>
  <c r="BX12" i="14"/>
  <c r="BY12" i="14"/>
  <c r="BZ12" i="14"/>
  <c r="CA12" i="14"/>
  <c r="CB12" i="14"/>
  <c r="BV13" i="14"/>
  <c r="BW13" i="14"/>
  <c r="BX13" i="14"/>
  <c r="BY13" i="14"/>
  <c r="BZ13" i="14"/>
  <c r="CA13" i="14"/>
  <c r="CB13" i="14"/>
  <c r="BV14" i="14"/>
  <c r="BW14" i="14"/>
  <c r="BX14" i="14"/>
  <c r="BY14" i="14"/>
  <c r="BZ14" i="14"/>
  <c r="CA14" i="14"/>
  <c r="CB14" i="14"/>
  <c r="BV15" i="14"/>
  <c r="BW15" i="14"/>
  <c r="BX15" i="14"/>
  <c r="BY15" i="14"/>
  <c r="BZ15" i="14"/>
  <c r="CA15" i="14"/>
  <c r="CB15" i="14"/>
  <c r="BV16" i="14"/>
  <c r="BW16" i="14"/>
  <c r="BX16" i="14"/>
  <c r="BY16" i="14"/>
  <c r="BZ16" i="14"/>
  <c r="CA16" i="14"/>
  <c r="CB16" i="14"/>
  <c r="BV17" i="14"/>
  <c r="BW17" i="14"/>
  <c r="BX17" i="14"/>
  <c r="BY17" i="14"/>
  <c r="BZ17" i="14"/>
  <c r="CA17" i="14"/>
  <c r="CB17" i="14"/>
  <c r="BW2" i="14" l="1"/>
  <c r="BV2" i="14"/>
  <c r="BX2" i="14"/>
  <c r="BY2" i="14"/>
  <c r="BZ2" i="14"/>
  <c r="CA2" i="14"/>
  <c r="CB2" i="14"/>
  <c r="BK3" i="14" l="1"/>
  <c r="BK4" i="14"/>
  <c r="BK5" i="14"/>
  <c r="BM5" i="14" s="1"/>
  <c r="BK6" i="14"/>
  <c r="BK7" i="14"/>
  <c r="BK8" i="14"/>
  <c r="BK9" i="14"/>
  <c r="BM9" i="14" s="1"/>
  <c r="BK10" i="14"/>
  <c r="BK11" i="14"/>
  <c r="BM11" i="14" s="1"/>
  <c r="BK12" i="14"/>
  <c r="BK13" i="14"/>
  <c r="BK14" i="14"/>
  <c r="BK15" i="14"/>
  <c r="BK16" i="14"/>
  <c r="BK17" i="14"/>
  <c r="BK18" i="14"/>
  <c r="BK19" i="14"/>
  <c r="BK20" i="14"/>
  <c r="BK2" i="14"/>
  <c r="BM4" i="14"/>
  <c r="BM7" i="14"/>
  <c r="BM8" i="14"/>
  <c r="BM12" i="14"/>
  <c r="BM15" i="14"/>
  <c r="BM16" i="14"/>
  <c r="BM17" i="14"/>
  <c r="BM20" i="14"/>
  <c r="BM19" i="14" l="1"/>
  <c r="BM13" i="14"/>
  <c r="BM3" i="14"/>
  <c r="BM18" i="14"/>
  <c r="BM14" i="14"/>
  <c r="BM10" i="14"/>
  <c r="BM6" i="14"/>
  <c r="BM2" i="14"/>
  <c r="AR3" i="14" l="1"/>
  <c r="AT3" i="14"/>
  <c r="AU3" i="14"/>
  <c r="AV3" i="14"/>
  <c r="AW3" i="14"/>
  <c r="AX3" i="14"/>
  <c r="AY3" i="14"/>
  <c r="AR4" i="14"/>
  <c r="AT4" i="14"/>
  <c r="AU4" i="14"/>
  <c r="AV4" i="14"/>
  <c r="AW4" i="14"/>
  <c r="AX4" i="14"/>
  <c r="AY4" i="14"/>
  <c r="AR5" i="14"/>
  <c r="AT5" i="14"/>
  <c r="AU5" i="14"/>
  <c r="AV5" i="14"/>
  <c r="AW5" i="14"/>
  <c r="AX5" i="14"/>
  <c r="AY5" i="14"/>
  <c r="AR6" i="14"/>
  <c r="AT6" i="14"/>
  <c r="AU6" i="14"/>
  <c r="AV6" i="14"/>
  <c r="AW6" i="14"/>
  <c r="AX6" i="14"/>
  <c r="AY6" i="14"/>
  <c r="AR7" i="14"/>
  <c r="AT7" i="14"/>
  <c r="AU7" i="14"/>
  <c r="AV7" i="14"/>
  <c r="AW7" i="14"/>
  <c r="AX7" i="14"/>
  <c r="AY7" i="14"/>
  <c r="AR8" i="14"/>
  <c r="AT8" i="14"/>
  <c r="AU8" i="14"/>
  <c r="AV8" i="14"/>
  <c r="AW8" i="14"/>
  <c r="AX8" i="14"/>
  <c r="AY8" i="14"/>
  <c r="AR9" i="14"/>
  <c r="AT9" i="14"/>
  <c r="AU9" i="14"/>
  <c r="AV9" i="14"/>
  <c r="AW9" i="14"/>
  <c r="AX9" i="14"/>
  <c r="AY9" i="14"/>
  <c r="AR10" i="14"/>
  <c r="AT10" i="14"/>
  <c r="AU10" i="14"/>
  <c r="AV10" i="14"/>
  <c r="AW10" i="14"/>
  <c r="AX10" i="14"/>
  <c r="AY10" i="14"/>
  <c r="AR11" i="14"/>
  <c r="AT11" i="14"/>
  <c r="AU11" i="14"/>
  <c r="AV11" i="14"/>
  <c r="AW11" i="14"/>
  <c r="AX11" i="14"/>
  <c r="AY11" i="14"/>
  <c r="AR12" i="14"/>
  <c r="AT12" i="14"/>
  <c r="AU12" i="14"/>
  <c r="AV12" i="14"/>
  <c r="AW12" i="14"/>
  <c r="AX12" i="14"/>
  <c r="AY12" i="14"/>
  <c r="AR13" i="14"/>
  <c r="AT13" i="14"/>
  <c r="AU13" i="14"/>
  <c r="AV13" i="14"/>
  <c r="AW13" i="14"/>
  <c r="AX13" i="14"/>
  <c r="AY13" i="14"/>
  <c r="AR14" i="14"/>
  <c r="AT14" i="14"/>
  <c r="AU14" i="14"/>
  <c r="AV14" i="14"/>
  <c r="AW14" i="14"/>
  <c r="AX14" i="14"/>
  <c r="AY14" i="14"/>
  <c r="AR15" i="14"/>
  <c r="AT15" i="14"/>
  <c r="AU15" i="14"/>
  <c r="AV15" i="14"/>
  <c r="AW15" i="14"/>
  <c r="AX15" i="14"/>
  <c r="AY15" i="14"/>
  <c r="AR16" i="14"/>
  <c r="AT16" i="14"/>
  <c r="AU16" i="14"/>
  <c r="AV16" i="14"/>
  <c r="AW16" i="14"/>
  <c r="AX16" i="14"/>
  <c r="AY16" i="14"/>
  <c r="AR17" i="14"/>
  <c r="AT17" i="14"/>
  <c r="AU17" i="14"/>
  <c r="AV17" i="14"/>
  <c r="AW17" i="14"/>
  <c r="AX17" i="14"/>
  <c r="AY17" i="14"/>
  <c r="AR18" i="14"/>
  <c r="AT18" i="14"/>
  <c r="AU18" i="14"/>
  <c r="AV18" i="14"/>
  <c r="AW18" i="14"/>
  <c r="AX18" i="14"/>
  <c r="AY18" i="14"/>
  <c r="AR19" i="14"/>
  <c r="AT19" i="14"/>
  <c r="AU19" i="14"/>
  <c r="AV19" i="14"/>
  <c r="AW19" i="14"/>
  <c r="AX19" i="14"/>
  <c r="AY19" i="14"/>
  <c r="AR20" i="14"/>
  <c r="AT20" i="14"/>
  <c r="AU20" i="14"/>
  <c r="AV20" i="14"/>
  <c r="AW20" i="14"/>
  <c r="AX20" i="14"/>
  <c r="AY20" i="14"/>
  <c r="AR21" i="14"/>
  <c r="AT21" i="14"/>
  <c r="AU21" i="14"/>
  <c r="AV21" i="14"/>
  <c r="AW21" i="14"/>
  <c r="AX21" i="14"/>
  <c r="AY21" i="14"/>
  <c r="AR22" i="14"/>
  <c r="AT22" i="14"/>
  <c r="AU22" i="14"/>
  <c r="AV22" i="14"/>
  <c r="AW22" i="14"/>
  <c r="AX22" i="14"/>
  <c r="AY22" i="14"/>
  <c r="AR23" i="14"/>
  <c r="AT23" i="14"/>
  <c r="AU23" i="14"/>
  <c r="AV23" i="14"/>
  <c r="AW23" i="14"/>
  <c r="AX23" i="14"/>
  <c r="AY23" i="14"/>
  <c r="AR24" i="14"/>
  <c r="AT24" i="14"/>
  <c r="AU24" i="14"/>
  <c r="AV24" i="14"/>
  <c r="AW24" i="14"/>
  <c r="AX24" i="14"/>
  <c r="AY24" i="14"/>
  <c r="AR25" i="14"/>
  <c r="AT25" i="14"/>
  <c r="AU25" i="14"/>
  <c r="AV25" i="14"/>
  <c r="AW25" i="14"/>
  <c r="AX25" i="14"/>
  <c r="AY25" i="14"/>
  <c r="AR26" i="14"/>
  <c r="AT26" i="14"/>
  <c r="AU26" i="14"/>
  <c r="AV26" i="14"/>
  <c r="AW26" i="14"/>
  <c r="AX26" i="14"/>
  <c r="AY26" i="14"/>
  <c r="AR27" i="14"/>
  <c r="AT27" i="14"/>
  <c r="AU27" i="14"/>
  <c r="AV27" i="14"/>
  <c r="AW27" i="14"/>
  <c r="AX27" i="14"/>
  <c r="AY27" i="14"/>
  <c r="AR28" i="14"/>
  <c r="AT28" i="14"/>
  <c r="AU28" i="14"/>
  <c r="AV28" i="14"/>
  <c r="AW28" i="14"/>
  <c r="AX28" i="14"/>
  <c r="AY28" i="14"/>
  <c r="AL8" i="14" l="1"/>
  <c r="AL9" i="14"/>
  <c r="AL10" i="14"/>
  <c r="AL11" i="14"/>
  <c r="AL12" i="14"/>
  <c r="AL13" i="14"/>
  <c r="AL14" i="14"/>
  <c r="AL7" i="14"/>
  <c r="AX2" i="14" l="1"/>
  <c r="AW2" i="14"/>
  <c r="Q44" i="14" l="1"/>
  <c r="P44" i="14"/>
  <c r="O44" i="14"/>
  <c r="N44" i="14"/>
  <c r="M44" i="14"/>
  <c r="K44" i="14"/>
  <c r="B44" i="14"/>
  <c r="L44" i="14" s="1"/>
  <c r="Q43" i="14"/>
  <c r="P43" i="14"/>
  <c r="O43" i="14"/>
  <c r="N43" i="14"/>
  <c r="M43" i="14"/>
  <c r="K43" i="14"/>
  <c r="I43" i="14"/>
  <c r="B43" i="14"/>
  <c r="L43" i="14" s="1"/>
  <c r="Q42" i="14"/>
  <c r="P42" i="14"/>
  <c r="O42" i="14"/>
  <c r="N42" i="14"/>
  <c r="M42" i="14"/>
  <c r="K42" i="14"/>
  <c r="I42" i="14"/>
  <c r="B42" i="14"/>
  <c r="L42" i="14" s="1"/>
  <c r="Q41" i="14"/>
  <c r="P41" i="14"/>
  <c r="O41" i="14"/>
  <c r="N41" i="14"/>
  <c r="M41" i="14"/>
  <c r="K41" i="14"/>
  <c r="I41" i="14"/>
  <c r="B41" i="14"/>
  <c r="L41" i="14" s="1"/>
  <c r="Q40" i="14"/>
  <c r="P40" i="14"/>
  <c r="O40" i="14"/>
  <c r="N40" i="14"/>
  <c r="M40" i="14"/>
  <c r="K40" i="14"/>
  <c r="I40" i="14"/>
  <c r="B40" i="14"/>
  <c r="L40" i="14" s="1"/>
  <c r="Q39" i="14"/>
  <c r="P39" i="14"/>
  <c r="O39" i="14"/>
  <c r="N39" i="14"/>
  <c r="M39" i="14"/>
  <c r="K39" i="14"/>
  <c r="I39" i="14"/>
  <c r="B39" i="14"/>
  <c r="L39" i="14" s="1"/>
  <c r="Q38" i="14"/>
  <c r="P38" i="14"/>
  <c r="O38" i="14"/>
  <c r="N38" i="14"/>
  <c r="M38" i="14"/>
  <c r="K38" i="14"/>
  <c r="I38" i="14"/>
  <c r="B38" i="14"/>
  <c r="L38" i="14" s="1"/>
  <c r="Q37" i="14"/>
  <c r="P37" i="14"/>
  <c r="O37" i="14"/>
  <c r="N37" i="14"/>
  <c r="M37" i="14"/>
  <c r="K37" i="14"/>
  <c r="I37" i="14"/>
  <c r="B37" i="14"/>
  <c r="L37" i="14" s="1"/>
  <c r="Q36" i="14"/>
  <c r="P36" i="14"/>
  <c r="O36" i="14"/>
  <c r="N36" i="14"/>
  <c r="M36" i="14"/>
  <c r="K36" i="14"/>
  <c r="I36" i="14"/>
  <c r="B36" i="14"/>
  <c r="L36" i="14" s="1"/>
  <c r="Q35" i="14"/>
  <c r="P35" i="14"/>
  <c r="O35" i="14"/>
  <c r="N35" i="14"/>
  <c r="M35" i="14"/>
  <c r="K35" i="14"/>
  <c r="I35" i="14"/>
  <c r="B35" i="14"/>
  <c r="L35" i="14" s="1"/>
  <c r="Q34" i="14"/>
  <c r="P34" i="14"/>
  <c r="O34" i="14"/>
  <c r="N34" i="14"/>
  <c r="M34" i="14"/>
  <c r="K34" i="14"/>
  <c r="I34" i="14"/>
  <c r="B34" i="14"/>
  <c r="L34" i="14" s="1"/>
  <c r="Q33" i="14"/>
  <c r="P33" i="14"/>
  <c r="O33" i="14"/>
  <c r="N33" i="14"/>
  <c r="M33" i="14"/>
  <c r="K33" i="14"/>
  <c r="I33" i="14"/>
  <c r="B33" i="14"/>
  <c r="L33" i="14" s="1"/>
  <c r="Q32" i="14"/>
  <c r="P32" i="14"/>
  <c r="O32" i="14"/>
  <c r="N32" i="14"/>
  <c r="M32" i="14"/>
  <c r="K32" i="14"/>
  <c r="I32" i="14"/>
  <c r="B32" i="14"/>
  <c r="L32" i="14" s="1"/>
  <c r="Q31" i="14"/>
  <c r="P31" i="14"/>
  <c r="O31" i="14"/>
  <c r="N31" i="14"/>
  <c r="M31" i="14"/>
  <c r="K31" i="14"/>
  <c r="I31" i="14"/>
  <c r="B31" i="14"/>
  <c r="L31" i="14" s="1"/>
  <c r="Q30" i="14"/>
  <c r="P30" i="14"/>
  <c r="O30" i="14"/>
  <c r="N30" i="14"/>
  <c r="M30" i="14"/>
  <c r="K30" i="14"/>
  <c r="B30" i="14"/>
  <c r="L30" i="14" s="1"/>
  <c r="Q29" i="14"/>
  <c r="P29" i="14"/>
  <c r="O29" i="14"/>
  <c r="N29" i="14"/>
  <c r="M29" i="14"/>
  <c r="K29" i="14"/>
  <c r="B29" i="14"/>
  <c r="L29" i="14" s="1"/>
  <c r="Q28" i="14"/>
  <c r="P28" i="14"/>
  <c r="O28" i="14"/>
  <c r="N28" i="14"/>
  <c r="M28" i="14"/>
  <c r="K28" i="14"/>
  <c r="B28" i="14"/>
  <c r="L28" i="14" s="1"/>
  <c r="Q27" i="14"/>
  <c r="P27" i="14"/>
  <c r="O27" i="14"/>
  <c r="N27" i="14"/>
  <c r="M27" i="14"/>
  <c r="K27" i="14"/>
  <c r="B27" i="14"/>
  <c r="L27" i="14" s="1"/>
  <c r="Q26" i="14"/>
  <c r="P26" i="14"/>
  <c r="O26" i="14"/>
  <c r="N26" i="14"/>
  <c r="M26" i="14"/>
  <c r="K26" i="14"/>
  <c r="B26" i="14"/>
  <c r="G25" i="14"/>
  <c r="B25" i="14"/>
  <c r="AS25" i="14" s="1"/>
  <c r="G24" i="14"/>
  <c r="B24" i="14"/>
  <c r="AS24" i="14" s="1"/>
  <c r="G23" i="14"/>
  <c r="B23" i="14"/>
  <c r="AS23" i="14" s="1"/>
  <c r="G22" i="14"/>
  <c r="B22" i="14"/>
  <c r="G21" i="14"/>
  <c r="B21" i="14"/>
  <c r="G20" i="14"/>
  <c r="B20" i="14"/>
  <c r="G19" i="14"/>
  <c r="B19" i="14"/>
  <c r="G18" i="14"/>
  <c r="B18" i="14"/>
  <c r="G17" i="14"/>
  <c r="B17" i="14"/>
  <c r="AD16" i="14"/>
  <c r="AC16" i="14"/>
  <c r="AB16" i="14"/>
  <c r="AA16" i="14"/>
  <c r="Z16" i="14"/>
  <c r="X16" i="14"/>
  <c r="Q16" i="14"/>
  <c r="P16" i="14"/>
  <c r="O16" i="14"/>
  <c r="N16" i="14"/>
  <c r="M16" i="14"/>
  <c r="K16" i="14"/>
  <c r="B16" i="14"/>
  <c r="AD15" i="14"/>
  <c r="AC15" i="14"/>
  <c r="AB15" i="14"/>
  <c r="AA15" i="14"/>
  <c r="Z15" i="14"/>
  <c r="X15" i="14"/>
  <c r="Q15" i="14"/>
  <c r="P15" i="14"/>
  <c r="O15" i="14"/>
  <c r="N15" i="14"/>
  <c r="M15" i="14"/>
  <c r="K15" i="14"/>
  <c r="B15" i="14"/>
  <c r="AD14" i="14"/>
  <c r="AC14" i="14"/>
  <c r="AB14" i="14"/>
  <c r="AA14" i="14"/>
  <c r="Z14" i="14"/>
  <c r="X14" i="14"/>
  <c r="Q14" i="14"/>
  <c r="P14" i="14"/>
  <c r="O14" i="14"/>
  <c r="N14" i="14"/>
  <c r="M14" i="14"/>
  <c r="K14" i="14"/>
  <c r="B14" i="14"/>
  <c r="AD13" i="14"/>
  <c r="AC13" i="14"/>
  <c r="AB13" i="14"/>
  <c r="AA13" i="14"/>
  <c r="Z13" i="14"/>
  <c r="X13" i="14"/>
  <c r="Q13" i="14"/>
  <c r="P13" i="14"/>
  <c r="O13" i="14"/>
  <c r="N13" i="14"/>
  <c r="M13" i="14"/>
  <c r="K13" i="14"/>
  <c r="B13" i="14"/>
  <c r="AD12" i="14"/>
  <c r="AC12" i="14"/>
  <c r="AB12" i="14"/>
  <c r="AA12" i="14"/>
  <c r="Z12" i="14"/>
  <c r="X12" i="14"/>
  <c r="Q12" i="14"/>
  <c r="P12" i="14"/>
  <c r="O12" i="14"/>
  <c r="N12" i="14"/>
  <c r="M12" i="14"/>
  <c r="K12" i="14"/>
  <c r="B12" i="14"/>
  <c r="U11" i="14"/>
  <c r="AC11" i="14" s="1"/>
  <c r="Q11" i="14"/>
  <c r="P11" i="14"/>
  <c r="O11" i="14"/>
  <c r="N11" i="14"/>
  <c r="M11" i="14"/>
  <c r="K11" i="14"/>
  <c r="B11" i="14"/>
  <c r="U10" i="14"/>
  <c r="AC10" i="14" s="1"/>
  <c r="Q10" i="14"/>
  <c r="P10" i="14"/>
  <c r="O10" i="14"/>
  <c r="N10" i="14"/>
  <c r="M10" i="14"/>
  <c r="K10" i="14"/>
  <c r="B10" i="14"/>
  <c r="U9" i="14"/>
  <c r="AC9" i="14" s="1"/>
  <c r="Q9" i="14"/>
  <c r="P9" i="14"/>
  <c r="O9" i="14"/>
  <c r="N9" i="14"/>
  <c r="M9" i="14"/>
  <c r="K9" i="14"/>
  <c r="B9" i="14"/>
  <c r="AD8" i="14"/>
  <c r="AC8" i="14"/>
  <c r="AB8" i="14"/>
  <c r="AA8" i="14"/>
  <c r="Z8" i="14"/>
  <c r="X8" i="14"/>
  <c r="Q8" i="14"/>
  <c r="P8" i="14"/>
  <c r="O8" i="14"/>
  <c r="N8" i="14"/>
  <c r="M8" i="14"/>
  <c r="K8" i="14"/>
  <c r="B8" i="14"/>
  <c r="AD7" i="14"/>
  <c r="AC7" i="14"/>
  <c r="AB7" i="14"/>
  <c r="AA7" i="14"/>
  <c r="Z7" i="14"/>
  <c r="X7" i="14"/>
  <c r="Q7" i="14"/>
  <c r="P7" i="14"/>
  <c r="O7" i="14"/>
  <c r="N7" i="14"/>
  <c r="M7" i="14"/>
  <c r="K7" i="14"/>
  <c r="B7" i="14"/>
  <c r="AD6" i="14"/>
  <c r="AC6" i="14"/>
  <c r="AB6" i="14"/>
  <c r="AA6" i="14"/>
  <c r="Z6" i="14"/>
  <c r="X6" i="14"/>
  <c r="G6" i="14"/>
  <c r="B6" i="14"/>
  <c r="AD5" i="14"/>
  <c r="AC5" i="14"/>
  <c r="AB5" i="14"/>
  <c r="AA5" i="14"/>
  <c r="Z5" i="14"/>
  <c r="X5" i="14"/>
  <c r="G5" i="14"/>
  <c r="B5" i="14"/>
  <c r="U4" i="14"/>
  <c r="AA4" i="14" s="1"/>
  <c r="G4" i="14"/>
  <c r="B4" i="14"/>
  <c r="U3" i="14"/>
  <c r="AB3" i="14" s="1"/>
  <c r="G3" i="14"/>
  <c r="B3" i="14"/>
  <c r="AY2" i="14"/>
  <c r="AV2" i="14"/>
  <c r="AU2" i="14"/>
  <c r="AT2" i="14"/>
  <c r="AR2" i="14"/>
  <c r="U2" i="14"/>
  <c r="AC2" i="14" s="1"/>
  <c r="G2" i="14"/>
  <c r="B2" i="14"/>
  <c r="AS6" i="14" l="1"/>
  <c r="BF6" i="14"/>
  <c r="BL6" i="14"/>
  <c r="AS7" i="14"/>
  <c r="L7" i="14"/>
  <c r="BF7" i="14"/>
  <c r="BL7" i="14"/>
  <c r="AS2" i="14"/>
  <c r="BF2" i="14"/>
  <c r="BL2" i="14"/>
  <c r="AS3" i="14"/>
  <c r="BF3" i="14"/>
  <c r="BL3" i="14"/>
  <c r="N4" i="14"/>
  <c r="L4" i="14"/>
  <c r="AS9" i="14"/>
  <c r="BF9" i="14"/>
  <c r="BL9" i="14"/>
  <c r="L9" i="14"/>
  <c r="AS10" i="14"/>
  <c r="BF10" i="14"/>
  <c r="L10" i="14"/>
  <c r="BL10" i="14"/>
  <c r="AS11" i="14"/>
  <c r="L11" i="14"/>
  <c r="BF11" i="14"/>
  <c r="BL11" i="14"/>
  <c r="AS12" i="14"/>
  <c r="L12" i="14"/>
  <c r="BL12" i="14"/>
  <c r="BF12" i="14"/>
  <c r="AS16" i="14"/>
  <c r="BL16" i="14"/>
  <c r="BF16" i="14"/>
  <c r="L16" i="14"/>
  <c r="Q18" i="14"/>
  <c r="L18" i="14"/>
  <c r="Q20" i="14"/>
  <c r="L20" i="14"/>
  <c r="O22" i="14"/>
  <c r="L22" i="14"/>
  <c r="M24" i="14"/>
  <c r="L24" i="14"/>
  <c r="P2" i="14"/>
  <c r="L2" i="14"/>
  <c r="O3" i="14"/>
  <c r="L3" i="14"/>
  <c r="AS13" i="14"/>
  <c r="BF13" i="14"/>
  <c r="L13" i="14"/>
  <c r="BL13" i="14"/>
  <c r="AS17" i="14"/>
  <c r="BF17" i="14"/>
  <c r="BL17" i="14"/>
  <c r="AS19" i="14"/>
  <c r="BF19" i="14"/>
  <c r="BL19" i="14"/>
  <c r="AS21" i="14"/>
  <c r="BF21" i="14"/>
  <c r="AS5" i="14"/>
  <c r="BF5" i="14"/>
  <c r="BL5" i="14"/>
  <c r="AS14" i="14"/>
  <c r="BF14" i="14"/>
  <c r="L14" i="14"/>
  <c r="BL14" i="14"/>
  <c r="P17" i="14"/>
  <c r="L17" i="14"/>
  <c r="Q19" i="14"/>
  <c r="L19" i="14"/>
  <c r="P21" i="14"/>
  <c r="L21" i="14"/>
  <c r="K23" i="14"/>
  <c r="L23" i="14"/>
  <c r="N25" i="14"/>
  <c r="L25" i="14"/>
  <c r="AS4" i="14"/>
  <c r="BL4" i="14"/>
  <c r="BF4" i="14"/>
  <c r="P5" i="14"/>
  <c r="L5" i="14"/>
  <c r="M6" i="14"/>
  <c r="L6" i="14"/>
  <c r="AS8" i="14"/>
  <c r="BL8" i="14"/>
  <c r="BF8" i="14"/>
  <c r="L8" i="14"/>
  <c r="AS15" i="14"/>
  <c r="L15" i="14"/>
  <c r="BL15" i="14"/>
  <c r="BF15" i="14"/>
  <c r="AS18" i="14"/>
  <c r="BF18" i="14"/>
  <c r="BL18" i="14"/>
  <c r="AS20" i="14"/>
  <c r="BL20" i="14"/>
  <c r="BF20" i="14"/>
  <c r="AS22" i="14"/>
  <c r="BF22" i="14"/>
  <c r="AS26" i="14"/>
  <c r="L26" i="14"/>
  <c r="AS28" i="14"/>
  <c r="AS27" i="14"/>
  <c r="K5" i="14"/>
  <c r="Q2" i="14"/>
  <c r="Y7" i="14"/>
  <c r="Y13" i="14"/>
  <c r="M25" i="14"/>
  <c r="M3" i="14"/>
  <c r="P3" i="14"/>
  <c r="N5" i="14"/>
  <c r="Q23" i="14"/>
  <c r="Q5" i="14"/>
  <c r="Z3" i="14"/>
  <c r="P4" i="14"/>
  <c r="AD10" i="14"/>
  <c r="K24" i="14"/>
  <c r="N24" i="14"/>
  <c r="AD9" i="14"/>
  <c r="N17" i="14"/>
  <c r="M19" i="14"/>
  <c r="O24" i="14"/>
  <c r="O5" i="14"/>
  <c r="Y15" i="14"/>
  <c r="M23" i="14"/>
  <c r="N6" i="14"/>
  <c r="AD11" i="14"/>
  <c r="K18" i="14"/>
  <c r="Q3" i="14"/>
  <c r="AB4" i="14"/>
  <c r="P6" i="14"/>
  <c r="Y8" i="14"/>
  <c r="P19" i="14"/>
  <c r="M22" i="14"/>
  <c r="N23" i="14"/>
  <c r="O6" i="14"/>
  <c r="AC4" i="14"/>
  <c r="Q6" i="14"/>
  <c r="M18" i="14"/>
  <c r="P22" i="14"/>
  <c r="O23" i="14"/>
  <c r="X3" i="14"/>
  <c r="M5" i="14"/>
  <c r="Y14" i="14"/>
  <c r="N18" i="14"/>
  <c r="Q22" i="14"/>
  <c r="P23" i="14"/>
  <c r="O18" i="14"/>
  <c r="K6" i="14"/>
  <c r="P18" i="14"/>
  <c r="AC3" i="14"/>
  <c r="AD2" i="14"/>
  <c r="K3" i="14"/>
  <c r="AD3" i="14"/>
  <c r="O4" i="14"/>
  <c r="M17" i="14"/>
  <c r="K19" i="14"/>
  <c r="Q21" i="14"/>
  <c r="K2" i="14"/>
  <c r="X2" i="14"/>
  <c r="Q4" i="14"/>
  <c r="AD4" i="14"/>
  <c r="X9" i="14"/>
  <c r="X10" i="14"/>
  <c r="X11" i="14"/>
  <c r="Y12" i="14"/>
  <c r="O17" i="14"/>
  <c r="K21" i="14"/>
  <c r="P24" i="14"/>
  <c r="O25" i="14"/>
  <c r="Y2" i="14"/>
  <c r="Y9" i="14"/>
  <c r="Y10" i="14"/>
  <c r="Y11" i="14"/>
  <c r="N19" i="14"/>
  <c r="M20" i="14"/>
  <c r="K22" i="14"/>
  <c r="Q24" i="14"/>
  <c r="P25" i="14"/>
  <c r="M2" i="14"/>
  <c r="Z2" i="14"/>
  <c r="Y3" i="14"/>
  <c r="K4" i="14"/>
  <c r="X4" i="14"/>
  <c r="Z9" i="14"/>
  <c r="Z10" i="14"/>
  <c r="Z11" i="14"/>
  <c r="Q17" i="14"/>
  <c r="O19" i="14"/>
  <c r="N20" i="14"/>
  <c r="M21" i="14"/>
  <c r="Q25" i="14"/>
  <c r="N2" i="14"/>
  <c r="AA2" i="14"/>
  <c r="Y4" i="14"/>
  <c r="Y5" i="14"/>
  <c r="Y6" i="14"/>
  <c r="AA9" i="14"/>
  <c r="AA10" i="14"/>
  <c r="AA11" i="14"/>
  <c r="O20" i="14"/>
  <c r="N21" i="14"/>
  <c r="O2" i="14"/>
  <c r="AB2" i="14"/>
  <c r="N3" i="14"/>
  <c r="AA3" i="14"/>
  <c r="M4" i="14"/>
  <c r="Z4" i="14"/>
  <c r="AB9" i="14"/>
  <c r="AB10" i="14"/>
  <c r="AB11" i="14"/>
  <c r="Y16" i="14"/>
  <c r="K17" i="14"/>
  <c r="P20" i="14"/>
  <c r="O21" i="14"/>
  <c r="N22" i="14"/>
  <c r="K25" i="14"/>
  <c r="K20" i="14"/>
</calcChain>
</file>

<file path=xl/sharedStrings.xml><?xml version="1.0" encoding="utf-8"?>
<sst xmlns="http://schemas.openxmlformats.org/spreadsheetml/2006/main" count="554" uniqueCount="337">
  <si>
    <t>PLV</t>
  </si>
  <si>
    <t>ELV</t>
  </si>
  <si>
    <t>CCY</t>
  </si>
  <si>
    <t>MV</t>
  </si>
  <si>
    <t>Position</t>
  </si>
  <si>
    <t>MS</t>
  </si>
  <si>
    <t>NMS</t>
  </si>
  <si>
    <t>Haircut</t>
  </si>
  <si>
    <t>Currency</t>
  </si>
  <si>
    <t>Step</t>
  </si>
  <si>
    <t>Asset</t>
  </si>
  <si>
    <t>Expo</t>
  </si>
  <si>
    <t>Expo CCY</t>
  </si>
  <si>
    <t>Asset CCY</t>
  </si>
  <si>
    <t>Group</t>
  </si>
  <si>
    <t>Type</t>
  </si>
  <si>
    <t>Pos</t>
  </si>
  <si>
    <t>Position Description</t>
  </si>
  <si>
    <t>Asset Class</t>
  </si>
  <si>
    <t>Margin Stock Indicator</t>
  </si>
  <si>
    <t>Quantity</t>
  </si>
  <si>
    <t>Quantity with LV</t>
  </si>
  <si>
    <t>Market Value</t>
  </si>
  <si>
    <t>Market Value with LV</t>
  </si>
  <si>
    <t>Purpose LV %</t>
  </si>
  <si>
    <t>Purpose LV</t>
  </si>
  <si>
    <t>Applied Purpose LV %</t>
  </si>
  <si>
    <t>Applied Purpose LV</t>
  </si>
  <si>
    <t>Effective LV %</t>
  </si>
  <si>
    <t>Effective LV</t>
  </si>
  <si>
    <t>Applied Effective LV %</t>
  </si>
  <si>
    <t>Applied Effective LV</t>
  </si>
  <si>
    <t>Exposure Coverage</t>
  </si>
  <si>
    <t>Consumption Order</t>
  </si>
  <si>
    <t>PLV/ELV % Ratio</t>
  </si>
  <si>
    <t>Purpose Borrowing Availability</t>
  </si>
  <si>
    <t>Non-Purpose Borrowing Availability</t>
  </si>
  <si>
    <t>Currency Haircut</t>
  </si>
  <si>
    <t>Currency Haircut Override</t>
  </si>
  <si>
    <t>Currency Haircut Override Expiry Date</t>
  </si>
  <si>
    <t>Haircut On / Off</t>
  </si>
  <si>
    <t>Applied Haircut</t>
  </si>
  <si>
    <t>Haircut Application Rule</t>
  </si>
  <si>
    <t>Pre-Haircut LV</t>
  </si>
  <si>
    <t>Consumption Flag</t>
  </si>
  <si>
    <t>String</t>
  </si>
  <si>
    <t>Double</t>
  </si>
  <si>
    <t>Long</t>
  </si>
  <si>
    <t>AssetList</t>
  </si>
  <si>
    <t>Status</t>
  </si>
  <si>
    <t>Remaining Amount</t>
  </si>
  <si>
    <t>Exposure Amount</t>
  </si>
  <si>
    <t>VarName</t>
  </si>
  <si>
    <t>posDesc</t>
  </si>
  <si>
    <t>asstClass</t>
  </si>
  <si>
    <t>qty</t>
  </si>
  <si>
    <t>qtyWithLV</t>
  </si>
  <si>
    <t>MVwithLV</t>
  </si>
  <si>
    <t>PLVpct</t>
  </si>
  <si>
    <t>APLVpct</t>
  </si>
  <si>
    <t>APLV</t>
  </si>
  <si>
    <t>AELV</t>
  </si>
  <si>
    <t>ELVpct</t>
  </si>
  <si>
    <t>AELVpct</t>
  </si>
  <si>
    <t>expoCov</t>
  </si>
  <si>
    <t>consOrder</t>
  </si>
  <si>
    <t>LVratio</t>
  </si>
  <si>
    <t>PBA</t>
  </si>
  <si>
    <t>NPBA</t>
  </si>
  <si>
    <t>hcCCY</t>
  </si>
  <si>
    <t>hcOverride</t>
  </si>
  <si>
    <t>hcExpiry</t>
  </si>
  <si>
    <t>hcFlag</t>
  </si>
  <si>
    <t>hcApplied</t>
  </si>
  <si>
    <t>hcRule</t>
  </si>
  <si>
    <t>hcPreLV</t>
  </si>
  <si>
    <t>consFlag</t>
  </si>
  <si>
    <t>expoGroup</t>
  </si>
  <si>
    <t>expoType</t>
  </si>
  <si>
    <t>asstType</t>
  </si>
  <si>
    <t>asstList</t>
  </si>
  <si>
    <t>status</t>
  </si>
  <si>
    <t>expoAmt</t>
  </si>
  <si>
    <t>remAmt</t>
  </si>
  <si>
    <t>ExpoGroup</t>
  </si>
  <si>
    <t>ECI</t>
  </si>
  <si>
    <t>ARR</t>
  </si>
  <si>
    <t>POS</t>
  </si>
  <si>
    <t>Exposure CCY</t>
  </si>
  <si>
    <t>Assets CCY</t>
  </si>
  <si>
    <t xml:space="preserve">Arrangement Schedule Override </t>
  </si>
  <si>
    <t>CCY Haircut Override - Position Level</t>
  </si>
  <si>
    <t>CCY Haircut Override - Arrangement Level</t>
  </si>
  <si>
    <t>Haircut OFF - Position Level</t>
  </si>
  <si>
    <t>Haircut OFF - Facility</t>
  </si>
  <si>
    <t>Haircut OFF CCY - Arrangement Level</t>
  </si>
  <si>
    <t>Haircut OFF -  Arrangement Level</t>
  </si>
  <si>
    <t>Unlinked Outstanding</t>
  </si>
  <si>
    <t>Additional Exposure</t>
  </si>
  <si>
    <t>Haircut OFF - Additional Exposure</t>
  </si>
  <si>
    <t>Unauthorized Overdrafts</t>
  </si>
  <si>
    <t>Covered</t>
  </si>
  <si>
    <t>Shortfall</t>
  </si>
  <si>
    <t>Valid?</t>
  </si>
  <si>
    <t>FAC</t>
  </si>
  <si>
    <t>Boolean</t>
  </si>
  <si>
    <t>Date</t>
  </si>
  <si>
    <t>N</t>
  </si>
  <si>
    <t>P</t>
  </si>
  <si>
    <t>S</t>
  </si>
  <si>
    <t>Partial</t>
  </si>
  <si>
    <t>ARRANGEMENT_ID</t>
  </si>
  <si>
    <t>CLNT_ECI_ID</t>
  </si>
  <si>
    <t>CLNT_RPT_ACC_NBR</t>
  </si>
  <si>
    <t>BUS_SYS_CODE</t>
  </si>
  <si>
    <t>INST_UNIQUI_ID</t>
  </si>
  <si>
    <t>ACC</t>
  </si>
  <si>
    <t>BSC</t>
  </si>
  <si>
    <t>INST</t>
  </si>
  <si>
    <t>id</t>
  </si>
  <si>
    <t>ARR Haircut Override</t>
  </si>
  <si>
    <t>ARR Haircut Override Expiry Date</t>
  </si>
  <si>
    <t>ARR Haircut On / Off</t>
  </si>
  <si>
    <t>CCY Haircut Override</t>
  </si>
  <si>
    <t>CCY Haircut Override Expiry Date</t>
  </si>
  <si>
    <t>CCY Haircut On / Off</t>
  </si>
  <si>
    <t>POS Haircut Override</t>
  </si>
  <si>
    <t>POS Haircut Override Expiry Date</t>
  </si>
  <si>
    <t>POS Haircut On / Off</t>
  </si>
  <si>
    <t>Final Haircut Value</t>
  </si>
  <si>
    <t>hcValue</t>
  </si>
  <si>
    <t>Split</t>
  </si>
  <si>
    <t>not sure how this is entered</t>
  </si>
  <si>
    <t>Unit Price</t>
  </si>
  <si>
    <t>unitPrice</t>
  </si>
  <si>
    <t>"-1"</t>
  </si>
  <si>
    <t>Prefixes</t>
  </si>
  <si>
    <t>asstSheetName = "assets"</t>
  </si>
  <si>
    <t>expoSheetName = "expos"</t>
  </si>
  <si>
    <t>store</t>
  </si>
  <si>
    <t>FAC Haircut Override</t>
  </si>
  <si>
    <t>FAC Haircut Override Expiry Date</t>
  </si>
  <si>
    <t>FAC Haircut On / Off</t>
  </si>
  <si>
    <t>Exposure List</t>
  </si>
  <si>
    <t>expoList</t>
  </si>
  <si>
    <t>Expo Type</t>
  </si>
  <si>
    <t>Asst Type</t>
  </si>
  <si>
    <t>Asst Tag</t>
  </si>
  <si>
    <t>Expo Tag</t>
  </si>
  <si>
    <t>cons flag</t>
  </si>
  <si>
    <t>expo status</t>
  </si>
  <si>
    <t>Unprocessed</t>
  </si>
  <si>
    <t>U</t>
  </si>
  <si>
    <t>I</t>
  </si>
  <si>
    <t>In-Process</t>
  </si>
  <si>
    <t>C</t>
  </si>
  <si>
    <t>Consumed</t>
  </si>
  <si>
    <t>Steps</t>
  </si>
  <si>
    <t>Over</t>
  </si>
  <si>
    <t>O</t>
  </si>
  <si>
    <t>idExpo</t>
  </si>
  <si>
    <t>idAsst</t>
  </si>
  <si>
    <t>step</t>
  </si>
  <si>
    <t>expoCCY</t>
  </si>
  <si>
    <t>asstCCY</t>
  </si>
  <si>
    <t>initLV</t>
  </si>
  <si>
    <t>finLV</t>
  </si>
  <si>
    <t>hcLV</t>
  </si>
  <si>
    <t>remExpo</t>
  </si>
  <si>
    <t>remLV</t>
  </si>
  <si>
    <t>expoTag</t>
  </si>
  <si>
    <t>asstTag</t>
  </si>
  <si>
    <t>comment</t>
  </si>
  <si>
    <t>StepGroups</t>
  </si>
  <si>
    <t>EXP</t>
  </si>
  <si>
    <t>stepSheetName = "steps"</t>
  </si>
  <si>
    <t>EXP_ID</t>
  </si>
  <si>
    <t>p</t>
  </si>
  <si>
    <t>PE</t>
  </si>
  <si>
    <t>NPE</t>
  </si>
  <si>
    <t>NotConsumed</t>
  </si>
  <si>
    <t>NotStarted</t>
  </si>
  <si>
    <t>expNbr</t>
  </si>
  <si>
    <t>instNbr</t>
  </si>
  <si>
    <t>NPERC</t>
  </si>
  <si>
    <t>PERC</t>
  </si>
  <si>
    <t>RC</t>
  </si>
  <si>
    <t>AVBL</t>
  </si>
  <si>
    <t>msPBA</t>
  </si>
  <si>
    <t>nmsPBA</t>
  </si>
  <si>
    <t>msNPBA</t>
  </si>
  <si>
    <t>nmsNPBA</t>
  </si>
  <si>
    <t>reason</t>
  </si>
  <si>
    <t>remainingCounts</t>
  </si>
  <si>
    <t>remCnt</t>
  </si>
  <si>
    <t>Desc</t>
  </si>
  <si>
    <t>Exposure Number</t>
  </si>
  <si>
    <t>Instrument Number</t>
  </si>
  <si>
    <t>Applied Haircut Value</t>
  </si>
  <si>
    <t>Remaining Exposure Amount</t>
  </si>
  <si>
    <t>Reason</t>
  </si>
  <si>
    <t>MV * ELV% or PLV%(depending on PE or NPE)</t>
  </si>
  <si>
    <t>Highest HC_pct between asset and exposure.</t>
  </si>
  <si>
    <t>InitLV * (1-HC Applied)</t>
  </si>
  <si>
    <t>LV w HC + Expo Amt (if Negative)</t>
  </si>
  <si>
    <t>LV w HC + Expo Amt (if Postive)</t>
  </si>
  <si>
    <t>Rem LV / (1 - Applied hc%)</t>
  </si>
  <si>
    <t>Purpose Exposure yet to be recovered.(REM EXPO)</t>
  </si>
  <si>
    <t>NON - Purpose Exposure yet to be recovered.(REM EXPO)</t>
  </si>
  <si>
    <t>Final MS MV * PLV%</t>
  </si>
  <si>
    <t>Final NMS MV * PLV%</t>
  </si>
  <si>
    <t>Final MS MV * ELV%</t>
  </si>
  <si>
    <t>Final NMS MV * ELV%</t>
  </si>
  <si>
    <t>Unique ID that represents the Account of Client</t>
  </si>
  <si>
    <t>Inclu</t>
  </si>
  <si>
    <t>Indicates wtr security is Margin Security</t>
  </si>
  <si>
    <t>Says the Currency as Asset in</t>
  </si>
  <si>
    <t>Number of Assests available</t>
  </si>
  <si>
    <t>Market Value =Unit Price * Quantity</t>
  </si>
  <si>
    <t>The % of aggregate lending value of all pledged assets included in the monitoring arrangement, either directly pledged or cross-pledged from another client.</t>
  </si>
  <si>
    <t>The aggregate lending value of all pledged assets included in the monitoring arrangement, either directly pledged or cross-pledged from another client.</t>
  </si>
  <si>
    <t>The aggregate lending value %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</si>
  <si>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The aggregate lending value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</si>
  <si>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Purpose Lending Value / Effective Lending Value</t>
  </si>
  <si>
    <t>Lending value includes all calculations except the currency haircut</t>
  </si>
  <si>
    <t xml:space="preserve">Indicates the type of liability the consumed asset was applied to cover within the monitoring arrangement:
 purpose liability (P), non purpose liability (N) or split to cover purpose and non purpose liabilities (S) 
</t>
  </si>
  <si>
    <t>Order in which the exposure is covered using Asset.</t>
  </si>
  <si>
    <t>The value available to cover purpose exposure,The excess collateral available in the monitoring arrangement to support purpose borrowings.  This value is calculated by summing the Purpose Lending Value of all unencumbered pledged assets.  If no unencumbered assets exist, it is the difference between the Total Purpose Lending Value and Total Secured Exposure.</t>
  </si>
  <si>
    <t>The value available to cover Non purpose exposure,The excess collateral available in the monitoring arrangement to support non-purpose borrowings or secured trading activity.  This value is calculated by summing the Effective Lending Value of all unencumbered pledged assets.  This value will never be less than zero</t>
  </si>
  <si>
    <t xml:space="preserve">Indicates wtr Assest is consumed </t>
  </si>
  <si>
    <t>Indicates In which TestScenario particular ID falls</t>
  </si>
  <si>
    <t xml:space="preserve">LV % applied on the assets consumed to cover purpose exposure (margin), including the exposure covered via cross pledge. </t>
  </si>
  <si>
    <t xml:space="preserve">LV applied on the assets consumed to cover purpose exposure (margin), including the exposure covered via cross pledge. </t>
  </si>
  <si>
    <t xml:space="preserve">LV % applied on the assets consumed to cover purpose exposure (non-margin), including the exposure covered via cross pledge. </t>
  </si>
  <si>
    <t xml:space="preserve">LV applied on the assets consumed to cover purpose exposure (non-margin), including the exposure covered via cross pledge. </t>
  </si>
  <si>
    <t>Final Haircut value applied</t>
  </si>
  <si>
    <t>Lending Value after Haircut</t>
  </si>
  <si>
    <t>Initial Lending Value (without Haircut)</t>
  </si>
  <si>
    <t>Remaining Lending Value</t>
  </si>
  <si>
    <t>Final Lending Value (after Haircut is removed)</t>
  </si>
  <si>
    <t>Total Purpose Exposure remaining</t>
  </si>
  <si>
    <t>Purpose Borrowing Availability (for Margin Stocks)</t>
  </si>
  <si>
    <t>Non Purpose Borrowing Availability (for Margin Stocks)</t>
  </si>
  <si>
    <t>Purpose Borrowing Availability (for Non Margin Stocks)</t>
  </si>
  <si>
    <t>Total Non Purpose Exposure remaining</t>
  </si>
  <si>
    <t>Non Purpose Borrowing Availability (for Non Margin Stocks)</t>
  </si>
  <si>
    <t>SCEN_ID</t>
  </si>
  <si>
    <t>HAS_PE</t>
  </si>
  <si>
    <t>HAS_NPE</t>
  </si>
  <si>
    <t>HAS_MS</t>
  </si>
  <si>
    <t>HAS_NMS</t>
  </si>
  <si>
    <t>ASST_COUNT</t>
  </si>
  <si>
    <t>EXPO_COUNT</t>
  </si>
  <si>
    <t>ASST_CCYS</t>
  </si>
  <si>
    <t>EXPO_CCYS</t>
  </si>
  <si>
    <t>PE_STATUS</t>
  </si>
  <si>
    <t>NPE_STATUS</t>
  </si>
  <si>
    <t>ARR_STAT</t>
  </si>
  <si>
    <t>Q_CODE</t>
  </si>
  <si>
    <t>PBAV</t>
  </si>
  <si>
    <t>NPBAV</t>
  </si>
  <si>
    <t>DEPTH</t>
  </si>
  <si>
    <t>STEPS</t>
  </si>
  <si>
    <t>ARR_ID</t>
  </si>
  <si>
    <t>EXP_ID_FAC_OR_ACC</t>
  </si>
  <si>
    <t>EXPO_TYPE</t>
  </si>
  <si>
    <t>CCY_HC_DEF_SCHED</t>
  </si>
  <si>
    <t>EXPAMT</t>
  </si>
  <si>
    <t>HCOVERRIDEFAC</t>
  </si>
  <si>
    <t>HCEXPIRYFAC</t>
  </si>
  <si>
    <t>HCFLAGFAC</t>
  </si>
  <si>
    <t>CCYGroup</t>
  </si>
  <si>
    <t>final</t>
  </si>
  <si>
    <t>exposures</t>
  </si>
  <si>
    <t>IBSC</t>
  </si>
  <si>
    <t>INST_ID</t>
  </si>
  <si>
    <t>POS_DESC</t>
  </si>
  <si>
    <t>ASSET_CLASS</t>
  </si>
  <si>
    <t>ASSTTYPE</t>
  </si>
  <si>
    <t>UNIT_PRICE</t>
  </si>
  <si>
    <t>QUANTITY</t>
  </si>
  <si>
    <t>QY_W_LV</t>
  </si>
  <si>
    <t>MV_W_LV</t>
  </si>
  <si>
    <t>HCOVERRIDEARR</t>
  </si>
  <si>
    <t>HCEXPIRYARR</t>
  </si>
  <si>
    <t>HCFLAGARR</t>
  </si>
  <si>
    <t>HCOVERRIDECCY</t>
  </si>
  <si>
    <t>HCEXPIRYCCY</t>
  </si>
  <si>
    <t>HCFLAGCCY</t>
  </si>
  <si>
    <t>HCOVERRIDEPOS</t>
  </si>
  <si>
    <t>HCEXPIRYPOS</t>
  </si>
  <si>
    <t>HCFLAGPOS</t>
  </si>
  <si>
    <t>PLVPCT</t>
  </si>
  <si>
    <t>ELVPCT</t>
  </si>
  <si>
    <t>LVRATIO</t>
  </si>
  <si>
    <t>PLV_REMAIN</t>
  </si>
  <si>
    <t>ELV_REMAIN</t>
  </si>
  <si>
    <t>assets</t>
  </si>
  <si>
    <t>STEP</t>
  </si>
  <si>
    <t>ASSTINFO</t>
  </si>
  <si>
    <t>EXPNBR</t>
  </si>
  <si>
    <t>INSTNBR</t>
  </si>
  <si>
    <t>EXPOCCY</t>
  </si>
  <si>
    <t>ASSTCCY</t>
  </si>
  <si>
    <t>EXPOTYPE</t>
  </si>
  <si>
    <t>EXPOAMT</t>
  </si>
  <si>
    <t>HCAPPLIED</t>
  </si>
  <si>
    <t>HCLV</t>
  </si>
  <si>
    <t>REMEXPO</t>
  </si>
  <si>
    <t>REMPLV</t>
  </si>
  <si>
    <t>REMELV</t>
  </si>
  <si>
    <t>EXPOTAG</t>
  </si>
  <si>
    <t>ASSTTAG</t>
  </si>
  <si>
    <t>steps_engine</t>
  </si>
  <si>
    <t>Engine</t>
  </si>
  <si>
    <t>Macro</t>
  </si>
  <si>
    <t>Difference</t>
  </si>
  <si>
    <t>Result</t>
  </si>
  <si>
    <t>Non Purpose Borrowing Availability</t>
  </si>
  <si>
    <t>Engine Step</t>
  </si>
  <si>
    <t>Engine Assets</t>
  </si>
  <si>
    <t>Engine Exposures</t>
  </si>
  <si>
    <t>Macro  Step</t>
  </si>
  <si>
    <t>Macro  Assets</t>
  </si>
  <si>
    <t>Macro  Exposures</t>
  </si>
  <si>
    <t xml:space="preserve">Comments </t>
  </si>
  <si>
    <t>eng</t>
  </si>
  <si>
    <t>mac</t>
  </si>
  <si>
    <t>diff</t>
  </si>
  <si>
    <t>res</t>
  </si>
  <si>
    <t>engStep</t>
  </si>
  <si>
    <t>engAsst</t>
  </si>
  <si>
    <t>macStep</t>
  </si>
  <si>
    <t>macAsst</t>
  </si>
  <si>
    <t>macExpo</t>
  </si>
  <si>
    <t>comm</t>
  </si>
  <si>
    <t>engExpo</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</si>
</sst>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0"/>
      <color theme="1"/>
      <name val="Arial"/>
      <family val="2"/>
    </font>
    <font>
      <sz val="10"/>
      <color theme="1"/>
      <name val="Arial"/>
      <family val="2"/>
    </font>
    <font>
      <sz val="10"/>
      <name val="Arial"/>
      <family val="2"/>
    </font>
    <font>
      <sz val="10"/>
      <color rgb="FF006100"/>
      <name val="Arial"/>
      <family val="2"/>
    </font>
    <font>
      <sz val="10"/>
      <color rgb="FF9C6500"/>
      <name val="Arial"/>
      <family val="2"/>
    </font>
    <font>
      <sz val="10"/>
      <color rgb="FF3F3F76"/>
      <name val="Arial"/>
      <family val="2"/>
    </font>
    <font>
      <b/>
      <sz val="10"/>
      <color theme="0"/>
      <name val="Arial"/>
      <family val="2"/>
    </font>
    <font>
      <sz val="10"/>
      <color rgb="FF9C0006"/>
      <name val="Arial"/>
      <family val="2"/>
    </font>
    <font>
      <sz val="11"/>
      <name val="Arial"/>
      <family val="1"/>
    </font>
    <font>
      <sz val="10"/>
      <color rgb="FF000000"/>
      <name val="Arial"/>
      <family val="2"/>
    </font>
  </fonts>
  <fills count="8">
    <fill>
      <patternFill patternType="none"/>
    </fill>
    <fill>
      <patternFill patternType="gray125"/>
    </fill>
    <fill>
      <patternFill patternType="solid">
        <fgColor rgb="FFFFFFCC"/>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C7CE"/>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11">
    <xf numFmtId="0" fontId="0" fillId="0" borderId="0"/>
    <xf numFmtId="0" fontId="1" fillId="2" borderId="1" applyNumberFormat="0" applyFont="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0" fontId="6" fillId="6" borderId="3" applyNumberFormat="0" applyAlignment="0" applyProtection="0"/>
    <xf numFmtId="0" fontId="7" fillId="7" borderId="0" applyNumberFormat="0" applyBorder="0" applyAlignment="0" applyProtection="0"/>
    <xf numFmtId="0" fontId="8" fillId="0" borderId="0"/>
    <xf numFmtId="0" fontId="1" fillId="0" borderId="0"/>
    <xf numFmtId="9" fontId="1" fillId="0" borderId="0" applyFont="0" applyFill="0" applyBorder="0" applyAlignment="0" applyProtection="0"/>
    <xf numFmtId="0" fontId="1" fillId="2" borderId="1" applyNumberFormat="0" applyFont="0" applyAlignment="0" applyProtection="0"/>
  </cellStyleXfs>
  <cellXfs count="26">
    <xf numFmtId="0" fontId="0" fillId="0" borderId="0" xfId="0"/>
    <xf numFmtId="0" fontId="5" fillId="5" borderId="2" xfId="4"/>
    <xf numFmtId="0" fontId="3" fillId="3" borderId="0" xfId="2"/>
    <xf numFmtId="0" fontId="4" fillId="4" borderId="2" xfId="3" applyBorder="1"/>
    <xf numFmtId="0" fontId="3" fillId="3" borderId="0" xfId="2" applyBorder="1" applyAlignment="1">
      <alignment vertical="top"/>
    </xf>
    <xf numFmtId="0" fontId="3" fillId="3" borderId="0" xfId="2" applyBorder="1"/>
    <xf numFmtId="0" fontId="0" fillId="2" borderId="0" xfId="1" applyFont="1" applyBorder="1"/>
    <xf numFmtId="0" fontId="6" fillId="6" borderId="0" xfId="5" applyBorder="1" applyAlignment="1">
      <alignment vertical="top"/>
    </xf>
    <xf numFmtId="0" fontId="6" fillId="6" borderId="1" xfId="5" applyBorder="1"/>
    <xf numFmtId="0" fontId="6" fillId="6" borderId="2" xfId="5" applyBorder="1" applyAlignment="1">
      <alignment vertical="top"/>
    </xf>
    <xf numFmtId="0" fontId="6" fillId="6" borderId="1" xfId="5" applyBorder="1" applyAlignment="1">
      <alignment vertical="top"/>
    </xf>
    <xf numFmtId="0" fontId="0" fillId="0" borderId="0" xfId="0" applyBorder="1"/>
    <xf numFmtId="0" fontId="6" fillId="6" borderId="0" xfId="5" applyBorder="1"/>
    <xf numFmtId="0" fontId="5" fillId="5" borderId="0" xfId="4" applyBorder="1" applyAlignment="1">
      <alignment vertical="top"/>
    </xf>
    <xf numFmtId="0" fontId="2" fillId="2" borderId="0" xfId="1" applyFont="1" applyBorder="1" applyAlignment="1">
      <alignment vertical="top"/>
    </xf>
    <xf numFmtId="0" fontId="7" fillId="7" borderId="0" xfId="6"/>
    <xf numFmtId="0" fontId="0" fillId="0" borderId="0" xfId="0" applyFill="1" applyBorder="1"/>
    <xf numFmtId="0" fontId="4" fillId="4" borderId="0" xfId="3"/>
    <xf numFmtId="0" fontId="0" fillId="0" borderId="0" xfId="0"/>
    <xf numFmtId="0" fontId="0" fillId="0" borderId="0" xfId="0" applyFill="1" applyBorder="1"/>
    <xf numFmtId="0" fontId="5" fillId="5" borderId="2" xfId="4"/>
    <xf numFmtId="0" fontId="5" fillId="5" borderId="0" xfId="4" applyBorder="1"/>
    <xf numFmtId="0" fontId="0" fillId="0" borderId="0" xfId="0"/>
    <xf numFmtId="0" fontId="0" fillId="0" borderId="0" xfId="0"/>
    <xf numFmtId="0" fontId="0" fillId="0" borderId="0" xfId="0" applyAlignment="1"/>
    <xf numFmtId="0" fontId="8" fillId="0" borderId="0" xfId="7"/>
  </cellXfs>
  <cellStyles count="11">
    <cellStyle name="Bad" xfId="6" builtinId="27"/>
    <cellStyle name="Check Cell" xfId="5" builtinId="23"/>
    <cellStyle name="Good" xfId="2" builtinId="26"/>
    <cellStyle name="Input" xfId="4" builtinId="20"/>
    <cellStyle name="Neutral" xfId="3" builtinId="28"/>
    <cellStyle name="Normal" xfId="0" builtinId="0"/>
    <cellStyle name="Normal 2" xfId="7"/>
    <cellStyle name="Normal 2 2" xfId="8"/>
    <cellStyle name="Note" xfId="1" builtinId="10"/>
    <cellStyle name="Note 2" xfId="10"/>
    <cellStyle name="Percent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590550</xdr:colOff>
          <xdr:row>3</xdr:row>
          <xdr:rowOff>19050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Open the datafile and click 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B16385"/>
  <sheetViews>
    <sheetView zoomScaleNormal="100" workbookViewId="0">
      <selection activeCell="BX25" sqref="BX25"/>
    </sheetView>
  </sheetViews>
  <sheetFormatPr defaultRowHeight="12.75" x14ac:dyDescent="0.2"/>
  <cols>
    <col min="1" max="1" width="4" bestFit="1" customWidth="1"/>
    <col min="2" max="2" width="3.7109375" bestFit="1" customWidth="1"/>
    <col min="3" max="3" width="4" bestFit="1" customWidth="1"/>
    <col min="4" max="4" width="17.140625" style="18" customWidth="1"/>
    <col min="5" max="5" width="31.140625" style="11" bestFit="1" customWidth="1"/>
    <col min="6" max="6" width="8.42578125" bestFit="1" customWidth="1"/>
    <col min="7" max="7" width="13.85546875" customWidth="1"/>
    <col min="8" max="8" width="23.5703125" bestFit="1" customWidth="1"/>
    <col min="9" max="9" width="13.5703125" bestFit="1" customWidth="1"/>
    <col min="10" max="10" width="30.7109375" style="18" customWidth="1"/>
    <col min="11" max="11" width="28.7109375" bestFit="1" customWidth="1"/>
    <col min="12" max="12" width="18.7109375" bestFit="1" customWidth="1"/>
    <col min="13" max="13" width="44.140625" bestFit="1" customWidth="1"/>
    <col min="14" max="14" width="27.7109375" bestFit="1" customWidth="1"/>
    <col min="15" max="15" width="30.7109375" bestFit="1" customWidth="1"/>
    <col min="16" max="16" width="41.28515625" bestFit="1" customWidth="1"/>
    <col min="17" max="17" width="45.5703125" bestFit="1" customWidth="1"/>
    <col min="18" max="18" width="24.28515625" customWidth="1"/>
    <col min="19" max="19" width="30.85546875" style="11" bestFit="1" customWidth="1"/>
    <col min="20" max="20" width="8.42578125" bestFit="1" customWidth="1"/>
    <col min="21" max="21" width="13.7109375" bestFit="1" customWidth="1"/>
    <col min="22" max="22" width="4.7109375" bestFit="1" customWidth="1"/>
    <col min="23" max="23" width="21.85546875" style="18" customWidth="1"/>
    <col min="24" max="24" width="28.42578125" bestFit="1" customWidth="1"/>
    <col min="25" max="25" width="18.5703125" bestFit="1" customWidth="1"/>
    <col min="26" max="26" width="43.7109375" bestFit="1" customWidth="1"/>
    <col min="27" max="27" width="27.5703125" bestFit="1" customWidth="1"/>
    <col min="28" max="28" width="30.28515625" bestFit="1" customWidth="1"/>
    <col min="29" max="29" width="58.140625" bestFit="1" customWidth="1"/>
    <col min="30" max="30" width="46.7109375" bestFit="1" customWidth="1"/>
    <col min="31" max="31" width="15.5703125" customWidth="1"/>
    <col min="32" max="32" width="9.7109375" customWidth="1"/>
    <col min="33" max="33" width="10.7109375" customWidth="1"/>
    <col min="35" max="35" width="36.28515625" bestFit="1" customWidth="1"/>
    <col min="36" max="36" width="35.42578125" bestFit="1" customWidth="1"/>
    <col min="37" max="37" width="12.28515625" bestFit="1" customWidth="1"/>
    <col min="38" max="38" width="14.85546875" bestFit="1" customWidth="1"/>
    <col min="39" max="39" width="10" bestFit="1" customWidth="1"/>
    <col min="40" max="40" width="48.140625" bestFit="1" customWidth="1"/>
    <col min="41" max="41" width="8.7109375" bestFit="1" customWidth="1"/>
    <col min="42" max="42" width="9.28515625" bestFit="1" customWidth="1"/>
    <col min="43" max="43" width="41.28515625" customWidth="1"/>
    <col min="44" max="44" width="26.140625" bestFit="1" customWidth="1"/>
    <col min="45" max="45" width="14.140625" bestFit="1" customWidth="1"/>
    <col min="46" max="46" width="21.7109375" bestFit="1" customWidth="1"/>
    <col min="47" max="47" width="23.140625" bestFit="1" customWidth="1"/>
    <col min="48" max="48" width="21.28515625" bestFit="1" customWidth="1"/>
    <col min="49" max="49" width="43.7109375" bestFit="1" customWidth="1"/>
    <col min="50" max="50" width="37.5703125" bestFit="1" customWidth="1"/>
    <col min="51" max="51" width="15.85546875" bestFit="1" customWidth="1"/>
    <col min="59" max="59" width="15.5703125" bestFit="1" customWidth="1"/>
    <col min="60" max="60" width="20.85546875" bestFit="1" customWidth="1"/>
    <col min="61" max="61" width="24" bestFit="1" customWidth="1"/>
    <col min="62" max="62" width="24" style="23" customWidth="1"/>
    <col min="63" max="63" width="12.7109375" bestFit="1" customWidth="1"/>
    <col min="64" max="64" width="14" bestFit="1" customWidth="1"/>
    <col min="65" max="65" width="23.28515625" style="23" bestFit="1" customWidth="1"/>
    <col min="66" max="66" width="9.140625" style="23"/>
    <col min="68" max="68" width="34.140625" bestFit="1" customWidth="1"/>
    <col min="74" max="74" width="24.42578125" bestFit="1" customWidth="1"/>
    <col min="75" max="75" width="14" bestFit="1" customWidth="1"/>
    <col min="76" max="76" width="44.5703125" bestFit="1" customWidth="1"/>
    <col min="77" max="77" width="23.28515625" bestFit="1" customWidth="1"/>
    <col min="78" max="78" width="20.7109375" bestFit="1" customWidth="1"/>
    <col min="79" max="79" width="31.42578125" bestFit="1" customWidth="1"/>
    <col min="80" max="80" width="35.85546875" bestFit="1" customWidth="1"/>
  </cols>
  <sheetData>
    <row r="1" spans="1:80" x14ac:dyDescent="0.2">
      <c r="C1" s="1"/>
      <c r="D1" s="20"/>
      <c r="E1" s="20" t="s">
        <v>16</v>
      </c>
      <c r="F1" s="20" t="s">
        <v>15</v>
      </c>
      <c r="G1" s="20" t="s">
        <v>52</v>
      </c>
      <c r="I1" t="s">
        <v>136</v>
      </c>
      <c r="J1" s="21" t="s">
        <v>195</v>
      </c>
      <c r="K1" t="s">
        <v>4</v>
      </c>
      <c r="L1" s="20"/>
      <c r="N1" t="s">
        <v>137</v>
      </c>
      <c r="Q1" t="s">
        <v>139</v>
      </c>
      <c r="S1" s="11" t="s">
        <v>11</v>
      </c>
      <c r="T1" t="s">
        <v>15</v>
      </c>
      <c r="U1" t="s">
        <v>52</v>
      </c>
      <c r="W1" s="20" t="s">
        <v>195</v>
      </c>
      <c r="X1" t="s">
        <v>84</v>
      </c>
      <c r="AA1" s="20" t="s">
        <v>138</v>
      </c>
      <c r="AD1" s="20" t="s">
        <v>139</v>
      </c>
      <c r="AN1" t="s">
        <v>157</v>
      </c>
      <c r="AQ1" s="20" t="s">
        <v>195</v>
      </c>
      <c r="AR1" t="s">
        <v>173</v>
      </c>
      <c r="AU1" t="s">
        <v>175</v>
      </c>
      <c r="AX1" t="s">
        <v>139</v>
      </c>
      <c r="BC1" s="23" t="s">
        <v>157</v>
      </c>
      <c r="BD1" s="23"/>
      <c r="BE1" s="23"/>
      <c r="BG1" t="s">
        <v>272</v>
      </c>
      <c r="BH1" t="s">
        <v>273</v>
      </c>
      <c r="BI1" t="s">
        <v>297</v>
      </c>
      <c r="BK1" t="s">
        <v>313</v>
      </c>
    </row>
    <row r="2" spans="1:80" ht="14.25" x14ac:dyDescent="0.2">
      <c r="A2">
        <v>65</v>
      </c>
      <c r="B2" t="str">
        <f>IF(A2&lt;91,CHAR(A2),"A"&amp;CHAR(A2-26))</f>
        <v>A</v>
      </c>
      <c r="C2" t="s">
        <v>177</v>
      </c>
      <c r="E2" s="11" t="s">
        <v>111</v>
      </c>
      <c r="F2" t="s">
        <v>45</v>
      </c>
      <c r="G2" t="str">
        <f>$AL$2&amp;H2</f>
        <v>idARR</v>
      </c>
      <c r="H2" t="s">
        <v>86</v>
      </c>
      <c r="J2" s="24" t="s">
        <v>213</v>
      </c>
      <c r="K2" t="str">
        <f t="shared" ref="K2:K44" si="0">"Public "&amp;G2&amp;" As "&amp;F2</f>
        <v>Public idARR As String</v>
      </c>
      <c r="L2" t="str">
        <f>$L$1&amp;G2&amp;" = """&amp;$B2&amp;""""</f>
        <v>idARR = "A"</v>
      </c>
      <c r="M2" t="str">
        <f t="shared" ref="M2:M44" si="1">$M$1&amp;G2&amp;" = """&amp;E2&amp;""""</f>
        <v>idARR = "ARRANGEMENT_ID"</v>
      </c>
      <c r="N2" t="str">
        <f t="shared" ref="N2:N44" si="2">"Public "&amp;G2&amp;" As String"</f>
        <v>Public idARR As String</v>
      </c>
      <c r="O2" t="str">
        <f>$O$1&amp;G2&amp;" = """&amp;G2&amp;""""</f>
        <v>idARR = "idARR"</v>
      </c>
      <c r="P2" t="str">
        <f t="shared" ref="P2:P44" si="3">"a."&amp; G2 &amp; "= assign(ac." &amp; G2 &amp; ", i)"</f>
        <v>a.idARR= assign(ac.idARR, i)</v>
      </c>
      <c r="Q2" t="str">
        <f t="shared" ref="Q2:Q44" si="4">"Call "&amp;$Q$1&amp;"(ac." &amp; G2 &amp; ", row, a."&amp; G2 &amp;")"</f>
        <v>Call store(ac.idARR, row, a.idARR)</v>
      </c>
      <c r="S2" s="11" t="s">
        <v>111</v>
      </c>
      <c r="T2" t="s">
        <v>45</v>
      </c>
      <c r="U2" t="str">
        <f>$AL$2&amp;V2</f>
        <v>idARR</v>
      </c>
      <c r="V2" t="s">
        <v>86</v>
      </c>
      <c r="X2" t="str">
        <f>"Public "&amp;U2&amp;" As "&amp;T2</f>
        <v>Public idARR As String</v>
      </c>
      <c r="Y2" t="str">
        <f>$Y$1&amp;U2&amp;" = """&amp;B2&amp;""""</f>
        <v>idARR = "A"</v>
      </c>
      <c r="Z2" t="str">
        <f>$Z$1&amp;U2&amp;" = """&amp;S2&amp;""""</f>
        <v>idARR = "ARRANGEMENT_ID"</v>
      </c>
      <c r="AA2" t="str">
        <f>"Public "&amp;U2&amp;" As String"</f>
        <v>Public idARR As String</v>
      </c>
      <c r="AB2" t="str">
        <f>$Z$1&amp;U2&amp;" = """&amp;U2&amp;""""</f>
        <v>idARR = "idARR"</v>
      </c>
      <c r="AC2" t="str">
        <f>IF(AND(T2 &lt;&gt; "Integer",T2 &lt;&gt; "Double",T2 &lt;&gt; "Long"),"e."&amp; U2 &amp;" = assign(ec." &amp; U2 &amp; ", i)","e."&amp; U2 &amp;" = e."&amp; U2 &amp;" + assign(ec." &amp; U2 &amp; ", i)")</f>
        <v>e.idARR = assign(ec.idARR, i)</v>
      </c>
      <c r="AD2" t="str">
        <f>"Call "&amp;$AD$1&amp;"(ec." &amp;U2 &amp; ", row, var." &amp; U2 &amp;")"</f>
        <v>Call store(ec.idARR, row, var.idARR)</v>
      </c>
      <c r="AL2" t="s">
        <v>119</v>
      </c>
      <c r="AN2" s="3" t="s">
        <v>9</v>
      </c>
      <c r="AO2" t="s">
        <v>45</v>
      </c>
      <c r="AP2" t="s">
        <v>162</v>
      </c>
      <c r="AR2" t="str">
        <f t="shared" ref="AR2" si="5">"Public "&amp;AP2&amp;" As "&amp;AO2</f>
        <v>Public step As String</v>
      </c>
      <c r="AS2" t="str">
        <f>$Y$1&amp;AP2&amp;" = """&amp;B2&amp;""""</f>
        <v>step = "A"</v>
      </c>
      <c r="AT2" t="str">
        <f>$Z$1&amp;AP2&amp;" = """&amp;AN2&amp;""""</f>
        <v>step = "Step"</v>
      </c>
      <c r="AU2" t="str">
        <f>"Public "&amp;AP2&amp;" As String"</f>
        <v>Public step As String</v>
      </c>
      <c r="AV2" t="str">
        <f>$Z$1&amp;AP2&amp;" = """&amp;AP2&amp;""""</f>
        <v>step = "step"</v>
      </c>
      <c r="AW2" t="str">
        <f>IF(AND(AO2 &lt;&gt; "Integer",AO2 &lt;&gt; "Double",AO2 &lt;&gt; "Long"),"s."&amp; AP2 &amp;" = assign(sc." &amp; AP2 &amp; ", i)","s."&amp; AP2 &amp;" = s."&amp; AP2 &amp;" + assign(sc." &amp; AP2 &amp; ", i)")</f>
        <v>s.step = assign(sc.step, i)</v>
      </c>
      <c r="AX2" t="str">
        <f>"Call "&amp;$AD$1&amp;"(sc." &amp;AP2 &amp; ", row, var." &amp; AP2 &amp;")"</f>
        <v>Call store(sc.step, row, var.step)</v>
      </c>
      <c r="AY2" t="str">
        <f>"s."&amp;AP2&amp;" = kod"</f>
        <v>s.step = kod</v>
      </c>
      <c r="BC2" s="3" t="s">
        <v>9</v>
      </c>
      <c r="BD2" s="23" t="s">
        <v>45</v>
      </c>
      <c r="BE2" s="23" t="s">
        <v>162</v>
      </c>
      <c r="BF2" t="str">
        <f>B2</f>
        <v>A</v>
      </c>
      <c r="BG2" s="25" t="s">
        <v>86</v>
      </c>
      <c r="BH2" s="25" t="s">
        <v>263</v>
      </c>
      <c r="BI2" s="25" t="s">
        <v>263</v>
      </c>
      <c r="BJ2" s="25" t="s">
        <v>86</v>
      </c>
      <c r="BK2" s="25" t="str">
        <f>LOWER(BJ2)</f>
        <v>arr</v>
      </c>
      <c r="BL2" s="23" t="str">
        <f>$L$1&amp;BK2&amp;" = """&amp;$B2&amp;""""</f>
        <v>arr = "A"</v>
      </c>
      <c r="BM2" s="23" t="str">
        <f>"Public "&amp;BK2&amp;" As String"</f>
        <v>Public arr As String</v>
      </c>
      <c r="BP2" s="23" t="s">
        <v>157</v>
      </c>
      <c r="BQ2" s="23" t="s">
        <v>45</v>
      </c>
      <c r="BR2" s="23" t="s">
        <v>162</v>
      </c>
      <c r="BV2" s="23" t="str">
        <f>"Public "&amp;BR2&amp;" As "&amp;BQ2</f>
        <v>Public step As String</v>
      </c>
      <c r="BW2" s="23" t="str">
        <f>$L$1&amp;BR2&amp;" = """&amp;$B2&amp;""""</f>
        <v>step = "A"</v>
      </c>
      <c r="BX2" s="23" t="str">
        <f>$M$1&amp;BR2&amp;" = """&amp;BP2&amp;""""</f>
        <v>step = "Steps"</v>
      </c>
      <c r="BY2" s="23" t="str">
        <f>"Public "&amp;BR2&amp;" As String"</f>
        <v>Public step As String</v>
      </c>
      <c r="BZ2" s="23" t="str">
        <f>$O$1&amp;BR2&amp;" = """&amp;BR2&amp;""""</f>
        <v>step = "step"</v>
      </c>
      <c r="CA2" s="23" t="str">
        <f>"a."&amp; BR2 &amp; "= assign(ac." &amp; BR2 &amp; ", i)"</f>
        <v>a.step= assign(ac.step, i)</v>
      </c>
      <c r="CB2" s="23" t="str">
        <f>"Call "&amp;$Q$1&amp;"(ac." &amp; BR2 &amp; ", row, a."&amp; BR2 &amp;")"</f>
        <v>Call store(ac.step, row, a.step)</v>
      </c>
    </row>
    <row r="3" spans="1:80" ht="14.25" x14ac:dyDescent="0.2">
      <c r="A3">
        <v>66</v>
      </c>
      <c r="B3" t="str">
        <f t="shared" ref="B3:B43" si="6">IF(A3&lt;91,CHAR(A3),"A"&amp;CHAR(A3-26))</f>
        <v>B</v>
      </c>
      <c r="C3" t="s">
        <v>177</v>
      </c>
      <c r="E3" s="11" t="s">
        <v>112</v>
      </c>
      <c r="F3" t="s">
        <v>45</v>
      </c>
      <c r="G3" t="str">
        <f>$AL$2&amp;H3</f>
        <v>idECI</v>
      </c>
      <c r="H3" t="s">
        <v>85</v>
      </c>
      <c r="J3" s="24" t="s">
        <v>213</v>
      </c>
      <c r="K3" t="str">
        <f t="shared" si="0"/>
        <v>Public idECI As String</v>
      </c>
      <c r="L3" s="23" t="str">
        <f t="shared" ref="L3:L44" si="7">$L$1&amp;G3&amp;" = """&amp;$B3&amp;""""</f>
        <v>idECI = "B"</v>
      </c>
      <c r="M3" t="str">
        <f t="shared" si="1"/>
        <v>idECI = "CLNT_ECI_ID"</v>
      </c>
      <c r="N3" t="str">
        <f t="shared" si="2"/>
        <v>Public idECI As String</v>
      </c>
      <c r="O3" t="str">
        <f t="shared" ref="O3:O44" si="8">$O$1&amp;G3&amp;" = """&amp;G3&amp;""""</f>
        <v>idECI = "idECI"</v>
      </c>
      <c r="P3" t="str">
        <f t="shared" si="3"/>
        <v>a.idECI= assign(ac.idECI, i)</v>
      </c>
      <c r="Q3" t="str">
        <f t="shared" si="4"/>
        <v>Call store(ac.idECI, row, a.idECI)</v>
      </c>
      <c r="S3" s="11" t="s">
        <v>112</v>
      </c>
      <c r="T3" t="s">
        <v>45</v>
      </c>
      <c r="U3" t="str">
        <f>$AL$2&amp;V3</f>
        <v>idECI</v>
      </c>
      <c r="V3" t="s">
        <v>85</v>
      </c>
      <c r="X3" t="str">
        <f t="shared" ref="X3:X16" si="9">"Public "&amp;U3&amp;" As "&amp;T3</f>
        <v>Public idECI As String</v>
      </c>
      <c r="Y3" t="str">
        <f t="shared" ref="Y3:Y16" si="10">$Y$1&amp;U3&amp;" = """&amp;B3&amp;""""</f>
        <v>idECI = "B"</v>
      </c>
      <c r="Z3" t="str">
        <f t="shared" ref="Z3:Z16" si="11">$Z$1&amp;U3&amp;" = """&amp;S3&amp;""""</f>
        <v>idECI = "CLNT_ECI_ID"</v>
      </c>
      <c r="AA3" t="str">
        <f t="shared" ref="AA3:AA16" si="12">"Public "&amp;U3&amp;" As String"</f>
        <v>Public idECI As String</v>
      </c>
      <c r="AB3" t="str">
        <f t="shared" ref="AB3:AB16" si="13">$Z$1&amp;U3&amp;" = """&amp;U3&amp;""""</f>
        <v>idECI = "idECI"</v>
      </c>
      <c r="AC3" t="str">
        <f t="shared" ref="AC3:AC16" si="14">IF(AND(T3 &lt;&gt; "Integer",T3 &lt;&gt; "Double",T3 &lt;&gt; "Long"),"e."&amp; U3 &amp;" = assign(ec." &amp; U3 &amp; ", i)","e."&amp; U3 &amp;" = e."&amp; U3 &amp;" + assign(ec." &amp; U3 &amp; ", i)")</f>
        <v>e.idECI = assign(ec.idECI, i)</v>
      </c>
      <c r="AD3" t="str">
        <f t="shared" ref="AD3:AD16" si="15">"Call "&amp;$AD$1&amp;"(ec." &amp;U3 &amp; ", row, var." &amp; U3 &amp;")"</f>
        <v>Call store(ec.idECI, row, var.idECI)</v>
      </c>
      <c r="AI3" t="s">
        <v>88</v>
      </c>
      <c r="AJ3" s="10" t="s">
        <v>38</v>
      </c>
      <c r="AK3" t="s">
        <v>46</v>
      </c>
      <c r="AL3" t="s">
        <v>70</v>
      </c>
      <c r="AN3" s="1" t="s">
        <v>11</v>
      </c>
      <c r="AO3" t="s">
        <v>45</v>
      </c>
      <c r="AP3" t="s">
        <v>160</v>
      </c>
      <c r="AR3" s="18" t="str">
        <f t="shared" ref="AR3:AR28" si="16">"Public "&amp;AP3&amp;" As "&amp;AO3</f>
        <v>Public idExpo As String</v>
      </c>
      <c r="AS3" s="18" t="str">
        <f t="shared" ref="AS3:AS28" si="17">$Y$1&amp;AP3&amp;" = """&amp;B3&amp;""""</f>
        <v>idExpo = "B"</v>
      </c>
      <c r="AT3" s="18" t="str">
        <f t="shared" ref="AT3:AT28" si="18">$Z$1&amp;AP3&amp;" = """&amp;AN3&amp;""""</f>
        <v>idExpo = "Expo"</v>
      </c>
      <c r="AU3" s="18" t="str">
        <f t="shared" ref="AU3:AU28" si="19">"Public "&amp;AP3&amp;" As String"</f>
        <v>Public idExpo As String</v>
      </c>
      <c r="AV3" s="18" t="str">
        <f t="shared" ref="AV3:AV28" si="20">$Z$1&amp;AP3&amp;" = """&amp;AP3&amp;""""</f>
        <v>idExpo = "idExpo"</v>
      </c>
      <c r="AW3" s="18" t="str">
        <f t="shared" ref="AW3:AW28" si="21">IF(AND(AO3 &lt;&gt; "Integer",AO3 &lt;&gt; "Double",AO3 &lt;&gt; "Long"),"s."&amp; AP3 &amp;" = assign(sc." &amp; AP3 &amp; ", i)","s."&amp; AP3 &amp;" = s."&amp; AP3 &amp;" + assign(sc." &amp; AP3 &amp; ", i)")</f>
        <v>s.idExpo = assign(sc.idExpo, i)</v>
      </c>
      <c r="AX3" s="18" t="str">
        <f t="shared" ref="AX3:AX28" si="22">"Call "&amp;$AD$1&amp;"(sc." &amp;AP3 &amp; ", row, var." &amp; AP3 &amp;")"</f>
        <v>Call store(sc.idExpo, row, var.idExpo)</v>
      </c>
      <c r="AY3" s="18" t="str">
        <f t="shared" ref="AY3:AY28" si="23">"s."&amp;AP3&amp;" = kod"</f>
        <v>s.idExpo = kod</v>
      </c>
      <c r="BC3" s="20" t="s">
        <v>11</v>
      </c>
      <c r="BD3" s="23" t="s">
        <v>45</v>
      </c>
      <c r="BE3" s="23" t="s">
        <v>160</v>
      </c>
      <c r="BF3" s="23" t="str">
        <f t="shared" ref="BF3:BF22" si="24">B3</f>
        <v>B</v>
      </c>
      <c r="BG3" s="25" t="s">
        <v>85</v>
      </c>
      <c r="BH3" s="20" t="s">
        <v>85</v>
      </c>
      <c r="BI3" s="25" t="s">
        <v>85</v>
      </c>
      <c r="BJ3" s="25" t="s">
        <v>298</v>
      </c>
      <c r="BK3" s="25" t="str">
        <f t="shared" ref="BK3:BK20" si="25">LOWER(BJ3)</f>
        <v>step</v>
      </c>
      <c r="BL3" s="23" t="str">
        <f t="shared" ref="BL3:BL20" si="26">$L$1&amp;BK3&amp;" = """&amp;$B3&amp;""""</f>
        <v>step = "B"</v>
      </c>
      <c r="BM3" s="23" t="str">
        <f t="shared" ref="BM3:BM20" si="27">"Public "&amp;BK3&amp;" As String"</f>
        <v>Public step As String</v>
      </c>
      <c r="BP3" s="23" t="s">
        <v>314</v>
      </c>
      <c r="BQ3" s="23" t="s">
        <v>45</v>
      </c>
      <c r="BR3" s="23" t="s">
        <v>326</v>
      </c>
      <c r="BV3" s="23" t="str">
        <f t="shared" ref="BV3:BV17" si="28">"Public "&amp;BR3&amp;" As "&amp;BQ3</f>
        <v>Public eng As String</v>
      </c>
      <c r="BW3" s="23" t="str">
        <f t="shared" ref="BW3:BW17" si="29">$L$1&amp;BR3&amp;" = """&amp;$B3&amp;""""</f>
        <v>eng = "B"</v>
      </c>
      <c r="BX3" s="23" t="str">
        <f t="shared" ref="BX3:BX17" si="30">$M$1&amp;BR3&amp;" = """&amp;BP3&amp;""""</f>
        <v>eng = "Engine"</v>
      </c>
      <c r="BY3" s="23" t="str">
        <f t="shared" ref="BY3:BY17" si="31">"Public "&amp;BR3&amp;" As String"</f>
        <v>Public eng As String</v>
      </c>
      <c r="BZ3" s="23" t="str">
        <f t="shared" ref="BZ3:BZ17" si="32">$O$1&amp;BR3&amp;" = """&amp;BR3&amp;""""</f>
        <v>eng = "eng"</v>
      </c>
      <c r="CA3" s="23" t="str">
        <f t="shared" ref="CA3:CA17" si="33">"a."&amp; BR3 &amp; "= assign(ac." &amp; BR3 &amp; ", i)"</f>
        <v>a.eng= assign(ac.eng, i)</v>
      </c>
      <c r="CB3" s="23" t="str">
        <f t="shared" ref="CB3:CB17" si="34">"Call "&amp;$Q$1&amp;"(ac." &amp; BR3 &amp; ", row, a."&amp; BR3 &amp;")"</f>
        <v>Call store(ac.eng, row, a.eng)</v>
      </c>
    </row>
    <row r="4" spans="1:80" ht="14.25" x14ac:dyDescent="0.2">
      <c r="A4">
        <v>67</v>
      </c>
      <c r="B4" t="str">
        <f t="shared" si="6"/>
        <v>C</v>
      </c>
      <c r="C4" t="s">
        <v>177</v>
      </c>
      <c r="E4" s="11" t="s">
        <v>113</v>
      </c>
      <c r="F4" t="s">
        <v>45</v>
      </c>
      <c r="G4" t="str">
        <f>$AL$2&amp;H4</f>
        <v>idACC</v>
      </c>
      <c r="H4" t="s">
        <v>116</v>
      </c>
      <c r="J4" s="24" t="s">
        <v>213</v>
      </c>
      <c r="K4" t="str">
        <f t="shared" si="0"/>
        <v>Public idACC As String</v>
      </c>
      <c r="L4" s="23" t="str">
        <f t="shared" si="7"/>
        <v>idACC = "C"</v>
      </c>
      <c r="M4" t="str">
        <f t="shared" si="1"/>
        <v>idACC = "CLNT_RPT_ACC_NBR"</v>
      </c>
      <c r="N4" t="str">
        <f t="shared" si="2"/>
        <v>Public idACC As String</v>
      </c>
      <c r="O4" t="str">
        <f t="shared" si="8"/>
        <v>idACC = "idACC"</v>
      </c>
      <c r="P4" t="str">
        <f t="shared" si="3"/>
        <v>a.idACC= assign(ac.idACC, i)</v>
      </c>
      <c r="Q4" t="str">
        <f t="shared" si="4"/>
        <v>Call store(ac.idACC, row, a.idACC)</v>
      </c>
      <c r="S4" s="16" t="s">
        <v>176</v>
      </c>
      <c r="T4" t="s">
        <v>45</v>
      </c>
      <c r="U4" t="str">
        <f>$AL$2&amp;V4</f>
        <v>idEXP</v>
      </c>
      <c r="V4" t="s">
        <v>174</v>
      </c>
      <c r="X4" t="str">
        <f t="shared" si="9"/>
        <v>Public idEXP As String</v>
      </c>
      <c r="Y4" t="str">
        <f t="shared" si="10"/>
        <v>idEXP = "C"</v>
      </c>
      <c r="Z4" t="str">
        <f t="shared" si="11"/>
        <v>idEXP = "EXP_ID"</v>
      </c>
      <c r="AA4" t="str">
        <f t="shared" si="12"/>
        <v>Public idEXP As String</v>
      </c>
      <c r="AB4" t="str">
        <f t="shared" si="13"/>
        <v>idEXP = "idEXP"</v>
      </c>
      <c r="AC4" t="str">
        <f t="shared" si="14"/>
        <v>e.idEXP = assign(ec.idEXP, i)</v>
      </c>
      <c r="AD4" t="str">
        <f t="shared" si="15"/>
        <v>Call store(ec.idEXP, row, var.idEXP)</v>
      </c>
      <c r="AI4" t="s">
        <v>89</v>
      </c>
      <c r="AJ4" s="8" t="s">
        <v>39</v>
      </c>
      <c r="AK4" t="s">
        <v>46</v>
      </c>
      <c r="AL4" t="s">
        <v>71</v>
      </c>
      <c r="AN4" s="1" t="s">
        <v>10</v>
      </c>
      <c r="AO4" t="s">
        <v>45</v>
      </c>
      <c r="AP4" t="s">
        <v>161</v>
      </c>
      <c r="AR4" s="18" t="str">
        <f t="shared" si="16"/>
        <v>Public idAsst As String</v>
      </c>
      <c r="AS4" s="18" t="str">
        <f t="shared" si="17"/>
        <v>idAsst = "C"</v>
      </c>
      <c r="AT4" s="18" t="str">
        <f t="shared" si="18"/>
        <v>idAsst = "Asset"</v>
      </c>
      <c r="AU4" s="18" t="str">
        <f t="shared" si="19"/>
        <v>Public idAsst As String</v>
      </c>
      <c r="AV4" s="18" t="str">
        <f t="shared" si="20"/>
        <v>idAsst = "idAsst"</v>
      </c>
      <c r="AW4" s="18" t="str">
        <f t="shared" si="21"/>
        <v>s.idAsst = assign(sc.idAsst, i)</v>
      </c>
      <c r="AX4" s="18" t="str">
        <f t="shared" si="22"/>
        <v>Call store(sc.idAsst, row, var.idAsst)</v>
      </c>
      <c r="AY4" s="18" t="str">
        <f t="shared" si="23"/>
        <v>s.idAsst = kod</v>
      </c>
      <c r="BC4" s="20" t="s">
        <v>10</v>
      </c>
      <c r="BD4" s="23" t="s">
        <v>45</v>
      </c>
      <c r="BE4" s="23" t="s">
        <v>161</v>
      </c>
      <c r="BF4" s="23" t="str">
        <f t="shared" si="24"/>
        <v>C</v>
      </c>
      <c r="BG4" s="25" t="s">
        <v>246</v>
      </c>
      <c r="BH4" s="20" t="s">
        <v>264</v>
      </c>
      <c r="BI4" s="25" t="s">
        <v>116</v>
      </c>
      <c r="BJ4" s="25" t="s">
        <v>299</v>
      </c>
      <c r="BK4" s="25" t="str">
        <f t="shared" si="25"/>
        <v>asstinfo</v>
      </c>
      <c r="BL4" s="23" t="str">
        <f t="shared" si="26"/>
        <v>asstinfo = "C"</v>
      </c>
      <c r="BM4" s="23" t="str">
        <f t="shared" si="27"/>
        <v>Public asstinfo As String</v>
      </c>
      <c r="BP4" s="23" t="s">
        <v>315</v>
      </c>
      <c r="BQ4" s="23" t="s">
        <v>45</v>
      </c>
      <c r="BR4" s="23" t="s">
        <v>327</v>
      </c>
      <c r="BV4" s="23" t="str">
        <f t="shared" si="28"/>
        <v>Public mac As String</v>
      </c>
      <c r="BW4" s="23" t="str">
        <f t="shared" si="29"/>
        <v>mac = "C"</v>
      </c>
      <c r="BX4" s="23" t="str">
        <f t="shared" si="30"/>
        <v>mac = "Macro"</v>
      </c>
      <c r="BY4" s="23" t="str">
        <f t="shared" si="31"/>
        <v>Public mac As String</v>
      </c>
      <c r="BZ4" s="23" t="str">
        <f t="shared" si="32"/>
        <v>mac = "mac"</v>
      </c>
      <c r="CA4" s="23" t="str">
        <f t="shared" si="33"/>
        <v>a.mac= assign(ac.mac, i)</v>
      </c>
      <c r="CB4" s="23" t="str">
        <f t="shared" si="34"/>
        <v>Call store(ac.mac, row, a.mac)</v>
      </c>
    </row>
    <row r="5" spans="1:80" ht="14.25" x14ac:dyDescent="0.2">
      <c r="A5">
        <v>68</v>
      </c>
      <c r="B5" t="str">
        <f t="shared" si="6"/>
        <v>D</v>
      </c>
      <c r="C5" t="s">
        <v>177</v>
      </c>
      <c r="E5" s="11" t="s">
        <v>114</v>
      </c>
      <c r="F5" t="s">
        <v>45</v>
      </c>
      <c r="G5" t="str">
        <f>$AL$2&amp;H5</f>
        <v>idBSC</v>
      </c>
      <c r="H5" t="s">
        <v>117</v>
      </c>
      <c r="J5" s="24" t="s">
        <v>213</v>
      </c>
      <c r="K5" t="str">
        <f t="shared" si="0"/>
        <v>Public idBSC As String</v>
      </c>
      <c r="L5" s="23" t="str">
        <f t="shared" si="7"/>
        <v>idBSC = "D"</v>
      </c>
      <c r="M5" t="str">
        <f t="shared" si="1"/>
        <v>idBSC = "BUS_SYS_CODE"</v>
      </c>
      <c r="N5" t="str">
        <f t="shared" si="2"/>
        <v>Public idBSC As String</v>
      </c>
      <c r="O5" t="str">
        <f t="shared" si="8"/>
        <v>idBSC = "idBSC"</v>
      </c>
      <c r="P5" t="str">
        <f t="shared" si="3"/>
        <v>a.idBSC= assign(ac.idBSC, i)</v>
      </c>
      <c r="Q5" t="str">
        <f t="shared" si="4"/>
        <v>Call store(ac.idBSC, row, a.idBSC)</v>
      </c>
      <c r="S5" s="5" t="s">
        <v>15</v>
      </c>
      <c r="T5" t="s">
        <v>45</v>
      </c>
      <c r="U5" t="s">
        <v>78</v>
      </c>
      <c r="X5" t="str">
        <f t="shared" si="9"/>
        <v>Public expoType As String</v>
      </c>
      <c r="Y5" t="str">
        <f t="shared" si="10"/>
        <v>expoType = "D"</v>
      </c>
      <c r="Z5" t="str">
        <f t="shared" si="11"/>
        <v>expoType = "Type"</v>
      </c>
      <c r="AA5" t="str">
        <f t="shared" si="12"/>
        <v>Public expoType As String</v>
      </c>
      <c r="AB5" t="str">
        <f t="shared" si="13"/>
        <v>expoType = "expoType"</v>
      </c>
      <c r="AC5" t="str">
        <f t="shared" si="14"/>
        <v>e.expoType = assign(ec.expoType, i)</v>
      </c>
      <c r="AD5" t="str">
        <f t="shared" si="15"/>
        <v>Call store(ec.expoType, row, var.expoType)</v>
      </c>
      <c r="AI5" t="s">
        <v>90</v>
      </c>
      <c r="AJ5" s="9" t="s">
        <v>40</v>
      </c>
      <c r="AK5" t="s">
        <v>46</v>
      </c>
      <c r="AL5" t="s">
        <v>72</v>
      </c>
      <c r="AN5" s="18" t="s">
        <v>196</v>
      </c>
      <c r="AO5" s="18" t="s">
        <v>45</v>
      </c>
      <c r="AP5" s="19" t="s">
        <v>182</v>
      </c>
      <c r="AR5" s="18" t="str">
        <f t="shared" si="16"/>
        <v>Public expNbr As String</v>
      </c>
      <c r="AS5" s="18" t="str">
        <f t="shared" si="17"/>
        <v>expNbr = "D"</v>
      </c>
      <c r="AT5" s="18" t="str">
        <f t="shared" si="18"/>
        <v>expNbr = "Exposure Number"</v>
      </c>
      <c r="AU5" s="18" t="str">
        <f t="shared" si="19"/>
        <v>Public expNbr As String</v>
      </c>
      <c r="AV5" s="18" t="str">
        <f t="shared" si="20"/>
        <v>expNbr = "expNbr"</v>
      </c>
      <c r="AW5" s="18" t="str">
        <f t="shared" si="21"/>
        <v>s.expNbr = assign(sc.expNbr, i)</v>
      </c>
      <c r="AX5" s="18" t="str">
        <f t="shared" si="22"/>
        <v>Call store(sc.expNbr, row, var.expNbr)</v>
      </c>
      <c r="AY5" s="18" t="str">
        <f t="shared" si="23"/>
        <v>s.expNbr = kod</v>
      </c>
      <c r="BC5" s="23" t="s">
        <v>196</v>
      </c>
      <c r="BD5" s="23" t="s">
        <v>45</v>
      </c>
      <c r="BE5" s="19" t="s">
        <v>182</v>
      </c>
      <c r="BF5" s="23" t="str">
        <f t="shared" si="24"/>
        <v>D</v>
      </c>
      <c r="BG5" s="25" t="s">
        <v>247</v>
      </c>
      <c r="BH5" s="20" t="s">
        <v>265</v>
      </c>
      <c r="BI5" s="25" t="s">
        <v>274</v>
      </c>
      <c r="BJ5" s="25" t="s">
        <v>300</v>
      </c>
      <c r="BK5" s="25" t="str">
        <f t="shared" si="25"/>
        <v>expnbr</v>
      </c>
      <c r="BL5" s="23" t="str">
        <f t="shared" si="26"/>
        <v>expnbr = "D"</v>
      </c>
      <c r="BM5" s="23" t="str">
        <f t="shared" si="27"/>
        <v>Public expnbr As String</v>
      </c>
      <c r="BP5" s="23" t="s">
        <v>316</v>
      </c>
      <c r="BQ5" s="23" t="s">
        <v>45</v>
      </c>
      <c r="BR5" s="23" t="s">
        <v>328</v>
      </c>
      <c r="BV5" s="23" t="str">
        <f t="shared" si="28"/>
        <v>Public diff As String</v>
      </c>
      <c r="BW5" s="23" t="str">
        <f t="shared" si="29"/>
        <v>diff = "D"</v>
      </c>
      <c r="BX5" s="23" t="str">
        <f t="shared" si="30"/>
        <v>diff = "Difference"</v>
      </c>
      <c r="BY5" s="23" t="str">
        <f t="shared" si="31"/>
        <v>Public diff As String</v>
      </c>
      <c r="BZ5" s="23" t="str">
        <f t="shared" si="32"/>
        <v>diff = "diff"</v>
      </c>
      <c r="CA5" s="23" t="str">
        <f t="shared" si="33"/>
        <v>a.diff= assign(ac.diff, i)</v>
      </c>
      <c r="CB5" s="23" t="str">
        <f t="shared" si="34"/>
        <v>Call store(ac.diff, row, a.diff)</v>
      </c>
    </row>
    <row r="6" spans="1:80" ht="14.25" x14ac:dyDescent="0.2">
      <c r="A6">
        <v>69</v>
      </c>
      <c r="B6" t="str">
        <f t="shared" si="6"/>
        <v>E</v>
      </c>
      <c r="C6" t="s">
        <v>177</v>
      </c>
      <c r="E6" s="11" t="s">
        <v>115</v>
      </c>
      <c r="F6" t="s">
        <v>45</v>
      </c>
      <c r="G6" t="str">
        <f>$AL$2&amp;H6</f>
        <v>idINST</v>
      </c>
      <c r="H6" t="s">
        <v>118</v>
      </c>
      <c r="J6" s="24" t="s">
        <v>213</v>
      </c>
      <c r="K6" t="str">
        <f t="shared" si="0"/>
        <v>Public idINST As String</v>
      </c>
      <c r="L6" s="23" t="str">
        <f t="shared" si="7"/>
        <v>idINST = "E"</v>
      </c>
      <c r="M6" t="str">
        <f t="shared" si="1"/>
        <v>idINST = "INST_UNIQUI_ID"</v>
      </c>
      <c r="N6" t="str">
        <f t="shared" si="2"/>
        <v>Public idINST As String</v>
      </c>
      <c r="O6" t="str">
        <f t="shared" si="8"/>
        <v>idINST = "idINST"</v>
      </c>
      <c r="P6" t="str">
        <f t="shared" si="3"/>
        <v>a.idINST= assign(ac.idINST, i)</v>
      </c>
      <c r="Q6" t="str">
        <f t="shared" si="4"/>
        <v>Call store(ac.idINST, row, a.idINST)</v>
      </c>
      <c r="S6" s="5" t="s">
        <v>8</v>
      </c>
      <c r="T6" t="s">
        <v>45</v>
      </c>
      <c r="U6" t="s">
        <v>2</v>
      </c>
      <c r="X6" t="str">
        <f t="shared" si="9"/>
        <v>Public CCY As String</v>
      </c>
      <c r="Y6" t="str">
        <f t="shared" si="10"/>
        <v>CCY = "E"</v>
      </c>
      <c r="Z6" t="str">
        <f t="shared" si="11"/>
        <v>CCY = "Currency"</v>
      </c>
      <c r="AA6" t="str">
        <f t="shared" si="12"/>
        <v>Public CCY As String</v>
      </c>
      <c r="AB6" t="str">
        <f t="shared" si="13"/>
        <v>CCY = "CCY"</v>
      </c>
      <c r="AC6" t="str">
        <f t="shared" si="14"/>
        <v>e.CCY = assign(ec.CCY, i)</v>
      </c>
      <c r="AD6" t="str">
        <f t="shared" si="15"/>
        <v>Call store(ec.CCY, row, var.CCY)</v>
      </c>
      <c r="AI6" t="s">
        <v>91</v>
      </c>
      <c r="AJ6" s="2" t="s">
        <v>147</v>
      </c>
      <c r="AN6" s="18" t="s">
        <v>197</v>
      </c>
      <c r="AO6" s="18" t="s">
        <v>45</v>
      </c>
      <c r="AP6" s="19" t="s">
        <v>183</v>
      </c>
      <c r="AR6" s="18" t="str">
        <f t="shared" si="16"/>
        <v>Public instNbr As String</v>
      </c>
      <c r="AS6" s="18" t="str">
        <f t="shared" si="17"/>
        <v>instNbr = "E"</v>
      </c>
      <c r="AT6" s="18" t="str">
        <f t="shared" si="18"/>
        <v>instNbr = "Instrument Number"</v>
      </c>
      <c r="AU6" s="18" t="str">
        <f t="shared" si="19"/>
        <v>Public instNbr As String</v>
      </c>
      <c r="AV6" s="18" t="str">
        <f t="shared" si="20"/>
        <v>instNbr = "instNbr"</v>
      </c>
      <c r="AW6" s="18" t="str">
        <f t="shared" si="21"/>
        <v>s.instNbr = assign(sc.instNbr, i)</v>
      </c>
      <c r="AX6" s="18" t="str">
        <f t="shared" si="22"/>
        <v>Call store(sc.instNbr, row, var.instNbr)</v>
      </c>
      <c r="AY6" s="18" t="str">
        <f t="shared" si="23"/>
        <v>s.instNbr = kod</v>
      </c>
      <c r="BC6" s="23" t="s">
        <v>197</v>
      </c>
      <c r="BD6" s="23" t="s">
        <v>45</v>
      </c>
      <c r="BE6" s="19" t="s">
        <v>183</v>
      </c>
      <c r="BF6" s="23" t="str">
        <f t="shared" si="24"/>
        <v>E</v>
      </c>
      <c r="BG6" s="25" t="s">
        <v>248</v>
      </c>
      <c r="BH6" s="20" t="s">
        <v>2</v>
      </c>
      <c r="BI6" s="25" t="s">
        <v>275</v>
      </c>
      <c r="BJ6" s="25" t="s">
        <v>301</v>
      </c>
      <c r="BK6" s="25" t="str">
        <f t="shared" si="25"/>
        <v>instnbr</v>
      </c>
      <c r="BL6" s="23" t="str">
        <f t="shared" si="26"/>
        <v>instnbr = "E"</v>
      </c>
      <c r="BM6" s="23" t="str">
        <f t="shared" si="27"/>
        <v>Public instnbr As String</v>
      </c>
      <c r="BO6">
        <v>2</v>
      </c>
      <c r="BP6" t="s">
        <v>317</v>
      </c>
      <c r="BQ6" s="23" t="s">
        <v>45</v>
      </c>
      <c r="BR6" s="23" t="s">
        <v>329</v>
      </c>
      <c r="BV6" s="23" t="str">
        <f t="shared" si="28"/>
        <v>Public res As String</v>
      </c>
      <c r="BW6" s="23" t="str">
        <f t="shared" si="29"/>
        <v>res = "E"</v>
      </c>
      <c r="BX6" s="23" t="str">
        <f t="shared" si="30"/>
        <v>res = "Result"</v>
      </c>
      <c r="BY6" s="23" t="str">
        <f t="shared" si="31"/>
        <v>Public res As String</v>
      </c>
      <c r="BZ6" s="23" t="str">
        <f t="shared" si="32"/>
        <v>res = "res"</v>
      </c>
      <c r="CA6" s="23" t="str">
        <f t="shared" si="33"/>
        <v>a.res= assign(ac.res, i)</v>
      </c>
      <c r="CB6" s="23" t="str">
        <f t="shared" si="34"/>
        <v>Call store(ac.res, row, a.res)</v>
      </c>
    </row>
    <row r="7" spans="1:80" ht="14.25" x14ac:dyDescent="0.2">
      <c r="A7">
        <v>70</v>
      </c>
      <c r="B7" t="str">
        <f t="shared" si="6"/>
        <v>F</v>
      </c>
      <c r="E7" s="4" t="s">
        <v>17</v>
      </c>
      <c r="F7" t="s">
        <v>45</v>
      </c>
      <c r="G7" t="s">
        <v>53</v>
      </c>
      <c r="J7" s="24"/>
      <c r="K7" t="str">
        <f t="shared" si="0"/>
        <v>Public posDesc As String</v>
      </c>
      <c r="L7" s="23" t="str">
        <f t="shared" si="7"/>
        <v>posDesc = "F"</v>
      </c>
      <c r="M7" t="str">
        <f t="shared" si="1"/>
        <v>posDesc = "Position Description"</v>
      </c>
      <c r="N7" t="str">
        <f t="shared" si="2"/>
        <v>Public posDesc As String</v>
      </c>
      <c r="O7" t="str">
        <f t="shared" si="8"/>
        <v>posDesc = "posDesc"</v>
      </c>
      <c r="P7" t="str">
        <f t="shared" si="3"/>
        <v>a.posDesc= assign(ac.posDesc, i)</v>
      </c>
      <c r="Q7" t="str">
        <f t="shared" si="4"/>
        <v>Call store(ac.posDesc, row, a.posDesc)</v>
      </c>
      <c r="S7" s="5" t="s">
        <v>7</v>
      </c>
      <c r="T7" t="s">
        <v>46</v>
      </c>
      <c r="U7" t="s">
        <v>69</v>
      </c>
      <c r="X7" t="str">
        <f t="shared" si="9"/>
        <v>Public hcCCY As Double</v>
      </c>
      <c r="Y7" t="str">
        <f t="shared" si="10"/>
        <v>hcCCY = "F"</v>
      </c>
      <c r="Z7" t="str">
        <f t="shared" si="11"/>
        <v>hcCCY = "Haircut"</v>
      </c>
      <c r="AA7" t="str">
        <f t="shared" si="12"/>
        <v>Public hcCCY As String</v>
      </c>
      <c r="AB7" t="str">
        <f t="shared" si="13"/>
        <v>hcCCY = "hcCCY"</v>
      </c>
      <c r="AC7" t="str">
        <f t="shared" si="14"/>
        <v>e.hcCCY = e.hcCCY + assign(ec.hcCCY, i)</v>
      </c>
      <c r="AD7" t="str">
        <f t="shared" si="15"/>
        <v>Call store(ec.hcCCY, row, var.hcCCY)</v>
      </c>
      <c r="AI7" t="s">
        <v>92</v>
      </c>
      <c r="AJ7" t="s">
        <v>107</v>
      </c>
      <c r="AK7" t="s">
        <v>180</v>
      </c>
      <c r="AL7" t="str">
        <f>"tag"&amp;AK7</f>
        <v>tagNotConsumed</v>
      </c>
      <c r="AN7" t="s">
        <v>12</v>
      </c>
      <c r="AO7" t="s">
        <v>45</v>
      </c>
      <c r="AP7" t="s">
        <v>163</v>
      </c>
      <c r="AQ7" s="23"/>
      <c r="AR7" s="18" t="str">
        <f t="shared" si="16"/>
        <v>Public expoCCY As String</v>
      </c>
      <c r="AS7" s="18" t="str">
        <f t="shared" si="17"/>
        <v>expoCCY = "F"</v>
      </c>
      <c r="AT7" s="18" t="str">
        <f t="shared" si="18"/>
        <v>expoCCY = "Expo CCY"</v>
      </c>
      <c r="AU7" s="18" t="str">
        <f t="shared" si="19"/>
        <v>Public expoCCY As String</v>
      </c>
      <c r="AV7" s="18" t="str">
        <f t="shared" si="20"/>
        <v>expoCCY = "expoCCY"</v>
      </c>
      <c r="AW7" s="18" t="str">
        <f t="shared" si="21"/>
        <v>s.expoCCY = assign(sc.expoCCY, i)</v>
      </c>
      <c r="AX7" s="18" t="str">
        <f t="shared" si="22"/>
        <v>Call store(sc.expoCCY, row, var.expoCCY)</v>
      </c>
      <c r="AY7" s="18" t="str">
        <f t="shared" si="23"/>
        <v>s.expoCCY = kod</v>
      </c>
      <c r="BC7" s="23" t="s">
        <v>12</v>
      </c>
      <c r="BD7" s="23" t="s">
        <v>45</v>
      </c>
      <c r="BE7" s="23" t="s">
        <v>163</v>
      </c>
      <c r="BF7" s="23" t="str">
        <f t="shared" si="24"/>
        <v>F</v>
      </c>
      <c r="BG7" s="25" t="s">
        <v>249</v>
      </c>
      <c r="BH7" s="20" t="s">
        <v>266</v>
      </c>
      <c r="BI7" s="25" t="s">
        <v>276</v>
      </c>
      <c r="BJ7" s="25" t="s">
        <v>302</v>
      </c>
      <c r="BK7" s="25" t="str">
        <f t="shared" si="25"/>
        <v>expoccy</v>
      </c>
      <c r="BL7" s="23" t="str">
        <f t="shared" si="26"/>
        <v>expoccy = "F"</v>
      </c>
      <c r="BM7" s="23" t="str">
        <f t="shared" si="27"/>
        <v>Public expoccy As String</v>
      </c>
      <c r="BO7">
        <v>3</v>
      </c>
      <c r="BP7" s="23" t="s">
        <v>240</v>
      </c>
      <c r="BQ7" s="23" t="s">
        <v>8</v>
      </c>
      <c r="BR7" s="23" t="s">
        <v>185</v>
      </c>
      <c r="BV7" s="23" t="str">
        <f t="shared" si="28"/>
        <v>Public PERC As Currency</v>
      </c>
      <c r="BW7" s="23" t="str">
        <f t="shared" si="29"/>
        <v>PERC = "F"</v>
      </c>
      <c r="BX7" s="23" t="str">
        <f t="shared" si="30"/>
        <v>PERC = "Total Purpose Exposure remaining"</v>
      </c>
      <c r="BY7" s="23" t="str">
        <f t="shared" si="31"/>
        <v>Public PERC As String</v>
      </c>
      <c r="BZ7" s="23" t="str">
        <f t="shared" si="32"/>
        <v>PERC = "PERC"</v>
      </c>
      <c r="CA7" s="23" t="str">
        <f t="shared" si="33"/>
        <v>a.PERC= assign(ac.PERC, i)</v>
      </c>
      <c r="CB7" s="23" t="str">
        <f t="shared" si="34"/>
        <v>Call store(ac.PERC, row, a.PERC)</v>
      </c>
    </row>
    <row r="8" spans="1:80" ht="14.25" x14ac:dyDescent="0.2">
      <c r="A8">
        <v>71</v>
      </c>
      <c r="B8" t="str">
        <f t="shared" si="6"/>
        <v>G</v>
      </c>
      <c r="E8" s="4" t="s">
        <v>18</v>
      </c>
      <c r="F8" t="s">
        <v>45</v>
      </c>
      <c r="G8" t="s">
        <v>54</v>
      </c>
      <c r="J8" s="24" t="s">
        <v>214</v>
      </c>
      <c r="K8" t="str">
        <f t="shared" si="0"/>
        <v>Public asstClass As String</v>
      </c>
      <c r="L8" s="23" t="str">
        <f t="shared" si="7"/>
        <v>asstClass = "G"</v>
      </c>
      <c r="M8" t="str">
        <f t="shared" si="1"/>
        <v>asstClass = "Asset Class"</v>
      </c>
      <c r="N8" t="str">
        <f t="shared" si="2"/>
        <v>Public asstClass As String</v>
      </c>
      <c r="O8" t="str">
        <f t="shared" si="8"/>
        <v>asstClass = "asstClass"</v>
      </c>
      <c r="P8" t="str">
        <f t="shared" si="3"/>
        <v>a.asstClass= assign(ac.asstClass, i)</v>
      </c>
      <c r="Q8" t="str">
        <f t="shared" si="4"/>
        <v>Call store(ac.asstClass, row, a.asstClass)</v>
      </c>
      <c r="S8" s="5" t="s">
        <v>51</v>
      </c>
      <c r="T8" s="22" t="s">
        <v>8</v>
      </c>
      <c r="U8" t="s">
        <v>82</v>
      </c>
      <c r="X8" t="str">
        <f t="shared" si="9"/>
        <v>Public expoAmt As Currency</v>
      </c>
      <c r="Y8" t="str">
        <f t="shared" si="10"/>
        <v>expoAmt = "G"</v>
      </c>
      <c r="Z8" t="str">
        <f t="shared" si="11"/>
        <v>expoAmt = "Exposure Amount"</v>
      </c>
      <c r="AA8" t="str">
        <f t="shared" si="12"/>
        <v>Public expoAmt As String</v>
      </c>
      <c r="AB8" t="str">
        <f t="shared" si="13"/>
        <v>expoAmt = "expoAmt"</v>
      </c>
      <c r="AC8" t="str">
        <f t="shared" si="14"/>
        <v>e.expoAmt = assign(ec.expoAmt, i)</v>
      </c>
      <c r="AD8" t="str">
        <f t="shared" si="15"/>
        <v>Call store(ec.expoAmt, row, var.expoAmt)</v>
      </c>
      <c r="AI8" t="s">
        <v>93</v>
      </c>
      <c r="AJ8" t="s">
        <v>108</v>
      </c>
      <c r="AK8" t="s">
        <v>110</v>
      </c>
      <c r="AL8" s="18" t="str">
        <f t="shared" ref="AL8:AL14" si="35">"tag"&amp;AK8</f>
        <v>tagPartial</v>
      </c>
      <c r="AN8" t="s">
        <v>13</v>
      </c>
      <c r="AO8" t="s">
        <v>45</v>
      </c>
      <c r="AP8" t="s">
        <v>164</v>
      </c>
      <c r="AQ8" s="23"/>
      <c r="AR8" s="18" t="str">
        <f t="shared" si="16"/>
        <v>Public asstCCY As String</v>
      </c>
      <c r="AS8" s="18" t="str">
        <f t="shared" si="17"/>
        <v>asstCCY = "G"</v>
      </c>
      <c r="AT8" s="18" t="str">
        <f t="shared" si="18"/>
        <v>asstCCY = "Asset CCY"</v>
      </c>
      <c r="AU8" s="18" t="str">
        <f t="shared" si="19"/>
        <v>Public asstCCY As String</v>
      </c>
      <c r="AV8" s="18" t="str">
        <f t="shared" si="20"/>
        <v>asstCCY = "asstCCY"</v>
      </c>
      <c r="AW8" s="18" t="str">
        <f t="shared" si="21"/>
        <v>s.asstCCY = assign(sc.asstCCY, i)</v>
      </c>
      <c r="AX8" s="18" t="str">
        <f t="shared" si="22"/>
        <v>Call store(sc.asstCCY, row, var.asstCCY)</v>
      </c>
      <c r="AY8" s="18" t="str">
        <f t="shared" si="23"/>
        <v>s.asstCCY = kod</v>
      </c>
      <c r="BC8" s="23" t="s">
        <v>13</v>
      </c>
      <c r="BD8" s="23" t="s">
        <v>45</v>
      </c>
      <c r="BE8" s="23" t="s">
        <v>164</v>
      </c>
      <c r="BF8" s="23" t="str">
        <f t="shared" si="24"/>
        <v>G</v>
      </c>
      <c r="BG8" s="25" t="s">
        <v>250</v>
      </c>
      <c r="BH8" s="20" t="s">
        <v>267</v>
      </c>
      <c r="BI8" s="25" t="s">
        <v>277</v>
      </c>
      <c r="BJ8" s="25" t="s">
        <v>303</v>
      </c>
      <c r="BK8" s="25" t="str">
        <f t="shared" si="25"/>
        <v>asstccy</v>
      </c>
      <c r="BL8" s="23" t="str">
        <f t="shared" si="26"/>
        <v>asstccy = "G"</v>
      </c>
      <c r="BM8" s="23" t="str">
        <f t="shared" si="27"/>
        <v>Public asstccy As String</v>
      </c>
      <c r="BO8" s="23">
        <v>4</v>
      </c>
      <c r="BP8" s="23" t="s">
        <v>244</v>
      </c>
      <c r="BQ8" s="23" t="s">
        <v>8</v>
      </c>
      <c r="BR8" s="23" t="s">
        <v>184</v>
      </c>
      <c r="BV8" s="23" t="str">
        <f t="shared" si="28"/>
        <v>Public NPERC As Currency</v>
      </c>
      <c r="BW8" s="23" t="str">
        <f t="shared" si="29"/>
        <v>NPERC = "G"</v>
      </c>
      <c r="BX8" s="23" t="str">
        <f t="shared" si="30"/>
        <v>NPERC = "Total Non Purpose Exposure remaining"</v>
      </c>
      <c r="BY8" s="23" t="str">
        <f t="shared" si="31"/>
        <v>Public NPERC As String</v>
      </c>
      <c r="BZ8" s="23" t="str">
        <f t="shared" si="32"/>
        <v>NPERC = "NPERC"</v>
      </c>
      <c r="CA8" s="23" t="str">
        <f t="shared" si="33"/>
        <v>a.NPERC= assign(ac.NPERC, i)</v>
      </c>
      <c r="CB8" s="23" t="str">
        <f t="shared" si="34"/>
        <v>Call store(ac.NPERC, row, a.NPERC)</v>
      </c>
    </row>
    <row r="9" spans="1:80" ht="14.25" x14ac:dyDescent="0.2">
      <c r="A9">
        <v>72</v>
      </c>
      <c r="B9" t="str">
        <f t="shared" si="6"/>
        <v>H</v>
      </c>
      <c r="C9" t="s">
        <v>177</v>
      </c>
      <c r="E9" s="4" t="s">
        <v>19</v>
      </c>
      <c r="F9" t="s">
        <v>45</v>
      </c>
      <c r="G9" t="s">
        <v>79</v>
      </c>
      <c r="J9" s="24" t="s">
        <v>215</v>
      </c>
      <c r="K9" t="str">
        <f t="shared" si="0"/>
        <v>Public asstType As String</v>
      </c>
      <c r="L9" s="23" t="str">
        <f t="shared" si="7"/>
        <v>asstType = "H"</v>
      </c>
      <c r="M9" t="str">
        <f t="shared" si="1"/>
        <v>asstType = "Margin Stock Indicator"</v>
      </c>
      <c r="N9" t="str">
        <f t="shared" si="2"/>
        <v>Public asstType As String</v>
      </c>
      <c r="O9" t="str">
        <f t="shared" si="8"/>
        <v>asstType = "asstType"</v>
      </c>
      <c r="P9" t="str">
        <f t="shared" si="3"/>
        <v>a.asstType= assign(ac.asstType, i)</v>
      </c>
      <c r="Q9" t="str">
        <f t="shared" si="4"/>
        <v>Call store(ac.asstType, row, a.asstType)</v>
      </c>
      <c r="S9" s="7" t="s">
        <v>140</v>
      </c>
      <c r="T9" t="s">
        <v>46</v>
      </c>
      <c r="U9" t="str">
        <f>$AL3&amp;V9</f>
        <v>hcOverrideFAC</v>
      </c>
      <c r="V9" t="s">
        <v>104</v>
      </c>
      <c r="X9" t="str">
        <f t="shared" si="9"/>
        <v>Public hcOverrideFAC As Double</v>
      </c>
      <c r="Y9" t="str">
        <f t="shared" si="10"/>
        <v>hcOverrideFAC = "H"</v>
      </c>
      <c r="Z9" t="str">
        <f t="shared" si="11"/>
        <v>hcOverrideFAC = "FAC Haircut Override"</v>
      </c>
      <c r="AA9" t="str">
        <f t="shared" si="12"/>
        <v>Public hcOverrideFAC As String</v>
      </c>
      <c r="AB9" t="str">
        <f t="shared" si="13"/>
        <v>hcOverrideFAC = "hcOverrideFAC"</v>
      </c>
      <c r="AC9" t="str">
        <f t="shared" si="14"/>
        <v>e.hcOverrideFAC = e.hcOverrideFAC + assign(ec.hcOverrideFAC, i)</v>
      </c>
      <c r="AD9" t="str">
        <f t="shared" si="15"/>
        <v>Call store(ec.hcOverrideFAC, row, var.hcOverrideFAC)</v>
      </c>
      <c r="AI9" t="s">
        <v>94</v>
      </c>
      <c r="AJ9" s="17" t="s">
        <v>109</v>
      </c>
      <c r="AK9" s="17" t="s">
        <v>131</v>
      </c>
      <c r="AL9" s="18" t="str">
        <f t="shared" si="35"/>
        <v>tagSplit</v>
      </c>
      <c r="AN9" t="s">
        <v>145</v>
      </c>
      <c r="AO9" t="s">
        <v>45</v>
      </c>
      <c r="AP9" t="s">
        <v>78</v>
      </c>
      <c r="AQ9" s="23"/>
      <c r="AR9" s="18" t="str">
        <f t="shared" si="16"/>
        <v>Public expoType As String</v>
      </c>
      <c r="AS9" s="18" t="str">
        <f t="shared" si="17"/>
        <v>expoType = "H"</v>
      </c>
      <c r="AT9" s="18" t="str">
        <f t="shared" si="18"/>
        <v>expoType = "Expo Type"</v>
      </c>
      <c r="AU9" s="18" t="str">
        <f t="shared" si="19"/>
        <v>Public expoType As String</v>
      </c>
      <c r="AV9" s="18" t="str">
        <f t="shared" si="20"/>
        <v>expoType = "expoType"</v>
      </c>
      <c r="AW9" s="18" t="str">
        <f t="shared" si="21"/>
        <v>s.expoType = assign(sc.expoType, i)</v>
      </c>
      <c r="AX9" s="18" t="str">
        <f t="shared" si="22"/>
        <v>Call store(sc.expoType, row, var.expoType)</v>
      </c>
      <c r="AY9" s="18" t="str">
        <f t="shared" si="23"/>
        <v>s.expoType = kod</v>
      </c>
      <c r="BC9" s="23" t="s">
        <v>145</v>
      </c>
      <c r="BD9" s="23" t="s">
        <v>45</v>
      </c>
      <c r="BE9" s="23" t="s">
        <v>78</v>
      </c>
      <c r="BF9" s="23" t="str">
        <f t="shared" si="24"/>
        <v>H</v>
      </c>
      <c r="BG9" s="25" t="s">
        <v>251</v>
      </c>
      <c r="BH9" s="25" t="s">
        <v>268</v>
      </c>
      <c r="BI9" s="25" t="s">
        <v>278</v>
      </c>
      <c r="BJ9" s="25" t="s">
        <v>304</v>
      </c>
      <c r="BK9" s="25" t="str">
        <f t="shared" si="25"/>
        <v>expotype</v>
      </c>
      <c r="BL9" s="23" t="str">
        <f t="shared" si="26"/>
        <v>expotype = "H"</v>
      </c>
      <c r="BM9" s="23" t="str">
        <f t="shared" si="27"/>
        <v>Public expotype As String</v>
      </c>
      <c r="BO9" s="23">
        <v>5</v>
      </c>
      <c r="BP9" s="23" t="s">
        <v>35</v>
      </c>
      <c r="BQ9" s="23" t="s">
        <v>8</v>
      </c>
      <c r="BR9" s="23" t="s">
        <v>67</v>
      </c>
      <c r="BV9" s="23" t="str">
        <f t="shared" si="28"/>
        <v>Public PBA As Currency</v>
      </c>
      <c r="BW9" s="23" t="str">
        <f t="shared" si="29"/>
        <v>PBA = "H"</v>
      </c>
      <c r="BX9" s="23" t="str">
        <f t="shared" si="30"/>
        <v>PBA = "Purpose Borrowing Availability"</v>
      </c>
      <c r="BY9" s="23" t="str">
        <f t="shared" si="31"/>
        <v>Public PBA As String</v>
      </c>
      <c r="BZ9" s="23" t="str">
        <f t="shared" si="32"/>
        <v>PBA = "PBA"</v>
      </c>
      <c r="CA9" s="23" t="str">
        <f t="shared" si="33"/>
        <v>a.PBA= assign(ac.PBA, i)</v>
      </c>
      <c r="CB9" s="23" t="str">
        <f t="shared" si="34"/>
        <v>Call store(ac.PBA, row, a.PBA)</v>
      </c>
    </row>
    <row r="10" spans="1:80" ht="14.25" x14ac:dyDescent="0.2">
      <c r="A10">
        <v>73</v>
      </c>
      <c r="B10" t="str">
        <f t="shared" si="6"/>
        <v>I</v>
      </c>
      <c r="E10" s="4" t="s">
        <v>8</v>
      </c>
      <c r="F10" t="s">
        <v>45</v>
      </c>
      <c r="G10" t="s">
        <v>2</v>
      </c>
      <c r="J10" s="24" t="s">
        <v>216</v>
      </c>
      <c r="K10" t="str">
        <f t="shared" si="0"/>
        <v>Public CCY As String</v>
      </c>
      <c r="L10" s="23" t="str">
        <f t="shared" si="7"/>
        <v>CCY = "I"</v>
      </c>
      <c r="M10" t="str">
        <f t="shared" si="1"/>
        <v>CCY = "Currency"</v>
      </c>
      <c r="N10" t="str">
        <f t="shared" si="2"/>
        <v>Public CCY As String</v>
      </c>
      <c r="O10" t="str">
        <f t="shared" si="8"/>
        <v>CCY = "CCY"</v>
      </c>
      <c r="P10" t="str">
        <f t="shared" si="3"/>
        <v>a.CCY= assign(ac.CCY, i)</v>
      </c>
      <c r="Q10" t="str">
        <f t="shared" si="4"/>
        <v>Call store(ac.CCY, row, a.CCY)</v>
      </c>
      <c r="S10" s="12" t="s">
        <v>141</v>
      </c>
      <c r="T10" t="s">
        <v>106</v>
      </c>
      <c r="U10" t="str">
        <f>$AL4&amp;V10</f>
        <v>hcExpiryFAC</v>
      </c>
      <c r="V10" t="s">
        <v>104</v>
      </c>
      <c r="X10" t="str">
        <f t="shared" si="9"/>
        <v>Public hcExpiryFAC As Date</v>
      </c>
      <c r="Y10" t="str">
        <f t="shared" si="10"/>
        <v>hcExpiryFAC = "I"</v>
      </c>
      <c r="Z10" t="str">
        <f t="shared" si="11"/>
        <v>hcExpiryFAC = "FAC Haircut Override Expiry Date"</v>
      </c>
      <c r="AA10" t="str">
        <f t="shared" si="12"/>
        <v>Public hcExpiryFAC As String</v>
      </c>
      <c r="AB10" t="str">
        <f t="shared" si="13"/>
        <v>hcExpiryFAC = "hcExpiryFAC"</v>
      </c>
      <c r="AC10" t="str">
        <f t="shared" si="14"/>
        <v>e.hcExpiryFAC = assign(ec.hcExpiryFAC, i)</v>
      </c>
      <c r="AD10" t="str">
        <f t="shared" si="15"/>
        <v>Call store(ec.hcExpiryFAC, row, var.hcExpiryFAC)</v>
      </c>
      <c r="AI10" t="s">
        <v>95</v>
      </c>
      <c r="AJ10" t="s">
        <v>155</v>
      </c>
      <c r="AK10" t="s">
        <v>156</v>
      </c>
      <c r="AL10" s="18" t="str">
        <f t="shared" si="35"/>
        <v>tagConsumed</v>
      </c>
      <c r="AN10" t="s">
        <v>146</v>
      </c>
      <c r="AO10" t="s">
        <v>45</v>
      </c>
      <c r="AP10" t="s">
        <v>79</v>
      </c>
      <c r="AQ10" s="23"/>
      <c r="AR10" s="18" t="str">
        <f t="shared" si="16"/>
        <v>Public asstType As String</v>
      </c>
      <c r="AS10" s="18" t="str">
        <f t="shared" si="17"/>
        <v>asstType = "I"</v>
      </c>
      <c r="AT10" s="18" t="str">
        <f t="shared" si="18"/>
        <v>asstType = "Asst Type"</v>
      </c>
      <c r="AU10" s="18" t="str">
        <f t="shared" si="19"/>
        <v>Public asstType As String</v>
      </c>
      <c r="AV10" s="18" t="str">
        <f t="shared" si="20"/>
        <v>asstType = "asstType"</v>
      </c>
      <c r="AW10" s="18" t="str">
        <f t="shared" si="21"/>
        <v>s.asstType = assign(sc.asstType, i)</v>
      </c>
      <c r="AX10" s="18" t="str">
        <f t="shared" si="22"/>
        <v>Call store(sc.asstType, row, var.asstType)</v>
      </c>
      <c r="AY10" s="18" t="str">
        <f t="shared" si="23"/>
        <v>s.asstType = kod</v>
      </c>
      <c r="BC10" s="23" t="s">
        <v>146</v>
      </c>
      <c r="BD10" s="23" t="s">
        <v>45</v>
      </c>
      <c r="BE10" s="23" t="s">
        <v>79</v>
      </c>
      <c r="BF10" s="23" t="str">
        <f t="shared" si="24"/>
        <v>I</v>
      </c>
      <c r="BG10" s="25" t="s">
        <v>252</v>
      </c>
      <c r="BH10" s="25" t="s">
        <v>269</v>
      </c>
      <c r="BI10" s="25" t="s">
        <v>2</v>
      </c>
      <c r="BJ10" s="25" t="s">
        <v>278</v>
      </c>
      <c r="BK10" s="25" t="str">
        <f t="shared" si="25"/>
        <v>assttype</v>
      </c>
      <c r="BL10" s="23" t="str">
        <f t="shared" si="26"/>
        <v>assttype = "I"</v>
      </c>
      <c r="BM10" s="23" t="str">
        <f t="shared" si="27"/>
        <v>Public assttype As String</v>
      </c>
      <c r="BP10" s="23" t="s">
        <v>318</v>
      </c>
      <c r="BQ10" s="23" t="s">
        <v>8</v>
      </c>
      <c r="BR10" t="s">
        <v>68</v>
      </c>
      <c r="BV10" s="23" t="str">
        <f t="shared" si="28"/>
        <v>Public NPBA As Currency</v>
      </c>
      <c r="BW10" s="23" t="str">
        <f t="shared" si="29"/>
        <v>NPBA = "I"</v>
      </c>
      <c r="BX10" s="23" t="str">
        <f t="shared" si="30"/>
        <v>NPBA = "Non Purpose Borrowing Availability"</v>
      </c>
      <c r="BY10" s="23" t="str">
        <f t="shared" si="31"/>
        <v>Public NPBA As String</v>
      </c>
      <c r="BZ10" s="23" t="str">
        <f t="shared" si="32"/>
        <v>NPBA = "NPBA"</v>
      </c>
      <c r="CA10" s="23" t="str">
        <f t="shared" si="33"/>
        <v>a.NPBA= assign(ac.NPBA, i)</v>
      </c>
      <c r="CB10" s="23" t="str">
        <f t="shared" si="34"/>
        <v>Call store(ac.NPBA, row, a.NPBA)</v>
      </c>
    </row>
    <row r="11" spans="1:80" ht="14.25" x14ac:dyDescent="0.2">
      <c r="A11">
        <v>74</v>
      </c>
      <c r="B11" t="str">
        <f t="shared" si="6"/>
        <v>J</v>
      </c>
      <c r="E11" s="4" t="s">
        <v>133</v>
      </c>
      <c r="F11" t="s">
        <v>46</v>
      </c>
      <c r="G11" t="s">
        <v>134</v>
      </c>
      <c r="J11" s="24"/>
      <c r="K11" t="str">
        <f t="shared" si="0"/>
        <v>Public unitPrice As Double</v>
      </c>
      <c r="L11" s="23" t="str">
        <f t="shared" si="7"/>
        <v>unitPrice = "J"</v>
      </c>
      <c r="M11" t="str">
        <f t="shared" si="1"/>
        <v>unitPrice = "Unit Price"</v>
      </c>
      <c r="N11" t="str">
        <f t="shared" si="2"/>
        <v>Public unitPrice As String</v>
      </c>
      <c r="O11" t="str">
        <f t="shared" si="8"/>
        <v>unitPrice = "unitPrice"</v>
      </c>
      <c r="P11" t="str">
        <f t="shared" si="3"/>
        <v>a.unitPrice= assign(ac.unitPrice, i)</v>
      </c>
      <c r="Q11" t="str">
        <f t="shared" si="4"/>
        <v>Call store(ac.unitPrice, row, a.unitPrice)</v>
      </c>
      <c r="S11" s="7" t="s">
        <v>142</v>
      </c>
      <c r="T11" t="s">
        <v>105</v>
      </c>
      <c r="U11" t="str">
        <f>$AL5&amp;V11</f>
        <v>hcFlagFAC</v>
      </c>
      <c r="V11" t="s">
        <v>104</v>
      </c>
      <c r="X11" t="str">
        <f t="shared" si="9"/>
        <v>Public hcFlagFAC As Boolean</v>
      </c>
      <c r="Y11" t="str">
        <f t="shared" si="10"/>
        <v>hcFlagFAC = "J"</v>
      </c>
      <c r="Z11" t="str">
        <f t="shared" si="11"/>
        <v>hcFlagFAC = "FAC Haircut On / Off"</v>
      </c>
      <c r="AA11" t="str">
        <f t="shared" si="12"/>
        <v>Public hcFlagFAC As String</v>
      </c>
      <c r="AB11" t="str">
        <f t="shared" si="13"/>
        <v>hcFlagFAC = "hcFlagFAC"</v>
      </c>
      <c r="AC11" t="str">
        <f t="shared" si="14"/>
        <v>e.hcFlagFAC = assign(ec.hcFlagFAC, i)</v>
      </c>
      <c r="AD11" t="str">
        <f t="shared" si="15"/>
        <v>Call store(ec.hcFlagFAC, row, var.hcFlagFAC)</v>
      </c>
      <c r="AJ11" s="2" t="s">
        <v>148</v>
      </c>
      <c r="AL11" s="18" t="str">
        <f t="shared" si="35"/>
        <v>tag</v>
      </c>
      <c r="AN11" t="s">
        <v>51</v>
      </c>
      <c r="AO11" s="22" t="s">
        <v>8</v>
      </c>
      <c r="AP11" t="s">
        <v>82</v>
      </c>
      <c r="AQ11" s="23"/>
      <c r="AR11" s="18" t="str">
        <f t="shared" si="16"/>
        <v>Public expoAmt As Currency</v>
      </c>
      <c r="AS11" s="18" t="str">
        <f t="shared" si="17"/>
        <v>expoAmt = "J"</v>
      </c>
      <c r="AT11" s="18" t="str">
        <f t="shared" si="18"/>
        <v>expoAmt = "Exposure Amount"</v>
      </c>
      <c r="AU11" s="18" t="str">
        <f t="shared" si="19"/>
        <v>Public expoAmt As String</v>
      </c>
      <c r="AV11" s="18" t="str">
        <f t="shared" si="20"/>
        <v>expoAmt = "expoAmt"</v>
      </c>
      <c r="AW11" s="18" t="str">
        <f t="shared" si="21"/>
        <v>s.expoAmt = assign(sc.expoAmt, i)</v>
      </c>
      <c r="AX11" s="18" t="str">
        <f t="shared" si="22"/>
        <v>Call store(sc.expoAmt, row, var.expoAmt)</v>
      </c>
      <c r="AY11" s="18" t="str">
        <f t="shared" si="23"/>
        <v>s.expoAmt = kod</v>
      </c>
      <c r="BC11" s="23" t="s">
        <v>51</v>
      </c>
      <c r="BD11" s="23" t="s">
        <v>8</v>
      </c>
      <c r="BE11" s="23" t="s">
        <v>82</v>
      </c>
      <c r="BF11" s="23" t="str">
        <f t="shared" si="24"/>
        <v>J</v>
      </c>
      <c r="BG11" s="25" t="s">
        <v>253</v>
      </c>
      <c r="BH11" s="25" t="s">
        <v>270</v>
      </c>
      <c r="BI11" s="25" t="s">
        <v>279</v>
      </c>
      <c r="BJ11" s="25" t="s">
        <v>305</v>
      </c>
      <c r="BK11" s="25" t="str">
        <f t="shared" si="25"/>
        <v>expoamt</v>
      </c>
      <c r="BL11" s="23" t="str">
        <f t="shared" si="26"/>
        <v>expoamt = "J"</v>
      </c>
      <c r="BM11" s="23" t="str">
        <f t="shared" si="27"/>
        <v>Public expoamt As String</v>
      </c>
      <c r="BP11" t="s">
        <v>319</v>
      </c>
      <c r="BQ11" s="23" t="s">
        <v>45</v>
      </c>
      <c r="BR11" t="s">
        <v>330</v>
      </c>
      <c r="BV11" s="23" t="str">
        <f t="shared" si="28"/>
        <v>Public engStep As String</v>
      </c>
      <c r="BW11" s="23" t="str">
        <f t="shared" si="29"/>
        <v>engStep = "J"</v>
      </c>
      <c r="BX11" s="23" t="str">
        <f t="shared" si="30"/>
        <v>engStep = "Engine Step"</v>
      </c>
      <c r="BY11" s="23" t="str">
        <f t="shared" si="31"/>
        <v>Public engStep As String</v>
      </c>
      <c r="BZ11" s="23" t="str">
        <f t="shared" si="32"/>
        <v>engStep = "engStep"</v>
      </c>
      <c r="CA11" s="23" t="str">
        <f t="shared" si="33"/>
        <v>a.engStep= assign(ac.engStep, i)</v>
      </c>
      <c r="CB11" s="23" t="str">
        <f t="shared" si="34"/>
        <v>Call store(ac.engStep, row, a.engStep)</v>
      </c>
    </row>
    <row r="12" spans="1:80" ht="14.25" x14ac:dyDescent="0.2">
      <c r="A12">
        <v>75</v>
      </c>
      <c r="B12" t="str">
        <f t="shared" si="6"/>
        <v>K</v>
      </c>
      <c r="E12" s="4" t="s">
        <v>20</v>
      </c>
      <c r="F12" t="s">
        <v>46</v>
      </c>
      <c r="G12" t="s">
        <v>55</v>
      </c>
      <c r="J12" s="24" t="s">
        <v>217</v>
      </c>
      <c r="K12" t="str">
        <f t="shared" si="0"/>
        <v>Public qty As Double</v>
      </c>
      <c r="L12" s="23" t="str">
        <f t="shared" si="7"/>
        <v>qty = "K"</v>
      </c>
      <c r="M12" t="str">
        <f t="shared" si="1"/>
        <v>qty = "Quantity"</v>
      </c>
      <c r="N12" t="str">
        <f t="shared" si="2"/>
        <v>Public qty As String</v>
      </c>
      <c r="O12" t="str">
        <f t="shared" si="8"/>
        <v>qty = "qty"</v>
      </c>
      <c r="P12" t="str">
        <f t="shared" si="3"/>
        <v>a.qty= assign(ac.qty, i)</v>
      </c>
      <c r="Q12" t="str">
        <f t="shared" si="4"/>
        <v>Call store(ac.qty, row, a.qty)</v>
      </c>
      <c r="S12" s="6" t="s">
        <v>14</v>
      </c>
      <c r="T12" t="s">
        <v>47</v>
      </c>
      <c r="U12" t="s">
        <v>77</v>
      </c>
      <c r="X12" t="str">
        <f t="shared" si="9"/>
        <v>Public expoGroup As Long</v>
      </c>
      <c r="Y12" t="str">
        <f t="shared" si="10"/>
        <v>expoGroup = "K"</v>
      </c>
      <c r="Z12" t="str">
        <f t="shared" si="11"/>
        <v>expoGroup = "Group"</v>
      </c>
      <c r="AA12" t="str">
        <f t="shared" si="12"/>
        <v>Public expoGroup As String</v>
      </c>
      <c r="AB12" t="str">
        <f t="shared" si="13"/>
        <v>expoGroup = "expoGroup"</v>
      </c>
      <c r="AC12" t="str">
        <f t="shared" si="14"/>
        <v>e.expoGroup = e.expoGroup + assign(ec.expoGroup, i)</v>
      </c>
      <c r="AD12" t="str">
        <f t="shared" si="15"/>
        <v>Call store(ec.expoGroup, row, var.expoGroup)</v>
      </c>
      <c r="AI12" t="s">
        <v>96</v>
      </c>
      <c r="AJ12" t="s">
        <v>152</v>
      </c>
      <c r="AK12" t="s">
        <v>151</v>
      </c>
      <c r="AL12" s="18" t="str">
        <f t="shared" si="35"/>
        <v>tagUnprocessed</v>
      </c>
      <c r="AN12" t="s">
        <v>237</v>
      </c>
      <c r="AO12" s="22" t="s">
        <v>8</v>
      </c>
      <c r="AP12" t="s">
        <v>165</v>
      </c>
      <c r="AQ12" s="23" t="s">
        <v>201</v>
      </c>
      <c r="AR12" s="18" t="str">
        <f t="shared" si="16"/>
        <v>Public initLV As Currency</v>
      </c>
      <c r="AS12" s="18" t="str">
        <f t="shared" si="17"/>
        <v>initLV = "K"</v>
      </c>
      <c r="AT12" s="18" t="str">
        <f t="shared" si="18"/>
        <v>initLV = "Initial Lending Value (without Haircut)"</v>
      </c>
      <c r="AU12" s="18" t="str">
        <f t="shared" si="19"/>
        <v>Public initLV As String</v>
      </c>
      <c r="AV12" s="18" t="str">
        <f t="shared" si="20"/>
        <v>initLV = "initLV"</v>
      </c>
      <c r="AW12" s="18" t="str">
        <f t="shared" si="21"/>
        <v>s.initLV = assign(sc.initLV, i)</v>
      </c>
      <c r="AX12" s="18" t="str">
        <f t="shared" si="22"/>
        <v>Call store(sc.initLV, row, var.initLV)</v>
      </c>
      <c r="AY12" s="18" t="str">
        <f t="shared" si="23"/>
        <v>s.initLV = kod</v>
      </c>
      <c r="BC12" s="23" t="s">
        <v>237</v>
      </c>
      <c r="BD12" s="23" t="s">
        <v>8</v>
      </c>
      <c r="BE12" s="23" t="s">
        <v>165</v>
      </c>
      <c r="BF12" s="23" t="str">
        <f t="shared" si="24"/>
        <v>K</v>
      </c>
      <c r="BG12" s="25" t="s">
        <v>254</v>
      </c>
      <c r="BH12" s="25" t="s">
        <v>271</v>
      </c>
      <c r="BI12" s="25" t="s">
        <v>280</v>
      </c>
      <c r="BJ12" s="25" t="s">
        <v>306</v>
      </c>
      <c r="BK12" s="25" t="str">
        <f t="shared" si="25"/>
        <v>hcapplied</v>
      </c>
      <c r="BL12" s="23" t="str">
        <f t="shared" si="26"/>
        <v>hcapplied = "K"</v>
      </c>
      <c r="BM12" s="23" t="str">
        <f t="shared" si="27"/>
        <v>Public hcapplied As String</v>
      </c>
      <c r="BP12" t="s">
        <v>320</v>
      </c>
      <c r="BQ12" s="23" t="s">
        <v>45</v>
      </c>
      <c r="BR12" t="s">
        <v>331</v>
      </c>
      <c r="BS12" s="23"/>
      <c r="BT12" s="23"/>
      <c r="BU12" s="23"/>
      <c r="BV12" s="23" t="str">
        <f t="shared" si="28"/>
        <v>Public engAsst As String</v>
      </c>
      <c r="BW12" s="23" t="str">
        <f t="shared" si="29"/>
        <v>engAsst = "K"</v>
      </c>
      <c r="BX12" s="23" t="str">
        <f t="shared" si="30"/>
        <v>engAsst = "Engine Assets"</v>
      </c>
      <c r="BY12" s="23" t="str">
        <f t="shared" si="31"/>
        <v>Public engAsst As String</v>
      </c>
      <c r="BZ12" s="23" t="str">
        <f t="shared" si="32"/>
        <v>engAsst = "engAsst"</v>
      </c>
      <c r="CA12" s="23" t="str">
        <f t="shared" si="33"/>
        <v>a.engAsst= assign(ac.engAsst, i)</v>
      </c>
      <c r="CB12" s="23" t="str">
        <f t="shared" si="34"/>
        <v>Call store(ac.engAsst, row, a.engAsst)</v>
      </c>
    </row>
    <row r="13" spans="1:80" ht="14.25" x14ac:dyDescent="0.2">
      <c r="A13">
        <v>76</v>
      </c>
      <c r="B13" t="str">
        <f t="shared" si="6"/>
        <v>L</v>
      </c>
      <c r="C13" t="s">
        <v>177</v>
      </c>
      <c r="E13" s="4" t="s">
        <v>22</v>
      </c>
      <c r="F13" s="22" t="s">
        <v>8</v>
      </c>
      <c r="G13" t="s">
        <v>3</v>
      </c>
      <c r="J13" s="24" t="s">
        <v>218</v>
      </c>
      <c r="K13" t="str">
        <f t="shared" si="0"/>
        <v>Public MV As Currency</v>
      </c>
      <c r="L13" s="23" t="str">
        <f t="shared" si="7"/>
        <v>MV = "L"</v>
      </c>
      <c r="M13" t="str">
        <f t="shared" si="1"/>
        <v>MV = "Market Value"</v>
      </c>
      <c r="N13" t="str">
        <f t="shared" si="2"/>
        <v>Public MV As String</v>
      </c>
      <c r="O13" t="str">
        <f t="shared" si="8"/>
        <v>MV = "MV"</v>
      </c>
      <c r="P13" t="str">
        <f t="shared" si="3"/>
        <v>a.MV= assign(ac.MV, i)</v>
      </c>
      <c r="Q13" t="str">
        <f t="shared" si="4"/>
        <v>Call store(ac.MV, row, a.MV)</v>
      </c>
      <c r="S13" s="6" t="s">
        <v>49</v>
      </c>
      <c r="T13" t="s">
        <v>45</v>
      </c>
      <c r="U13" t="s">
        <v>81</v>
      </c>
      <c r="X13" t="str">
        <f t="shared" si="9"/>
        <v>Public status As String</v>
      </c>
      <c r="Y13" t="str">
        <f t="shared" si="10"/>
        <v>status = "L"</v>
      </c>
      <c r="Z13" t="str">
        <f t="shared" si="11"/>
        <v>status = "Status"</v>
      </c>
      <c r="AA13" t="str">
        <f t="shared" si="12"/>
        <v>Public status As String</v>
      </c>
      <c r="AB13" t="str">
        <f t="shared" si="13"/>
        <v>status = "status"</v>
      </c>
      <c r="AC13" t="str">
        <f t="shared" si="14"/>
        <v>e.status = assign(ec.status, i)</v>
      </c>
      <c r="AD13" t="str">
        <f t="shared" si="15"/>
        <v>Call store(ec.status, row, var.status)</v>
      </c>
      <c r="AI13" t="s">
        <v>97</v>
      </c>
      <c r="AJ13" t="s">
        <v>153</v>
      </c>
      <c r="AK13" t="s">
        <v>154</v>
      </c>
      <c r="AL13" s="18" t="str">
        <f t="shared" si="35"/>
        <v>tagIn-Process</v>
      </c>
      <c r="AN13" t="s">
        <v>198</v>
      </c>
      <c r="AO13" t="s">
        <v>46</v>
      </c>
      <c r="AP13" t="s">
        <v>73</v>
      </c>
      <c r="AQ13" s="23" t="s">
        <v>202</v>
      </c>
      <c r="AR13" s="18" t="str">
        <f t="shared" si="16"/>
        <v>Public hcApplied As Double</v>
      </c>
      <c r="AS13" s="18" t="str">
        <f t="shared" si="17"/>
        <v>hcApplied = "L"</v>
      </c>
      <c r="AT13" s="18" t="str">
        <f t="shared" si="18"/>
        <v>hcApplied = "Applied Haircut Value"</v>
      </c>
      <c r="AU13" s="18" t="str">
        <f t="shared" si="19"/>
        <v>Public hcApplied As String</v>
      </c>
      <c r="AV13" s="18" t="str">
        <f t="shared" si="20"/>
        <v>hcApplied = "hcApplied"</v>
      </c>
      <c r="AW13" s="18" t="str">
        <f t="shared" si="21"/>
        <v>s.hcApplied = s.hcApplied + assign(sc.hcApplied, i)</v>
      </c>
      <c r="AX13" s="18" t="str">
        <f t="shared" si="22"/>
        <v>Call store(sc.hcApplied, row, var.hcApplied)</v>
      </c>
      <c r="AY13" s="18" t="str">
        <f t="shared" si="23"/>
        <v>s.hcApplied = kod</v>
      </c>
      <c r="BC13" s="23" t="s">
        <v>198</v>
      </c>
      <c r="BD13" s="23" t="s">
        <v>46</v>
      </c>
      <c r="BE13" s="23" t="s">
        <v>73</v>
      </c>
      <c r="BF13" s="23" t="str">
        <f t="shared" si="24"/>
        <v>L</v>
      </c>
      <c r="BG13" s="25" t="s">
        <v>255</v>
      </c>
      <c r="BH13" s="25"/>
      <c r="BI13" s="25" t="s">
        <v>3</v>
      </c>
      <c r="BJ13" s="25" t="s">
        <v>307</v>
      </c>
      <c r="BK13" s="25" t="str">
        <f t="shared" si="25"/>
        <v>hclv</v>
      </c>
      <c r="BL13" s="23" t="str">
        <f t="shared" si="26"/>
        <v>hclv = "L"</v>
      </c>
      <c r="BM13" s="23" t="str">
        <f t="shared" si="27"/>
        <v>Public hclv As String</v>
      </c>
      <c r="BP13" t="s">
        <v>321</v>
      </c>
      <c r="BQ13" s="23" t="s">
        <v>45</v>
      </c>
      <c r="BR13" t="s">
        <v>336</v>
      </c>
      <c r="BS13" s="23"/>
      <c r="BT13" s="23"/>
      <c r="BU13" s="23"/>
      <c r="BV13" s="23" t="str">
        <f t="shared" si="28"/>
        <v>Public engExpo As String</v>
      </c>
      <c r="BW13" s="23" t="str">
        <f t="shared" si="29"/>
        <v>engExpo = "L"</v>
      </c>
      <c r="BX13" s="23" t="str">
        <f t="shared" si="30"/>
        <v>engExpo = "Engine Exposures"</v>
      </c>
      <c r="BY13" s="23" t="str">
        <f t="shared" si="31"/>
        <v>Public engExpo As String</v>
      </c>
      <c r="BZ13" s="23" t="str">
        <f t="shared" si="32"/>
        <v>engExpo = "engExpo"</v>
      </c>
      <c r="CA13" s="23" t="str">
        <f t="shared" si="33"/>
        <v>a.engExpo= assign(ac.engExpo, i)</v>
      </c>
      <c r="CB13" s="23" t="str">
        <f t="shared" si="34"/>
        <v>Call store(ac.engExpo, row, a.engExpo)</v>
      </c>
    </row>
    <row r="14" spans="1:80" ht="14.25" x14ac:dyDescent="0.2">
      <c r="A14">
        <v>77</v>
      </c>
      <c r="B14" t="str">
        <f t="shared" si="6"/>
        <v>M</v>
      </c>
      <c r="E14" s="4" t="s">
        <v>37</v>
      </c>
      <c r="F14" t="s">
        <v>46</v>
      </c>
      <c r="G14" t="s">
        <v>69</v>
      </c>
      <c r="J14" s="24"/>
      <c r="K14" t="str">
        <f t="shared" si="0"/>
        <v>Public hcCCY As Double</v>
      </c>
      <c r="L14" s="23" t="str">
        <f t="shared" si="7"/>
        <v>hcCCY = "M"</v>
      </c>
      <c r="M14" t="str">
        <f t="shared" si="1"/>
        <v>hcCCY = "Currency Haircut"</v>
      </c>
      <c r="N14" t="str">
        <f t="shared" si="2"/>
        <v>Public hcCCY As String</v>
      </c>
      <c r="O14" t="str">
        <f t="shared" si="8"/>
        <v>hcCCY = "hcCCY"</v>
      </c>
      <c r="P14" t="str">
        <f t="shared" si="3"/>
        <v>a.hcCCY= assign(ac.hcCCY, i)</v>
      </c>
      <c r="Q14" t="str">
        <f t="shared" si="4"/>
        <v>Call store(ac.hcCCY, row, a.hcCCY)</v>
      </c>
      <c r="S14" s="6" t="s">
        <v>50</v>
      </c>
      <c r="T14" s="22" t="s">
        <v>8</v>
      </c>
      <c r="U14" t="s">
        <v>83</v>
      </c>
      <c r="X14" t="str">
        <f t="shared" si="9"/>
        <v>Public remAmt As Currency</v>
      </c>
      <c r="Y14" t="str">
        <f t="shared" si="10"/>
        <v>remAmt = "M"</v>
      </c>
      <c r="Z14" t="str">
        <f t="shared" si="11"/>
        <v>remAmt = "Remaining Amount"</v>
      </c>
      <c r="AA14" t="str">
        <f t="shared" si="12"/>
        <v>Public remAmt As String</v>
      </c>
      <c r="AB14" t="str">
        <f t="shared" si="13"/>
        <v>remAmt = "remAmt"</v>
      </c>
      <c r="AC14" t="str">
        <f t="shared" si="14"/>
        <v>e.remAmt = assign(ec.remAmt, i)</v>
      </c>
      <c r="AD14" t="str">
        <f t="shared" si="15"/>
        <v>Call store(ec.remAmt, row, var.remAmt)</v>
      </c>
      <c r="AI14" t="s">
        <v>98</v>
      </c>
      <c r="AJ14" t="s">
        <v>159</v>
      </c>
      <c r="AK14" t="s">
        <v>158</v>
      </c>
      <c r="AL14" s="18" t="str">
        <f t="shared" si="35"/>
        <v>tagOver</v>
      </c>
      <c r="AN14" t="s">
        <v>236</v>
      </c>
      <c r="AO14" s="22" t="s">
        <v>8</v>
      </c>
      <c r="AP14" t="s">
        <v>167</v>
      </c>
      <c r="AQ14" s="23" t="s">
        <v>203</v>
      </c>
      <c r="AR14" s="18" t="str">
        <f t="shared" si="16"/>
        <v>Public hcLV As Currency</v>
      </c>
      <c r="AS14" s="18" t="str">
        <f t="shared" si="17"/>
        <v>hcLV = "M"</v>
      </c>
      <c r="AT14" s="18" t="str">
        <f t="shared" si="18"/>
        <v>hcLV = "Lending Value after Haircut"</v>
      </c>
      <c r="AU14" s="18" t="str">
        <f t="shared" si="19"/>
        <v>Public hcLV As String</v>
      </c>
      <c r="AV14" s="18" t="str">
        <f t="shared" si="20"/>
        <v>hcLV = "hcLV"</v>
      </c>
      <c r="AW14" s="18" t="str">
        <f t="shared" si="21"/>
        <v>s.hcLV = assign(sc.hcLV, i)</v>
      </c>
      <c r="AX14" s="18" t="str">
        <f t="shared" si="22"/>
        <v>Call store(sc.hcLV, row, var.hcLV)</v>
      </c>
      <c r="AY14" s="18" t="str">
        <f t="shared" si="23"/>
        <v>s.hcLV = kod</v>
      </c>
      <c r="BC14" s="23" t="s">
        <v>236</v>
      </c>
      <c r="BD14" s="23" t="s">
        <v>8</v>
      </c>
      <c r="BE14" s="23" t="s">
        <v>167</v>
      </c>
      <c r="BF14" s="23" t="str">
        <f t="shared" si="24"/>
        <v>M</v>
      </c>
      <c r="BG14" s="25" t="s">
        <v>256</v>
      </c>
      <c r="BH14" s="25"/>
      <c r="BI14" s="25" t="s">
        <v>266</v>
      </c>
      <c r="BJ14" s="25" t="s">
        <v>308</v>
      </c>
      <c r="BK14" s="25" t="str">
        <f t="shared" si="25"/>
        <v>remexpo</v>
      </c>
      <c r="BL14" s="23" t="str">
        <f t="shared" si="26"/>
        <v>remexpo = "M"</v>
      </c>
      <c r="BM14" s="23" t="str">
        <f t="shared" si="27"/>
        <v>Public remexpo As String</v>
      </c>
      <c r="BP14" t="s">
        <v>322</v>
      </c>
      <c r="BQ14" s="23" t="s">
        <v>45</v>
      </c>
      <c r="BR14" t="s">
        <v>332</v>
      </c>
      <c r="BS14" s="23"/>
      <c r="BT14" s="23"/>
      <c r="BU14" s="23"/>
      <c r="BV14" s="23" t="str">
        <f t="shared" si="28"/>
        <v>Public macStep As String</v>
      </c>
      <c r="BW14" s="23" t="str">
        <f t="shared" si="29"/>
        <v>macStep = "M"</v>
      </c>
      <c r="BX14" s="23" t="str">
        <f t="shared" si="30"/>
        <v>macStep = "Macro  Step"</v>
      </c>
      <c r="BY14" s="23" t="str">
        <f t="shared" si="31"/>
        <v>Public macStep As String</v>
      </c>
      <c r="BZ14" s="23" t="str">
        <f t="shared" si="32"/>
        <v>macStep = "macStep"</v>
      </c>
      <c r="CA14" s="23" t="str">
        <f t="shared" si="33"/>
        <v>a.macStep= assign(ac.macStep, i)</v>
      </c>
      <c r="CB14" s="23" t="str">
        <f t="shared" si="34"/>
        <v>Call store(ac.macStep, row, a.macStep)</v>
      </c>
    </row>
    <row r="15" spans="1:80" ht="14.25" x14ac:dyDescent="0.2">
      <c r="A15">
        <v>78</v>
      </c>
      <c r="B15" t="str">
        <f t="shared" si="6"/>
        <v>N</v>
      </c>
      <c r="E15" s="4" t="s">
        <v>21</v>
      </c>
      <c r="F15" t="s">
        <v>46</v>
      </c>
      <c r="G15" t="s">
        <v>56</v>
      </c>
      <c r="J15" s="24"/>
      <c r="K15" t="str">
        <f t="shared" si="0"/>
        <v>Public qtyWithLV As Double</v>
      </c>
      <c r="L15" s="23" t="str">
        <f t="shared" si="7"/>
        <v>qtyWithLV = "N"</v>
      </c>
      <c r="M15" t="str">
        <f t="shared" si="1"/>
        <v>qtyWithLV = "Quantity with LV"</v>
      </c>
      <c r="N15" t="str">
        <f t="shared" si="2"/>
        <v>Public qtyWithLV As String</v>
      </c>
      <c r="O15" t="str">
        <f t="shared" si="8"/>
        <v>qtyWithLV = "qtyWithLV"</v>
      </c>
      <c r="P15" t="str">
        <f t="shared" si="3"/>
        <v>a.qtyWithLV= assign(ac.qtyWithLV, i)</v>
      </c>
      <c r="Q15" t="str">
        <f t="shared" si="4"/>
        <v>Call store(ac.qtyWithLV, row, a.qtyWithLV)</v>
      </c>
      <c r="S15" s="6" t="s">
        <v>48</v>
      </c>
      <c r="T15" t="s">
        <v>45</v>
      </c>
      <c r="U15" t="s">
        <v>80</v>
      </c>
      <c r="X15" t="str">
        <f t="shared" si="9"/>
        <v>Public asstList As String</v>
      </c>
      <c r="Y15" t="str">
        <f t="shared" si="10"/>
        <v>asstList = "N"</v>
      </c>
      <c r="Z15" t="str">
        <f t="shared" si="11"/>
        <v>asstList = "AssetList"</v>
      </c>
      <c r="AA15" t="str">
        <f t="shared" si="12"/>
        <v>Public asstList As String</v>
      </c>
      <c r="AB15" t="str">
        <f t="shared" si="13"/>
        <v>asstList = "asstList"</v>
      </c>
      <c r="AC15" t="str">
        <f t="shared" si="14"/>
        <v>e.asstList = assign(ec.asstList, i)</v>
      </c>
      <c r="AD15" t="str">
        <f t="shared" si="15"/>
        <v>Call store(ec.asstList, row, var.asstList)</v>
      </c>
      <c r="AI15" t="s">
        <v>99</v>
      </c>
      <c r="AN15" t="s">
        <v>199</v>
      </c>
      <c r="AO15" s="22" t="s">
        <v>8</v>
      </c>
      <c r="AP15" t="s">
        <v>168</v>
      </c>
      <c r="AQ15" s="23" t="s">
        <v>204</v>
      </c>
      <c r="AR15" s="18" t="str">
        <f t="shared" si="16"/>
        <v>Public remExpo As Currency</v>
      </c>
      <c r="AS15" s="18" t="str">
        <f t="shared" si="17"/>
        <v>remExpo = "N"</v>
      </c>
      <c r="AT15" s="18" t="str">
        <f t="shared" si="18"/>
        <v>remExpo = "Remaining Exposure Amount"</v>
      </c>
      <c r="AU15" s="18" t="str">
        <f t="shared" si="19"/>
        <v>Public remExpo As String</v>
      </c>
      <c r="AV15" s="18" t="str">
        <f t="shared" si="20"/>
        <v>remExpo = "remExpo"</v>
      </c>
      <c r="AW15" s="18" t="str">
        <f t="shared" si="21"/>
        <v>s.remExpo = assign(sc.remExpo, i)</v>
      </c>
      <c r="AX15" s="18" t="str">
        <f t="shared" si="22"/>
        <v>Call store(sc.remExpo, row, var.remExpo)</v>
      </c>
      <c r="AY15" s="18" t="str">
        <f t="shared" si="23"/>
        <v>s.remExpo = kod</v>
      </c>
      <c r="BF15" s="23" t="str">
        <f t="shared" si="24"/>
        <v>N</v>
      </c>
      <c r="BG15" s="25" t="s">
        <v>257</v>
      </c>
      <c r="BH15" s="25"/>
      <c r="BI15" s="25" t="s">
        <v>281</v>
      </c>
      <c r="BJ15" s="25" t="s">
        <v>309</v>
      </c>
      <c r="BK15" s="25" t="str">
        <f t="shared" si="25"/>
        <v>remplv</v>
      </c>
      <c r="BL15" s="23" t="str">
        <f t="shared" si="26"/>
        <v>remplv = "N"</v>
      </c>
      <c r="BM15" s="23" t="str">
        <f t="shared" si="27"/>
        <v>Public remplv As String</v>
      </c>
      <c r="BP15" t="s">
        <v>323</v>
      </c>
      <c r="BQ15" s="23" t="s">
        <v>45</v>
      </c>
      <c r="BR15" t="s">
        <v>333</v>
      </c>
      <c r="BS15" s="23"/>
      <c r="BT15" s="23"/>
      <c r="BU15" s="23"/>
      <c r="BV15" s="23" t="str">
        <f t="shared" si="28"/>
        <v>Public macAsst As String</v>
      </c>
      <c r="BW15" s="23" t="str">
        <f t="shared" si="29"/>
        <v>macAsst = "N"</v>
      </c>
      <c r="BX15" s="23" t="str">
        <f t="shared" si="30"/>
        <v>macAsst = "Macro  Assets"</v>
      </c>
      <c r="BY15" s="23" t="str">
        <f t="shared" si="31"/>
        <v>Public macAsst As String</v>
      </c>
      <c r="BZ15" s="23" t="str">
        <f t="shared" si="32"/>
        <v>macAsst = "macAsst"</v>
      </c>
      <c r="CA15" s="23" t="str">
        <f t="shared" si="33"/>
        <v>a.macAsst= assign(ac.macAsst, i)</v>
      </c>
      <c r="CB15" s="23" t="str">
        <f t="shared" si="34"/>
        <v>Call store(ac.macAsst, row, a.macAsst)</v>
      </c>
    </row>
    <row r="16" spans="1:80" ht="14.25" x14ac:dyDescent="0.2">
      <c r="A16">
        <v>79</v>
      </c>
      <c r="B16" t="str">
        <f t="shared" si="6"/>
        <v>O</v>
      </c>
      <c r="E16" s="4" t="s">
        <v>23</v>
      </c>
      <c r="F16" s="22" t="s">
        <v>8</v>
      </c>
      <c r="G16" t="s">
        <v>57</v>
      </c>
      <c r="J16" s="24"/>
      <c r="K16" t="str">
        <f t="shared" si="0"/>
        <v>Public MVwithLV As Currency</v>
      </c>
      <c r="L16" s="23" t="str">
        <f t="shared" si="7"/>
        <v>MVwithLV = "O"</v>
      </c>
      <c r="M16" t="str">
        <f t="shared" si="1"/>
        <v>MVwithLV = "Market Value with LV"</v>
      </c>
      <c r="N16" t="str">
        <f t="shared" si="2"/>
        <v>Public MVwithLV As String</v>
      </c>
      <c r="O16" t="str">
        <f t="shared" si="8"/>
        <v>MVwithLV = "MVwithLV"</v>
      </c>
      <c r="P16" t="str">
        <f t="shared" si="3"/>
        <v>a.MVwithLV= assign(ac.MVwithLV, i)</v>
      </c>
      <c r="Q16" t="str">
        <f t="shared" si="4"/>
        <v>Call store(ac.MVwithLV, row, a.MVwithLV)</v>
      </c>
      <c r="S16" s="6" t="s">
        <v>143</v>
      </c>
      <c r="T16" t="s">
        <v>45</v>
      </c>
      <c r="U16" t="s">
        <v>144</v>
      </c>
      <c r="X16" t="str">
        <f t="shared" si="9"/>
        <v>Public expoList As String</v>
      </c>
      <c r="Y16" t="str">
        <f t="shared" si="10"/>
        <v>expoList = "O"</v>
      </c>
      <c r="Z16" t="str">
        <f t="shared" si="11"/>
        <v>expoList = "Exposure List"</v>
      </c>
      <c r="AA16" t="str">
        <f t="shared" si="12"/>
        <v>Public expoList As String</v>
      </c>
      <c r="AB16" t="str">
        <f t="shared" si="13"/>
        <v>expoList = "expoList"</v>
      </c>
      <c r="AC16" t="str">
        <f t="shared" si="14"/>
        <v>e.expoList = assign(ec.expoList, i)</v>
      </c>
      <c r="AD16" t="str">
        <f t="shared" si="15"/>
        <v>Call store(ec.expoList, row, var.expoList)</v>
      </c>
      <c r="AI16" t="s">
        <v>100</v>
      </c>
      <c r="AK16" s="18" t="s">
        <v>181</v>
      </c>
      <c r="AM16" t="s">
        <v>150</v>
      </c>
      <c r="AN16" t="s">
        <v>238</v>
      </c>
      <c r="AO16" s="22" t="s">
        <v>8</v>
      </c>
      <c r="AP16" t="s">
        <v>169</v>
      </c>
      <c r="AQ16" s="23" t="s">
        <v>205</v>
      </c>
      <c r="AR16" s="18" t="str">
        <f t="shared" si="16"/>
        <v>Public remLV As Currency</v>
      </c>
      <c r="AS16" s="18" t="str">
        <f t="shared" si="17"/>
        <v>remLV = "O"</v>
      </c>
      <c r="AT16" s="18" t="str">
        <f t="shared" si="18"/>
        <v>remLV = "Remaining Lending Value"</v>
      </c>
      <c r="AU16" s="18" t="str">
        <f t="shared" si="19"/>
        <v>Public remLV As String</v>
      </c>
      <c r="AV16" s="18" t="str">
        <f t="shared" si="20"/>
        <v>remLV = "remLV"</v>
      </c>
      <c r="AW16" s="18" t="str">
        <f t="shared" si="21"/>
        <v>s.remLV = assign(sc.remLV, i)</v>
      </c>
      <c r="AX16" s="18" t="str">
        <f t="shared" si="22"/>
        <v>Call store(sc.remLV, row, var.remLV)</v>
      </c>
      <c r="AY16" s="18" t="str">
        <f t="shared" si="23"/>
        <v>s.remLV = kod</v>
      </c>
      <c r="BF16" s="23" t="str">
        <f t="shared" si="24"/>
        <v>O</v>
      </c>
      <c r="BG16" s="25" t="s">
        <v>258</v>
      </c>
      <c r="BH16" s="25"/>
      <c r="BI16" s="25" t="s">
        <v>282</v>
      </c>
      <c r="BJ16" s="25" t="s">
        <v>310</v>
      </c>
      <c r="BK16" s="25" t="str">
        <f t="shared" si="25"/>
        <v>remelv</v>
      </c>
      <c r="BL16" s="23" t="str">
        <f t="shared" si="26"/>
        <v>remelv = "O"</v>
      </c>
      <c r="BM16" s="23" t="str">
        <f t="shared" si="27"/>
        <v>Public remelv As String</v>
      </c>
      <c r="BP16" t="s">
        <v>324</v>
      </c>
      <c r="BQ16" s="23" t="s">
        <v>45</v>
      </c>
      <c r="BR16" t="s">
        <v>334</v>
      </c>
      <c r="BS16" s="23"/>
      <c r="BT16" s="23"/>
      <c r="BU16" s="23"/>
      <c r="BV16" s="23" t="str">
        <f t="shared" si="28"/>
        <v>Public macExpo As String</v>
      </c>
      <c r="BW16" s="23" t="str">
        <f t="shared" si="29"/>
        <v>macExpo = "O"</v>
      </c>
      <c r="BX16" s="23" t="str">
        <f t="shared" si="30"/>
        <v>macExpo = "Macro  Exposures"</v>
      </c>
      <c r="BY16" s="23" t="str">
        <f t="shared" si="31"/>
        <v>Public macExpo As String</v>
      </c>
      <c r="BZ16" s="23" t="str">
        <f t="shared" si="32"/>
        <v>macExpo = "macExpo"</v>
      </c>
      <c r="CA16" s="23" t="str">
        <f t="shared" si="33"/>
        <v>a.macExpo= assign(ac.macExpo, i)</v>
      </c>
      <c r="CB16" s="23" t="str">
        <f t="shared" si="34"/>
        <v>Call store(ac.macExpo, row, a.macExpo)</v>
      </c>
    </row>
    <row r="17" spans="1:80" ht="14.25" x14ac:dyDescent="0.2">
      <c r="A17">
        <v>80</v>
      </c>
      <c r="B17" t="str">
        <f t="shared" si="6"/>
        <v>P</v>
      </c>
      <c r="E17" s="7" t="s">
        <v>120</v>
      </c>
      <c r="F17" t="s">
        <v>46</v>
      </c>
      <c r="G17" t="str">
        <f>$AL3&amp;H17</f>
        <v>hcOverrideARR</v>
      </c>
      <c r="H17" t="s">
        <v>86</v>
      </c>
      <c r="J17" s="24"/>
      <c r="K17" t="str">
        <f t="shared" si="0"/>
        <v>Public hcOverrideARR As Double</v>
      </c>
      <c r="L17" s="23" t="str">
        <f t="shared" si="7"/>
        <v>hcOverrideARR = "P"</v>
      </c>
      <c r="M17" t="str">
        <f t="shared" si="1"/>
        <v>hcOverrideARR = "ARR Haircut Override"</v>
      </c>
      <c r="N17" t="str">
        <f t="shared" si="2"/>
        <v>Public hcOverrideARR As String</v>
      </c>
      <c r="O17" t="str">
        <f t="shared" si="8"/>
        <v>hcOverrideARR = "hcOverrideARR"</v>
      </c>
      <c r="P17" t="str">
        <f t="shared" si="3"/>
        <v>a.hcOverrideARR= assign(ac.hcOverrideARR, i)</v>
      </c>
      <c r="Q17" t="str">
        <f t="shared" si="4"/>
        <v>Call store(ac.hcOverrideARR, row, a.hcOverrideARR)</v>
      </c>
      <c r="S17"/>
      <c r="AI17" t="s">
        <v>101</v>
      </c>
      <c r="AM17" t="s">
        <v>149</v>
      </c>
      <c r="AN17" t="s">
        <v>239</v>
      </c>
      <c r="AO17" s="22" t="s">
        <v>8</v>
      </c>
      <c r="AP17" t="s">
        <v>166</v>
      </c>
      <c r="AQ17" s="23" t="s">
        <v>206</v>
      </c>
      <c r="AR17" s="18" t="str">
        <f t="shared" si="16"/>
        <v>Public finLV As Currency</v>
      </c>
      <c r="AS17" s="18" t="str">
        <f t="shared" si="17"/>
        <v>finLV = "P"</v>
      </c>
      <c r="AT17" s="18" t="str">
        <f t="shared" si="18"/>
        <v>finLV = "Final Lending Value (after Haircut is removed)"</v>
      </c>
      <c r="AU17" s="18" t="str">
        <f t="shared" si="19"/>
        <v>Public finLV As String</v>
      </c>
      <c r="AV17" s="18" t="str">
        <f t="shared" si="20"/>
        <v>finLV = "finLV"</v>
      </c>
      <c r="AW17" s="18" t="str">
        <f t="shared" si="21"/>
        <v>s.finLV = assign(sc.finLV, i)</v>
      </c>
      <c r="AX17" s="18" t="str">
        <f t="shared" si="22"/>
        <v>Call store(sc.finLV, row, var.finLV)</v>
      </c>
      <c r="AY17" s="18" t="str">
        <f t="shared" si="23"/>
        <v>s.finLV = kod</v>
      </c>
      <c r="BF17" s="23" t="str">
        <f t="shared" si="24"/>
        <v>P</v>
      </c>
      <c r="BG17" s="25" t="s">
        <v>185</v>
      </c>
      <c r="BH17" s="25"/>
      <c r="BI17" s="25" t="s">
        <v>283</v>
      </c>
      <c r="BJ17" s="25" t="s">
        <v>311</v>
      </c>
      <c r="BK17" s="25" t="str">
        <f t="shared" si="25"/>
        <v>expotag</v>
      </c>
      <c r="BL17" s="23" t="str">
        <f t="shared" si="26"/>
        <v>expotag = "P"</v>
      </c>
      <c r="BM17" s="23" t="str">
        <f t="shared" si="27"/>
        <v>Public expotag As String</v>
      </c>
      <c r="BP17" t="s">
        <v>325</v>
      </c>
      <c r="BQ17" s="23" t="s">
        <v>45</v>
      </c>
      <c r="BR17" t="s">
        <v>335</v>
      </c>
      <c r="BT17" s="23"/>
      <c r="BU17" s="23"/>
      <c r="BV17" s="23" t="str">
        <f t="shared" si="28"/>
        <v>Public comm As String</v>
      </c>
      <c r="BW17" s="23" t="str">
        <f t="shared" si="29"/>
        <v>comm = "P"</v>
      </c>
      <c r="BX17" s="23" t="str">
        <f t="shared" si="30"/>
        <v>comm = "Comments "</v>
      </c>
      <c r="BY17" s="23" t="str">
        <f t="shared" si="31"/>
        <v>Public comm As String</v>
      </c>
      <c r="BZ17" s="23" t="str">
        <f t="shared" si="32"/>
        <v>comm = "comm"</v>
      </c>
      <c r="CA17" s="23" t="str">
        <f t="shared" si="33"/>
        <v>a.comm= assign(ac.comm, i)</v>
      </c>
      <c r="CB17" s="23" t="str">
        <f t="shared" si="34"/>
        <v>Call store(ac.comm, row, a.comm)</v>
      </c>
    </row>
    <row r="18" spans="1:80" ht="14.25" x14ac:dyDescent="0.2">
      <c r="A18">
        <v>81</v>
      </c>
      <c r="B18" t="str">
        <f t="shared" si="6"/>
        <v>Q</v>
      </c>
      <c r="E18" s="12" t="s">
        <v>121</v>
      </c>
      <c r="F18" t="s">
        <v>106</v>
      </c>
      <c r="G18" t="str">
        <f>$AL4&amp;H18</f>
        <v>hcExpiryARR</v>
      </c>
      <c r="H18" t="s">
        <v>86</v>
      </c>
      <c r="J18" s="24"/>
      <c r="K18" t="str">
        <f t="shared" si="0"/>
        <v>Public hcExpiryARR As Date</v>
      </c>
      <c r="L18" s="23" t="str">
        <f t="shared" si="7"/>
        <v>hcExpiryARR = "Q"</v>
      </c>
      <c r="M18" t="str">
        <f t="shared" si="1"/>
        <v>hcExpiryARR = "ARR Haircut Override Expiry Date"</v>
      </c>
      <c r="N18" t="str">
        <f t="shared" si="2"/>
        <v>Public hcExpiryARR As String</v>
      </c>
      <c r="O18" t="str">
        <f t="shared" si="8"/>
        <v>hcExpiryARR = "hcExpiryARR"</v>
      </c>
      <c r="P18" t="str">
        <f t="shared" si="3"/>
        <v>a.hcExpiryARR= assign(ac.hcExpiryARR, i)</v>
      </c>
      <c r="Q18" t="str">
        <f t="shared" si="4"/>
        <v>Call store(ac.hcExpiryARR, row, a.hcExpiryARR)</v>
      </c>
      <c r="AI18" t="s">
        <v>102</v>
      </c>
      <c r="AN18" s="2" t="s">
        <v>148</v>
      </c>
      <c r="AO18" t="s">
        <v>45</v>
      </c>
      <c r="AP18" t="s">
        <v>170</v>
      </c>
      <c r="AQ18" s="23"/>
      <c r="AR18" s="18" t="str">
        <f t="shared" si="16"/>
        <v>Public expoTag As String</v>
      </c>
      <c r="AS18" s="18" t="str">
        <f t="shared" si="17"/>
        <v>expoTag = "Q"</v>
      </c>
      <c r="AT18" s="18" t="str">
        <f t="shared" si="18"/>
        <v>expoTag = "Expo Tag"</v>
      </c>
      <c r="AU18" s="18" t="str">
        <f t="shared" si="19"/>
        <v>Public expoTag As String</v>
      </c>
      <c r="AV18" s="18" t="str">
        <f t="shared" si="20"/>
        <v>expoTag = "expoTag"</v>
      </c>
      <c r="AW18" s="18" t="str">
        <f t="shared" si="21"/>
        <v>s.expoTag = assign(sc.expoTag, i)</v>
      </c>
      <c r="AX18" s="18" t="str">
        <f t="shared" si="22"/>
        <v>Call store(sc.expoTag, row, var.expoTag)</v>
      </c>
      <c r="AY18" s="18" t="str">
        <f t="shared" si="23"/>
        <v>s.expoTag = kod</v>
      </c>
      <c r="BF18" s="23" t="str">
        <f t="shared" si="24"/>
        <v>Q</v>
      </c>
      <c r="BG18" s="25" t="s">
        <v>184</v>
      </c>
      <c r="BH18" s="25"/>
      <c r="BI18" s="25" t="s">
        <v>284</v>
      </c>
      <c r="BJ18" s="25" t="s">
        <v>312</v>
      </c>
      <c r="BK18" s="25" t="str">
        <f t="shared" si="25"/>
        <v>assttag</v>
      </c>
      <c r="BL18" s="23" t="str">
        <f t="shared" si="26"/>
        <v>assttag = "Q"</v>
      </c>
      <c r="BM18" s="23" t="str">
        <f t="shared" si="27"/>
        <v>Public assttag As String</v>
      </c>
      <c r="BT18" s="23"/>
      <c r="BV18" s="23"/>
    </row>
    <row r="19" spans="1:80" ht="14.25" x14ac:dyDescent="0.2">
      <c r="A19">
        <v>82</v>
      </c>
      <c r="B19" t="str">
        <f t="shared" si="6"/>
        <v>R</v>
      </c>
      <c r="E19" s="7" t="s">
        <v>122</v>
      </c>
      <c r="F19" t="s">
        <v>105</v>
      </c>
      <c r="G19" t="str">
        <f>$AL5&amp;H19</f>
        <v>hcFlagARR</v>
      </c>
      <c r="H19" t="s">
        <v>86</v>
      </c>
      <c r="J19" s="24"/>
      <c r="K19" t="str">
        <f t="shared" si="0"/>
        <v>Public hcFlagARR As Boolean</v>
      </c>
      <c r="L19" s="23" t="str">
        <f t="shared" si="7"/>
        <v>hcFlagARR = "R"</v>
      </c>
      <c r="M19" t="str">
        <f t="shared" si="1"/>
        <v>hcFlagARR = "ARR Haircut On / Off"</v>
      </c>
      <c r="N19" t="str">
        <f t="shared" si="2"/>
        <v>Public hcFlagARR As String</v>
      </c>
      <c r="O19" t="str">
        <f t="shared" si="8"/>
        <v>hcFlagARR = "hcFlagARR"</v>
      </c>
      <c r="P19" t="str">
        <f t="shared" si="3"/>
        <v>a.hcFlagARR= assign(ac.hcFlagARR, i)</v>
      </c>
      <c r="Q19" t="str">
        <f t="shared" si="4"/>
        <v>Call store(ac.hcFlagARR, row, a.hcFlagARR)</v>
      </c>
      <c r="AI19" t="s">
        <v>103</v>
      </c>
      <c r="AN19" s="2" t="s">
        <v>147</v>
      </c>
      <c r="AO19" t="s">
        <v>45</v>
      </c>
      <c r="AP19" t="s">
        <v>171</v>
      </c>
      <c r="AQ19" s="23"/>
      <c r="AR19" s="18" t="str">
        <f t="shared" si="16"/>
        <v>Public asstTag As String</v>
      </c>
      <c r="AS19" s="18" t="str">
        <f t="shared" si="17"/>
        <v>asstTag = "R"</v>
      </c>
      <c r="AT19" s="18" t="str">
        <f t="shared" si="18"/>
        <v>asstTag = "Asst Tag"</v>
      </c>
      <c r="AU19" s="18" t="str">
        <f t="shared" si="19"/>
        <v>Public asstTag As String</v>
      </c>
      <c r="AV19" s="18" t="str">
        <f t="shared" si="20"/>
        <v>asstTag = "asstTag"</v>
      </c>
      <c r="AW19" s="18" t="str">
        <f t="shared" si="21"/>
        <v>s.asstTag = assign(sc.asstTag, i)</v>
      </c>
      <c r="AX19" s="18" t="str">
        <f t="shared" si="22"/>
        <v>Call store(sc.asstTag, row, var.asstTag)</v>
      </c>
      <c r="AY19" s="18" t="str">
        <f t="shared" si="23"/>
        <v>s.asstTag = kod</v>
      </c>
      <c r="BF19" s="23" t="str">
        <f t="shared" si="24"/>
        <v>R</v>
      </c>
      <c r="BG19" s="25" t="s">
        <v>259</v>
      </c>
      <c r="BH19" s="25"/>
      <c r="BI19" s="25" t="s">
        <v>285</v>
      </c>
      <c r="BJ19" s="25" t="s">
        <v>185</v>
      </c>
      <c r="BK19" s="25" t="str">
        <f t="shared" si="25"/>
        <v>perc</v>
      </c>
      <c r="BL19" s="23" t="str">
        <f t="shared" si="26"/>
        <v>perc = "R"</v>
      </c>
      <c r="BM19" s="23" t="str">
        <f t="shared" si="27"/>
        <v>Public perc As String</v>
      </c>
    </row>
    <row r="20" spans="1:80" ht="14.25" x14ac:dyDescent="0.2">
      <c r="A20">
        <v>83</v>
      </c>
      <c r="B20" t="str">
        <f t="shared" si="6"/>
        <v>S</v>
      </c>
      <c r="E20" s="7" t="s">
        <v>123</v>
      </c>
      <c r="F20" t="s">
        <v>46</v>
      </c>
      <c r="G20" t="str">
        <f>$AL3&amp;H20</f>
        <v>hcOverrideCCY</v>
      </c>
      <c r="H20" t="s">
        <v>2</v>
      </c>
      <c r="J20" s="24"/>
      <c r="K20" t="str">
        <f t="shared" si="0"/>
        <v>Public hcOverrideCCY As Double</v>
      </c>
      <c r="L20" s="23" t="str">
        <f t="shared" si="7"/>
        <v>hcOverrideCCY = "S"</v>
      </c>
      <c r="M20" t="str">
        <f t="shared" si="1"/>
        <v>hcOverrideCCY = "CCY Haircut Override"</v>
      </c>
      <c r="N20" t="str">
        <f t="shared" si="2"/>
        <v>Public hcOverrideCCY As String</v>
      </c>
      <c r="O20" t="str">
        <f t="shared" si="8"/>
        <v>hcOverrideCCY = "hcOverrideCCY"</v>
      </c>
      <c r="P20" t="str">
        <f t="shared" si="3"/>
        <v>a.hcOverrideCCY= assign(ac.hcOverrideCCY, i)</v>
      </c>
      <c r="Q20" t="str">
        <f t="shared" si="4"/>
        <v>Call store(ac.hcOverrideCCY, row, a.hcOverrideCCY)</v>
      </c>
      <c r="AL20" t="s">
        <v>186</v>
      </c>
      <c r="AM20" t="s">
        <v>178</v>
      </c>
      <c r="AN20" t="s">
        <v>240</v>
      </c>
      <c r="AO20" t="s">
        <v>8</v>
      </c>
      <c r="AP20" s="18" t="s">
        <v>185</v>
      </c>
      <c r="AQ20" s="23" t="s">
        <v>207</v>
      </c>
      <c r="AR20" s="18" t="str">
        <f t="shared" si="16"/>
        <v>Public PERC As Currency</v>
      </c>
      <c r="AS20" s="18" t="str">
        <f t="shared" si="17"/>
        <v>PERC = "S"</v>
      </c>
      <c r="AT20" s="18" t="str">
        <f t="shared" si="18"/>
        <v>PERC = "Total Purpose Exposure remaining"</v>
      </c>
      <c r="AU20" s="18" t="str">
        <f t="shared" si="19"/>
        <v>Public PERC As String</v>
      </c>
      <c r="AV20" s="18" t="str">
        <f t="shared" si="20"/>
        <v>PERC = "PERC"</v>
      </c>
      <c r="AW20" s="18" t="str">
        <f t="shared" si="21"/>
        <v>s.PERC = assign(sc.PERC, i)</v>
      </c>
      <c r="AX20" s="18" t="str">
        <f t="shared" si="22"/>
        <v>Call store(sc.PERC, row, var.PERC)</v>
      </c>
      <c r="AY20" s="18" t="str">
        <f t="shared" si="23"/>
        <v>s.PERC = kod</v>
      </c>
      <c r="BF20" s="23" t="str">
        <f t="shared" si="24"/>
        <v>S</v>
      </c>
      <c r="BG20" s="25" t="s">
        <v>260</v>
      </c>
      <c r="BH20" s="25"/>
      <c r="BI20" s="25" t="s">
        <v>286</v>
      </c>
      <c r="BJ20" s="25" t="s">
        <v>184</v>
      </c>
      <c r="BK20" s="25" t="str">
        <f t="shared" si="25"/>
        <v>nperc</v>
      </c>
      <c r="BL20" s="23" t="str">
        <f t="shared" si="26"/>
        <v>nperc = "S"</v>
      </c>
      <c r="BM20" s="23" t="str">
        <f t="shared" si="27"/>
        <v>Public nperc As String</v>
      </c>
    </row>
    <row r="21" spans="1:80" ht="14.25" x14ac:dyDescent="0.2">
      <c r="A21">
        <v>84</v>
      </c>
      <c r="B21" t="str">
        <f t="shared" si="6"/>
        <v>T</v>
      </c>
      <c r="E21" s="12" t="s">
        <v>124</v>
      </c>
      <c r="F21" t="s">
        <v>106</v>
      </c>
      <c r="G21" t="str">
        <f>$AL4&amp;H21</f>
        <v>hcExpiryCCY</v>
      </c>
      <c r="H21" t="s">
        <v>2</v>
      </c>
      <c r="J21" s="24"/>
      <c r="K21" t="str">
        <f t="shared" si="0"/>
        <v>Public hcExpiryCCY As Date</v>
      </c>
      <c r="L21" s="23" t="str">
        <f t="shared" si="7"/>
        <v>hcExpiryCCY = "T"</v>
      </c>
      <c r="M21" t="str">
        <f t="shared" si="1"/>
        <v>hcExpiryCCY = "CCY Haircut Override Expiry Date"</v>
      </c>
      <c r="N21" t="str">
        <f t="shared" si="2"/>
        <v>Public hcExpiryCCY As String</v>
      </c>
      <c r="O21" t="str">
        <f t="shared" si="8"/>
        <v>hcExpiryCCY = "hcExpiryCCY"</v>
      </c>
      <c r="P21" t="str">
        <f t="shared" si="3"/>
        <v>a.hcExpiryCCY= assign(ac.hcExpiryCCY, i)</v>
      </c>
      <c r="Q21" t="str">
        <f t="shared" si="4"/>
        <v>Call store(ac.hcExpiryCCY, row, a.hcExpiryCCY)</v>
      </c>
      <c r="AM21" t="s">
        <v>179</v>
      </c>
      <c r="AN21" t="s">
        <v>244</v>
      </c>
      <c r="AO21" s="18" t="s">
        <v>8</v>
      </c>
      <c r="AP21" s="18" t="s">
        <v>184</v>
      </c>
      <c r="AQ21" s="23" t="s">
        <v>208</v>
      </c>
      <c r="AR21" s="18" t="str">
        <f t="shared" si="16"/>
        <v>Public NPERC As Currency</v>
      </c>
      <c r="AS21" s="18" t="str">
        <f t="shared" si="17"/>
        <v>NPERC = "T"</v>
      </c>
      <c r="AT21" s="18" t="str">
        <f t="shared" si="18"/>
        <v>NPERC = "Total Non Purpose Exposure remaining"</v>
      </c>
      <c r="AU21" s="18" t="str">
        <f t="shared" si="19"/>
        <v>Public NPERC As String</v>
      </c>
      <c r="AV21" s="18" t="str">
        <f t="shared" si="20"/>
        <v>NPERC = "NPERC"</v>
      </c>
      <c r="AW21" s="18" t="str">
        <f t="shared" si="21"/>
        <v>s.NPERC = assign(sc.NPERC, i)</v>
      </c>
      <c r="AX21" s="18" t="str">
        <f t="shared" si="22"/>
        <v>Call store(sc.NPERC, row, var.NPERC)</v>
      </c>
      <c r="AY21" s="18" t="str">
        <f t="shared" si="23"/>
        <v>s.NPERC = kod</v>
      </c>
      <c r="BF21" s="23" t="str">
        <f t="shared" si="24"/>
        <v>T</v>
      </c>
      <c r="BG21" s="25" t="s">
        <v>261</v>
      </c>
      <c r="BH21" s="25"/>
      <c r="BI21" s="25" t="s">
        <v>287</v>
      </c>
      <c r="BJ21" s="25"/>
      <c r="BK21" s="25"/>
    </row>
    <row r="22" spans="1:80" ht="14.25" x14ac:dyDescent="0.2">
      <c r="A22">
        <v>85</v>
      </c>
      <c r="B22" t="str">
        <f t="shared" si="6"/>
        <v>U</v>
      </c>
      <c r="E22" s="7" t="s">
        <v>125</v>
      </c>
      <c r="F22" t="s">
        <v>105</v>
      </c>
      <c r="G22" t="str">
        <f>$AL5&amp;H22</f>
        <v>hcFlagCCY</v>
      </c>
      <c r="H22" t="s">
        <v>2</v>
      </c>
      <c r="J22" s="24"/>
      <c r="K22" t="str">
        <f t="shared" si="0"/>
        <v>Public hcFlagCCY As Boolean</v>
      </c>
      <c r="L22" s="23" t="str">
        <f t="shared" si="7"/>
        <v>hcFlagCCY = "U"</v>
      </c>
      <c r="M22" t="str">
        <f t="shared" si="1"/>
        <v>hcFlagCCY = "CCY Haircut On / Off"</v>
      </c>
      <c r="N22" t="str">
        <f t="shared" si="2"/>
        <v>Public hcFlagCCY As String</v>
      </c>
      <c r="O22" t="str">
        <f t="shared" si="8"/>
        <v>hcFlagCCY = "hcFlagCCY"</v>
      </c>
      <c r="P22" t="str">
        <f t="shared" si="3"/>
        <v>a.hcFlagCCY= assign(ac.hcFlagCCY, i)</v>
      </c>
      <c r="Q22" t="str">
        <f t="shared" si="4"/>
        <v>Call store(ac.hcFlagCCY, row, a.hcFlagCCY)</v>
      </c>
      <c r="AK22" t="s">
        <v>187</v>
      </c>
      <c r="AL22" s="18" t="s">
        <v>5</v>
      </c>
      <c r="AM22" t="s">
        <v>67</v>
      </c>
      <c r="AN22" t="s">
        <v>241</v>
      </c>
      <c r="AO22" s="18" t="s">
        <v>8</v>
      </c>
      <c r="AP22" s="18" t="s">
        <v>188</v>
      </c>
      <c r="AQ22" s="23" t="s">
        <v>209</v>
      </c>
      <c r="AR22" s="18" t="str">
        <f t="shared" si="16"/>
        <v>Public msPBA As Currency</v>
      </c>
      <c r="AS22" s="18" t="str">
        <f t="shared" si="17"/>
        <v>msPBA = "U"</v>
      </c>
      <c r="AT22" s="18" t="str">
        <f t="shared" si="18"/>
        <v>msPBA = "Purpose Borrowing Availability (for Margin Stocks)"</v>
      </c>
      <c r="AU22" s="18" t="str">
        <f t="shared" si="19"/>
        <v>Public msPBA As String</v>
      </c>
      <c r="AV22" s="18" t="str">
        <f t="shared" si="20"/>
        <v>msPBA = "msPBA"</v>
      </c>
      <c r="AW22" s="18" t="str">
        <f t="shared" si="21"/>
        <v>s.msPBA = assign(sc.msPBA, i)</v>
      </c>
      <c r="AX22" s="18" t="str">
        <f t="shared" si="22"/>
        <v>Call store(sc.msPBA, row, var.msPBA)</v>
      </c>
      <c r="AY22" s="18" t="str">
        <f t="shared" si="23"/>
        <v>s.msPBA = kod</v>
      </c>
      <c r="BF22" s="23" t="str">
        <f t="shared" si="24"/>
        <v>U</v>
      </c>
      <c r="BG22" s="25" t="s">
        <v>262</v>
      </c>
      <c r="BH22" s="25"/>
      <c r="BI22" s="25" t="s">
        <v>288</v>
      </c>
      <c r="BJ22" s="25"/>
      <c r="BK22" s="25"/>
    </row>
    <row r="23" spans="1:80" ht="14.25" x14ac:dyDescent="0.2">
      <c r="A23">
        <v>86</v>
      </c>
      <c r="B23" t="str">
        <f t="shared" si="6"/>
        <v>V</v>
      </c>
      <c r="E23" s="7" t="s">
        <v>126</v>
      </c>
      <c r="F23" t="s">
        <v>46</v>
      </c>
      <c r="G23" t="str">
        <f>$AL3&amp;H23</f>
        <v>hcOverridePOS</v>
      </c>
      <c r="H23" t="s">
        <v>87</v>
      </c>
      <c r="J23" s="24"/>
      <c r="K23" t="str">
        <f t="shared" si="0"/>
        <v>Public hcOverridePOS As Double</v>
      </c>
      <c r="L23" s="23" t="str">
        <f t="shared" si="7"/>
        <v>hcOverridePOS = "V"</v>
      </c>
      <c r="M23" t="str">
        <f t="shared" si="1"/>
        <v>hcOverridePOS = "POS Haircut Override"</v>
      </c>
      <c r="N23" t="str">
        <f t="shared" si="2"/>
        <v>Public hcOverridePOS As String</v>
      </c>
      <c r="O23" t="str">
        <f t="shared" si="8"/>
        <v>hcOverridePOS = "hcOverridePOS"</v>
      </c>
      <c r="P23" t="str">
        <f t="shared" si="3"/>
        <v>a.hcOverridePOS= assign(ac.hcOverridePOS, i)</v>
      </c>
      <c r="Q23" t="str">
        <f t="shared" si="4"/>
        <v>Call store(ac.hcOverridePOS, row, a.hcOverridePOS)</v>
      </c>
      <c r="AM23" t="s">
        <v>68</v>
      </c>
      <c r="AN23" s="23" t="s">
        <v>243</v>
      </c>
      <c r="AO23" s="18" t="s">
        <v>8</v>
      </c>
      <c r="AP23" s="18" t="s">
        <v>189</v>
      </c>
      <c r="AQ23" s="23" t="s">
        <v>210</v>
      </c>
      <c r="AR23" s="18" t="str">
        <f t="shared" si="16"/>
        <v>Public nmsPBA As Currency</v>
      </c>
      <c r="AS23" s="18" t="str">
        <f t="shared" si="17"/>
        <v>nmsPBA = "V"</v>
      </c>
      <c r="AT23" s="18" t="str">
        <f t="shared" si="18"/>
        <v>nmsPBA = "Purpose Borrowing Availability (for Non Margin Stocks)"</v>
      </c>
      <c r="AU23" s="18" t="str">
        <f t="shared" si="19"/>
        <v>Public nmsPBA As String</v>
      </c>
      <c r="AV23" s="18" t="str">
        <f t="shared" si="20"/>
        <v>nmsPBA = "nmsPBA"</v>
      </c>
      <c r="AW23" s="18" t="str">
        <f t="shared" si="21"/>
        <v>s.nmsPBA = assign(sc.nmsPBA, i)</v>
      </c>
      <c r="AX23" s="18" t="str">
        <f t="shared" si="22"/>
        <v>Call store(sc.nmsPBA, row, var.nmsPBA)</v>
      </c>
      <c r="AY23" s="18" t="str">
        <f t="shared" si="23"/>
        <v>s.nmsPBA = kod</v>
      </c>
      <c r="BH23" s="25"/>
      <c r="BI23" s="25" t="s">
        <v>289</v>
      </c>
      <c r="BJ23" s="25"/>
      <c r="BK23" s="25"/>
    </row>
    <row r="24" spans="1:80" ht="14.25" x14ac:dyDescent="0.2">
      <c r="A24">
        <v>87</v>
      </c>
      <c r="B24" t="str">
        <f t="shared" si="6"/>
        <v>W</v>
      </c>
      <c r="E24" s="12" t="s">
        <v>127</v>
      </c>
      <c r="F24" t="s">
        <v>106</v>
      </c>
      <c r="G24" t="str">
        <f>$AL4&amp;H24</f>
        <v>hcExpiryPOS</v>
      </c>
      <c r="H24" t="s">
        <v>87</v>
      </c>
      <c r="J24" s="24"/>
      <c r="K24" t="str">
        <f t="shared" si="0"/>
        <v>Public hcExpiryPOS As Date</v>
      </c>
      <c r="L24" s="23" t="str">
        <f t="shared" si="7"/>
        <v>hcExpiryPOS = "W"</v>
      </c>
      <c r="M24" t="str">
        <f t="shared" si="1"/>
        <v>hcExpiryPOS = "POS Haircut Override Expiry Date"</v>
      </c>
      <c r="N24" t="str">
        <f t="shared" si="2"/>
        <v>Public hcExpiryPOS As String</v>
      </c>
      <c r="O24" t="str">
        <f t="shared" si="8"/>
        <v>hcExpiryPOS = "hcExpiryPOS"</v>
      </c>
      <c r="P24" t="str">
        <f t="shared" si="3"/>
        <v>a.hcExpiryPOS= assign(ac.hcExpiryPOS, i)</v>
      </c>
      <c r="Q24" t="str">
        <f t="shared" si="4"/>
        <v>Call store(ac.hcExpiryPOS, row, a.hcExpiryPOS)</v>
      </c>
      <c r="AL24" s="18" t="s">
        <v>6</v>
      </c>
      <c r="AM24" s="18" t="s">
        <v>67</v>
      </c>
      <c r="AN24" s="23" t="s">
        <v>242</v>
      </c>
      <c r="AO24" s="18" t="s">
        <v>8</v>
      </c>
      <c r="AP24" s="18" t="s">
        <v>190</v>
      </c>
      <c r="AQ24" s="23" t="s">
        <v>211</v>
      </c>
      <c r="AR24" s="18" t="str">
        <f t="shared" si="16"/>
        <v>Public msNPBA As Currency</v>
      </c>
      <c r="AS24" s="18" t="str">
        <f t="shared" si="17"/>
        <v>msNPBA = "W"</v>
      </c>
      <c r="AT24" s="18" t="str">
        <f t="shared" si="18"/>
        <v>msNPBA = "Non Purpose Borrowing Availability (for Margin Stocks)"</v>
      </c>
      <c r="AU24" s="18" t="str">
        <f t="shared" si="19"/>
        <v>Public msNPBA As String</v>
      </c>
      <c r="AV24" s="18" t="str">
        <f t="shared" si="20"/>
        <v>msNPBA = "msNPBA"</v>
      </c>
      <c r="AW24" s="18" t="str">
        <f t="shared" si="21"/>
        <v>s.msNPBA = assign(sc.msNPBA, i)</v>
      </c>
      <c r="AX24" s="18" t="str">
        <f t="shared" si="22"/>
        <v>Call store(sc.msNPBA, row, var.msNPBA)</v>
      </c>
      <c r="AY24" s="18" t="str">
        <f t="shared" si="23"/>
        <v>s.msNPBA = kod</v>
      </c>
      <c r="BH24" s="25"/>
      <c r="BI24" s="25" t="s">
        <v>290</v>
      </c>
      <c r="BJ24" s="25"/>
      <c r="BK24" s="25"/>
    </row>
    <row r="25" spans="1:80" ht="14.25" x14ac:dyDescent="0.2">
      <c r="A25">
        <v>88</v>
      </c>
      <c r="B25" t="str">
        <f t="shared" si="6"/>
        <v>X</v>
      </c>
      <c r="E25" s="7" t="s">
        <v>128</v>
      </c>
      <c r="F25" t="s">
        <v>105</v>
      </c>
      <c r="G25" t="str">
        <f>$AL5&amp;H25</f>
        <v>hcFlagPOS</v>
      </c>
      <c r="H25" t="s">
        <v>87</v>
      </c>
      <c r="J25" s="24"/>
      <c r="K25" t="str">
        <f t="shared" si="0"/>
        <v>Public hcFlagPOS As Boolean</v>
      </c>
      <c r="L25" s="23" t="str">
        <f t="shared" si="7"/>
        <v>hcFlagPOS = "X"</v>
      </c>
      <c r="M25" t="str">
        <f t="shared" si="1"/>
        <v>hcFlagPOS = "POS Haircut On / Off"</v>
      </c>
      <c r="N25" t="str">
        <f t="shared" si="2"/>
        <v>Public hcFlagPOS As String</v>
      </c>
      <c r="O25" t="str">
        <f t="shared" si="8"/>
        <v>hcFlagPOS = "hcFlagPOS"</v>
      </c>
      <c r="P25" t="str">
        <f t="shared" si="3"/>
        <v>a.hcFlagPOS= assign(ac.hcFlagPOS, i)</v>
      </c>
      <c r="Q25" t="str">
        <f t="shared" si="4"/>
        <v>Call store(ac.hcFlagPOS, row, a.hcFlagPOS)</v>
      </c>
      <c r="AM25" s="18" t="s">
        <v>68</v>
      </c>
      <c r="AN25" s="23" t="s">
        <v>245</v>
      </c>
      <c r="AO25" s="18" t="s">
        <v>8</v>
      </c>
      <c r="AP25" s="18" t="s">
        <v>191</v>
      </c>
      <c r="AQ25" s="23" t="s">
        <v>212</v>
      </c>
      <c r="AR25" s="18" t="str">
        <f t="shared" si="16"/>
        <v>Public nmsNPBA As Currency</v>
      </c>
      <c r="AS25" s="18" t="str">
        <f t="shared" si="17"/>
        <v>nmsNPBA = "X"</v>
      </c>
      <c r="AT25" s="18" t="str">
        <f t="shared" si="18"/>
        <v>nmsNPBA = "Non Purpose Borrowing Availability (for Non Margin Stocks)"</v>
      </c>
      <c r="AU25" s="18" t="str">
        <f t="shared" si="19"/>
        <v>Public nmsNPBA As String</v>
      </c>
      <c r="AV25" s="18" t="str">
        <f t="shared" si="20"/>
        <v>nmsNPBA = "nmsNPBA"</v>
      </c>
      <c r="AW25" s="18" t="str">
        <f t="shared" si="21"/>
        <v>s.nmsNPBA = assign(sc.nmsNPBA, i)</v>
      </c>
      <c r="AX25" s="18" t="str">
        <f t="shared" si="22"/>
        <v>Call store(sc.nmsNPBA, row, var.nmsNPBA)</v>
      </c>
      <c r="AY25" s="18" t="str">
        <f t="shared" si="23"/>
        <v>s.nmsNPBA = kod</v>
      </c>
      <c r="BH25" s="25"/>
      <c r="BI25" s="25" t="s">
        <v>291</v>
      </c>
      <c r="BJ25" s="25"/>
      <c r="BK25" s="25"/>
    </row>
    <row r="26" spans="1:80" ht="14.25" x14ac:dyDescent="0.2">
      <c r="A26">
        <v>89</v>
      </c>
      <c r="B26" t="str">
        <f t="shared" si="6"/>
        <v>Y</v>
      </c>
      <c r="E26" s="13" t="s">
        <v>24</v>
      </c>
      <c r="F26" t="s">
        <v>46</v>
      </c>
      <c r="G26" t="s">
        <v>58</v>
      </c>
      <c r="J26" s="18" t="s">
        <v>219</v>
      </c>
      <c r="K26" t="str">
        <f t="shared" si="0"/>
        <v>Public PLVpct As Double</v>
      </c>
      <c r="L26" s="23" t="str">
        <f t="shared" si="7"/>
        <v>PLVpct = "Y"</v>
      </c>
      <c r="M26" t="str">
        <f t="shared" si="1"/>
        <v>PLVpct = "Purpose LV %"</v>
      </c>
      <c r="N26" t="str">
        <f t="shared" si="2"/>
        <v>Public PLVpct As String</v>
      </c>
      <c r="O26" t="str">
        <f t="shared" si="8"/>
        <v>PLVpct = "PLVpct"</v>
      </c>
      <c r="P26" t="str">
        <f t="shared" si="3"/>
        <v>a.PLVpct= assign(ac.PLVpct, i)</v>
      </c>
      <c r="Q26" t="str">
        <f t="shared" si="4"/>
        <v>Call store(ac.PLVpct, row, a.PLVpct)</v>
      </c>
      <c r="AN26" t="s">
        <v>200</v>
      </c>
      <c r="AO26" s="18" t="s">
        <v>45</v>
      </c>
      <c r="AP26" t="s">
        <v>192</v>
      </c>
      <c r="AR26" s="18" t="str">
        <f t="shared" si="16"/>
        <v>Public reason As String</v>
      </c>
      <c r="AS26" s="18" t="str">
        <f t="shared" si="17"/>
        <v>reason = "Y"</v>
      </c>
      <c r="AT26" s="18" t="str">
        <f t="shared" si="18"/>
        <v>reason = "Reason"</v>
      </c>
      <c r="AU26" s="18" t="str">
        <f t="shared" si="19"/>
        <v>Public reason As String</v>
      </c>
      <c r="AV26" s="18" t="str">
        <f t="shared" si="20"/>
        <v>reason = "reason"</v>
      </c>
      <c r="AW26" s="18" t="str">
        <f t="shared" si="21"/>
        <v>s.reason = assign(sc.reason, i)</v>
      </c>
      <c r="AX26" s="18" t="str">
        <f t="shared" si="22"/>
        <v>Call store(sc.reason, row, var.reason)</v>
      </c>
      <c r="AY26" s="18" t="str">
        <f t="shared" si="23"/>
        <v>s.reason = kod</v>
      </c>
      <c r="BH26" s="25"/>
      <c r="BI26" s="25" t="s">
        <v>292</v>
      </c>
      <c r="BJ26" s="25"/>
      <c r="BK26" s="25"/>
    </row>
    <row r="27" spans="1:80" ht="14.25" x14ac:dyDescent="0.2">
      <c r="A27">
        <v>90</v>
      </c>
      <c r="B27" t="str">
        <f t="shared" si="6"/>
        <v>Z</v>
      </c>
      <c r="E27" s="13" t="s">
        <v>25</v>
      </c>
      <c r="F27" t="s">
        <v>8</v>
      </c>
      <c r="G27" t="s">
        <v>0</v>
      </c>
      <c r="J27" s="18" t="s">
        <v>220</v>
      </c>
      <c r="K27" t="str">
        <f t="shared" si="0"/>
        <v>Public PLV As Currency</v>
      </c>
      <c r="L27" s="23" t="str">
        <f t="shared" si="7"/>
        <v>PLV = "Z"</v>
      </c>
      <c r="M27" t="str">
        <f t="shared" si="1"/>
        <v>PLV = "Purpose LV"</v>
      </c>
      <c r="N27" t="str">
        <f t="shared" si="2"/>
        <v>Public PLV As String</v>
      </c>
      <c r="O27" t="str">
        <f t="shared" si="8"/>
        <v>PLV = "PLV"</v>
      </c>
      <c r="P27" t="str">
        <f t="shared" si="3"/>
        <v>a.PLV= assign(ac.PLV, i)</v>
      </c>
      <c r="Q27" t="str">
        <f t="shared" si="4"/>
        <v>Call store(ac.PLV, row, a.PLV)</v>
      </c>
      <c r="AN27" t="s">
        <v>193</v>
      </c>
      <c r="AO27" s="18" t="s">
        <v>45</v>
      </c>
      <c r="AP27" t="s">
        <v>194</v>
      </c>
      <c r="AR27" s="18" t="str">
        <f t="shared" si="16"/>
        <v>Public remCnt As String</v>
      </c>
      <c r="AS27" s="18" t="str">
        <f t="shared" si="17"/>
        <v>remCnt = "Z"</v>
      </c>
      <c r="AT27" s="18" t="str">
        <f t="shared" si="18"/>
        <v>remCnt = "remainingCounts"</v>
      </c>
      <c r="AU27" s="18" t="str">
        <f t="shared" si="19"/>
        <v>Public remCnt As String</v>
      </c>
      <c r="AV27" s="18" t="str">
        <f t="shared" si="20"/>
        <v>remCnt = "remCnt"</v>
      </c>
      <c r="AW27" s="18" t="str">
        <f t="shared" si="21"/>
        <v>s.remCnt = assign(sc.remCnt, i)</v>
      </c>
      <c r="AX27" s="18" t="str">
        <f t="shared" si="22"/>
        <v>Call store(sc.remCnt, row, var.remCnt)</v>
      </c>
      <c r="AY27" s="18" t="str">
        <f t="shared" si="23"/>
        <v>s.remCnt = kod</v>
      </c>
      <c r="BH27" s="25"/>
      <c r="BI27" s="25" t="s">
        <v>0</v>
      </c>
      <c r="BJ27" s="25"/>
      <c r="BK27" s="25"/>
    </row>
    <row r="28" spans="1:80" ht="14.25" x14ac:dyDescent="0.2">
      <c r="A28">
        <v>91</v>
      </c>
      <c r="B28" t="str">
        <f t="shared" si="6"/>
        <v>AA</v>
      </c>
      <c r="E28" s="13" t="s">
        <v>28</v>
      </c>
      <c r="F28" t="s">
        <v>46</v>
      </c>
      <c r="G28" t="s">
        <v>62</v>
      </c>
      <c r="J28" s="18" t="s">
        <v>221</v>
      </c>
      <c r="K28" t="str">
        <f t="shared" si="0"/>
        <v>Public ELVpct As Double</v>
      </c>
      <c r="L28" s="23" t="str">
        <f t="shared" si="7"/>
        <v>ELVpct = "AA"</v>
      </c>
      <c r="M28" t="str">
        <f t="shared" si="1"/>
        <v>ELVpct = "Effective LV %"</v>
      </c>
      <c r="N28" t="str">
        <f t="shared" si="2"/>
        <v>Public ELVpct As String</v>
      </c>
      <c r="O28" t="str">
        <f t="shared" si="8"/>
        <v>ELVpct = "ELVpct"</v>
      </c>
      <c r="P28" t="str">
        <f t="shared" si="3"/>
        <v>a.ELVpct= assign(ac.ELVpct, i)</v>
      </c>
      <c r="Q28" t="str">
        <f t="shared" si="4"/>
        <v>Call store(ac.ELVpct, row, a.ELVpct)</v>
      </c>
      <c r="AN28" t="s">
        <v>172</v>
      </c>
      <c r="AO28" s="18" t="s">
        <v>45</v>
      </c>
      <c r="AP28" t="s">
        <v>172</v>
      </c>
      <c r="AR28" s="18" t="str">
        <f t="shared" si="16"/>
        <v>Public comment As String</v>
      </c>
      <c r="AS28" s="18" t="str">
        <f t="shared" si="17"/>
        <v>comment = "AA"</v>
      </c>
      <c r="AT28" s="18" t="str">
        <f t="shared" si="18"/>
        <v>comment = "comment"</v>
      </c>
      <c r="AU28" s="18" t="str">
        <f t="shared" si="19"/>
        <v>Public comment As String</v>
      </c>
      <c r="AV28" s="18" t="str">
        <f t="shared" si="20"/>
        <v>comment = "comment"</v>
      </c>
      <c r="AW28" s="18" t="str">
        <f t="shared" si="21"/>
        <v>s.comment = assign(sc.comment, i)</v>
      </c>
      <c r="AX28" s="18" t="str">
        <f t="shared" si="22"/>
        <v>Call store(sc.comment, row, var.comment)</v>
      </c>
      <c r="AY28" s="18" t="str">
        <f t="shared" si="23"/>
        <v>s.comment = kod</v>
      </c>
      <c r="BH28" s="25"/>
      <c r="BI28" s="25" t="s">
        <v>293</v>
      </c>
      <c r="BJ28" s="25"/>
      <c r="BK28" s="25"/>
    </row>
    <row r="29" spans="1:80" ht="14.25" x14ac:dyDescent="0.2">
      <c r="A29">
        <v>92</v>
      </c>
      <c r="B29" t="str">
        <f t="shared" si="6"/>
        <v>AB</v>
      </c>
      <c r="E29" s="13" t="s">
        <v>29</v>
      </c>
      <c r="F29" s="22" t="s">
        <v>8</v>
      </c>
      <c r="G29" t="s">
        <v>1</v>
      </c>
      <c r="J29" s="18" t="s">
        <v>222</v>
      </c>
      <c r="K29" t="str">
        <f t="shared" si="0"/>
        <v>Public ELV As Currency</v>
      </c>
      <c r="L29" s="23" t="str">
        <f t="shared" si="7"/>
        <v>ELV = "AB"</v>
      </c>
      <c r="M29" t="str">
        <f t="shared" si="1"/>
        <v>ELV = "Effective LV"</v>
      </c>
      <c r="N29" t="str">
        <f t="shared" si="2"/>
        <v>Public ELV As String</v>
      </c>
      <c r="O29" t="str">
        <f t="shared" si="8"/>
        <v>ELV = "ELV"</v>
      </c>
      <c r="P29" t="str">
        <f t="shared" si="3"/>
        <v>a.ELV= assign(ac.ELV, i)</v>
      </c>
      <c r="Q29" t="str">
        <f t="shared" si="4"/>
        <v>Call store(ac.ELV, row, a.ELV)</v>
      </c>
      <c r="BH29" s="25"/>
      <c r="BI29" s="25" t="s">
        <v>1</v>
      </c>
      <c r="BJ29" s="25"/>
      <c r="BK29" s="25"/>
    </row>
    <row r="30" spans="1:80" ht="14.25" x14ac:dyDescent="0.2">
      <c r="A30">
        <v>93</v>
      </c>
      <c r="B30" t="str">
        <f t="shared" si="6"/>
        <v>AC</v>
      </c>
      <c r="E30" s="4" t="s">
        <v>34</v>
      </c>
      <c r="F30" t="s">
        <v>46</v>
      </c>
      <c r="G30" t="s">
        <v>66</v>
      </c>
      <c r="J30" s="18" t="s">
        <v>223</v>
      </c>
      <c r="K30" t="str">
        <f t="shared" si="0"/>
        <v>Public LVratio As Double</v>
      </c>
      <c r="L30" s="23" t="str">
        <f t="shared" si="7"/>
        <v>LVratio = "AC"</v>
      </c>
      <c r="M30" t="str">
        <f t="shared" si="1"/>
        <v>LVratio = "PLV/ELV % Ratio"</v>
      </c>
      <c r="N30" t="str">
        <f t="shared" si="2"/>
        <v>Public LVratio As String</v>
      </c>
      <c r="O30" t="str">
        <f t="shared" si="8"/>
        <v>LVratio = "LVratio"</v>
      </c>
      <c r="P30" t="str">
        <f t="shared" si="3"/>
        <v>a.LVratio= assign(ac.LVratio, i)</v>
      </c>
      <c r="Q30" t="str">
        <f t="shared" si="4"/>
        <v>Call store(ac.LVratio, row, a.LVratio)</v>
      </c>
      <c r="BH30" s="25"/>
      <c r="BI30" s="25" t="s">
        <v>294</v>
      </c>
      <c r="BJ30" s="25"/>
      <c r="BK30" s="25"/>
    </row>
    <row r="31" spans="1:80" ht="14.25" x14ac:dyDescent="0.2">
      <c r="A31">
        <v>94</v>
      </c>
      <c r="B31" t="str">
        <f t="shared" si="6"/>
        <v>AD</v>
      </c>
      <c r="C31">
        <v>-1</v>
      </c>
      <c r="E31" s="7" t="s">
        <v>129</v>
      </c>
      <c r="F31" t="s">
        <v>46</v>
      </c>
      <c r="G31" t="s">
        <v>130</v>
      </c>
      <c r="I31" t="str">
        <f t="shared" ref="I31:I43" si="36">""&amp;G31&amp;" = "&amp;C31</f>
        <v>hcValue = -1</v>
      </c>
      <c r="K31" t="str">
        <f t="shared" si="0"/>
        <v>Public hcValue As Double</v>
      </c>
      <c r="L31" s="23" t="str">
        <f t="shared" si="7"/>
        <v>hcValue = "AD"</v>
      </c>
      <c r="M31" t="str">
        <f t="shared" si="1"/>
        <v>hcValue = "Final Haircut Value"</v>
      </c>
      <c r="N31" t="str">
        <f t="shared" si="2"/>
        <v>Public hcValue As String</v>
      </c>
      <c r="O31" t="str">
        <f t="shared" si="8"/>
        <v>hcValue = "hcValue"</v>
      </c>
      <c r="P31" t="str">
        <f t="shared" si="3"/>
        <v>a.hcValue= assign(ac.hcValue, i)</v>
      </c>
      <c r="Q31" t="str">
        <f t="shared" si="4"/>
        <v>Call store(ac.hcValue, row, a.hcValue)</v>
      </c>
      <c r="BH31" s="25"/>
      <c r="BI31" s="25" t="s">
        <v>295</v>
      </c>
      <c r="BJ31" s="25"/>
      <c r="BK31" s="25"/>
    </row>
    <row r="32" spans="1:80" ht="14.25" x14ac:dyDescent="0.2">
      <c r="A32">
        <v>95</v>
      </c>
      <c r="B32" t="str">
        <f t="shared" si="6"/>
        <v>AE</v>
      </c>
      <c r="C32">
        <v>-1</v>
      </c>
      <c r="E32" s="14" t="s">
        <v>41</v>
      </c>
      <c r="F32" t="s">
        <v>46</v>
      </c>
      <c r="G32" s="15" t="s">
        <v>73</v>
      </c>
      <c r="H32" t="s">
        <v>132</v>
      </c>
      <c r="I32" t="str">
        <f t="shared" si="36"/>
        <v>hcApplied = -1</v>
      </c>
      <c r="J32" s="18" t="s">
        <v>235</v>
      </c>
      <c r="K32" t="str">
        <f t="shared" si="0"/>
        <v>Public hcApplied As Double</v>
      </c>
      <c r="L32" s="23" t="str">
        <f t="shared" si="7"/>
        <v>hcApplied = "AE"</v>
      </c>
      <c r="M32" t="str">
        <f t="shared" si="1"/>
        <v>hcApplied = "Applied Haircut"</v>
      </c>
      <c r="N32" t="str">
        <f t="shared" si="2"/>
        <v>Public hcApplied As String</v>
      </c>
      <c r="O32" t="str">
        <f t="shared" si="8"/>
        <v>hcApplied = "hcApplied"</v>
      </c>
      <c r="P32" t="str">
        <f t="shared" si="3"/>
        <v>a.hcApplied= assign(ac.hcApplied, i)</v>
      </c>
      <c r="Q32" t="str">
        <f t="shared" si="4"/>
        <v>Call store(ac.hcApplied, row, a.hcApplied)</v>
      </c>
      <c r="BH32" s="25"/>
      <c r="BI32" s="25" t="s">
        <v>296</v>
      </c>
      <c r="BJ32" s="25"/>
      <c r="BK32" s="25"/>
    </row>
    <row r="33" spans="1:63" ht="14.25" x14ac:dyDescent="0.2">
      <c r="A33">
        <v>96</v>
      </c>
      <c r="B33" t="str">
        <f t="shared" si="6"/>
        <v>AF</v>
      </c>
      <c r="C33" t="s">
        <v>135</v>
      </c>
      <c r="E33" s="14" t="s">
        <v>42</v>
      </c>
      <c r="F33" t="s">
        <v>45</v>
      </c>
      <c r="G33" s="15" t="s">
        <v>74</v>
      </c>
      <c r="H33" t="s">
        <v>132</v>
      </c>
      <c r="I33" t="str">
        <f t="shared" si="36"/>
        <v>hcRule = "-1"</v>
      </c>
      <c r="K33" t="str">
        <f t="shared" si="0"/>
        <v>Public hcRule As String</v>
      </c>
      <c r="L33" s="23" t="str">
        <f t="shared" si="7"/>
        <v>hcRule = "AF"</v>
      </c>
      <c r="M33" t="str">
        <f t="shared" si="1"/>
        <v>hcRule = "Haircut Application Rule"</v>
      </c>
      <c r="N33" t="str">
        <f t="shared" si="2"/>
        <v>Public hcRule As String</v>
      </c>
      <c r="O33" t="str">
        <f t="shared" si="8"/>
        <v>hcRule = "hcRule"</v>
      </c>
      <c r="P33" t="str">
        <f t="shared" si="3"/>
        <v>a.hcRule= assign(ac.hcRule, i)</v>
      </c>
      <c r="Q33" t="str">
        <f t="shared" si="4"/>
        <v>Call store(ac.hcRule, row, a.hcRule)</v>
      </c>
      <c r="BH33" s="25"/>
      <c r="BI33" s="25"/>
      <c r="BJ33" s="25"/>
      <c r="BK33" s="25"/>
    </row>
    <row r="34" spans="1:63" ht="14.25" x14ac:dyDescent="0.2">
      <c r="A34">
        <v>97</v>
      </c>
      <c r="B34" t="str">
        <f t="shared" si="6"/>
        <v>AG</v>
      </c>
      <c r="C34">
        <v>-1</v>
      </c>
      <c r="E34" s="14" t="s">
        <v>43</v>
      </c>
      <c r="F34" s="22" t="s">
        <v>8</v>
      </c>
      <c r="G34" t="s">
        <v>75</v>
      </c>
      <c r="I34" t="str">
        <f t="shared" si="36"/>
        <v>hcPreLV = -1</v>
      </c>
      <c r="J34" s="18" t="s">
        <v>224</v>
      </c>
      <c r="K34" t="str">
        <f t="shared" si="0"/>
        <v>Public hcPreLV As Currency</v>
      </c>
      <c r="L34" s="23" t="str">
        <f t="shared" si="7"/>
        <v>hcPreLV = "AG"</v>
      </c>
      <c r="M34" t="str">
        <f t="shared" si="1"/>
        <v>hcPreLV = "Pre-Haircut LV"</v>
      </c>
      <c r="N34" t="str">
        <f t="shared" si="2"/>
        <v>Public hcPreLV As String</v>
      </c>
      <c r="O34" t="str">
        <f t="shared" si="8"/>
        <v>hcPreLV = "hcPreLV"</v>
      </c>
      <c r="P34" t="str">
        <f t="shared" si="3"/>
        <v>a.hcPreLV= assign(ac.hcPreLV, i)</v>
      </c>
      <c r="Q34" t="str">
        <f t="shared" si="4"/>
        <v>Call store(ac.hcPreLV, row, a.hcPreLV)</v>
      </c>
      <c r="BH34" s="25"/>
      <c r="BI34" s="25"/>
      <c r="BJ34" s="25"/>
      <c r="BK34" s="25"/>
    </row>
    <row r="35" spans="1:63" ht="14.25" x14ac:dyDescent="0.2">
      <c r="A35">
        <v>98</v>
      </c>
      <c r="B35" t="str">
        <f t="shared" si="6"/>
        <v>AH</v>
      </c>
      <c r="C35">
        <v>-1</v>
      </c>
      <c r="E35" s="14" t="s">
        <v>26</v>
      </c>
      <c r="F35" t="s">
        <v>46</v>
      </c>
      <c r="G35" t="s">
        <v>59</v>
      </c>
      <c r="I35" t="str">
        <f t="shared" si="36"/>
        <v>APLVpct = -1</v>
      </c>
      <c r="J35" s="18" t="s">
        <v>231</v>
      </c>
      <c r="K35" t="str">
        <f t="shared" si="0"/>
        <v>Public APLVpct As Double</v>
      </c>
      <c r="L35" s="23" t="str">
        <f t="shared" si="7"/>
        <v>APLVpct = "AH"</v>
      </c>
      <c r="M35" t="str">
        <f t="shared" si="1"/>
        <v>APLVpct = "Applied Purpose LV %"</v>
      </c>
      <c r="N35" t="str">
        <f t="shared" si="2"/>
        <v>Public APLVpct As String</v>
      </c>
      <c r="O35" t="str">
        <f t="shared" si="8"/>
        <v>APLVpct = "APLVpct"</v>
      </c>
      <c r="P35" t="str">
        <f t="shared" si="3"/>
        <v>a.APLVpct= assign(ac.APLVpct, i)</v>
      </c>
      <c r="Q35" t="str">
        <f t="shared" si="4"/>
        <v>Call store(ac.APLVpct, row, a.APLVpct)</v>
      </c>
      <c r="BH35" s="25"/>
      <c r="BI35" s="25"/>
      <c r="BJ35" s="25"/>
      <c r="BK35" s="25"/>
    </row>
    <row r="36" spans="1:63" ht="14.25" x14ac:dyDescent="0.2">
      <c r="A36">
        <v>99</v>
      </c>
      <c r="B36" t="str">
        <f t="shared" si="6"/>
        <v>AI</v>
      </c>
      <c r="C36">
        <v>-1</v>
      </c>
      <c r="E36" s="14" t="s">
        <v>27</v>
      </c>
      <c r="F36" s="22" t="s">
        <v>8</v>
      </c>
      <c r="G36" t="s">
        <v>60</v>
      </c>
      <c r="I36" t="str">
        <f t="shared" si="36"/>
        <v>APLV = -1</v>
      </c>
      <c r="J36" s="18" t="s">
        <v>232</v>
      </c>
      <c r="K36" t="str">
        <f t="shared" si="0"/>
        <v>Public APLV As Currency</v>
      </c>
      <c r="L36" s="23" t="str">
        <f t="shared" si="7"/>
        <v>APLV = "AI"</v>
      </c>
      <c r="M36" t="str">
        <f t="shared" si="1"/>
        <v>APLV = "Applied Purpose LV"</v>
      </c>
      <c r="N36" t="str">
        <f t="shared" si="2"/>
        <v>Public APLV As String</v>
      </c>
      <c r="O36" t="str">
        <f t="shared" si="8"/>
        <v>APLV = "APLV"</v>
      </c>
      <c r="P36" t="str">
        <f t="shared" si="3"/>
        <v>a.APLV= assign(ac.APLV, i)</v>
      </c>
      <c r="Q36" t="str">
        <f t="shared" si="4"/>
        <v>Call store(ac.APLV, row, a.APLV)</v>
      </c>
      <c r="BH36" s="25"/>
      <c r="BI36" s="25"/>
      <c r="BJ36" s="25"/>
      <c r="BK36" s="25"/>
    </row>
    <row r="37" spans="1:63" ht="14.25" x14ac:dyDescent="0.2">
      <c r="A37">
        <v>100</v>
      </c>
      <c r="B37" t="str">
        <f t="shared" si="6"/>
        <v>AJ</v>
      </c>
      <c r="C37">
        <v>-1</v>
      </c>
      <c r="E37" s="14" t="s">
        <v>30</v>
      </c>
      <c r="F37" t="s">
        <v>46</v>
      </c>
      <c r="G37" t="s">
        <v>63</v>
      </c>
      <c r="I37" t="str">
        <f t="shared" si="36"/>
        <v>AELVpct = -1</v>
      </c>
      <c r="J37" s="18" t="s">
        <v>233</v>
      </c>
      <c r="K37" t="str">
        <f t="shared" si="0"/>
        <v>Public AELVpct As Double</v>
      </c>
      <c r="L37" s="23" t="str">
        <f t="shared" si="7"/>
        <v>AELVpct = "AJ"</v>
      </c>
      <c r="M37" t="str">
        <f t="shared" si="1"/>
        <v>AELVpct = "Applied Effective LV %"</v>
      </c>
      <c r="N37" t="str">
        <f t="shared" si="2"/>
        <v>Public AELVpct As String</v>
      </c>
      <c r="O37" t="str">
        <f t="shared" si="8"/>
        <v>AELVpct = "AELVpct"</v>
      </c>
      <c r="P37" t="str">
        <f t="shared" si="3"/>
        <v>a.AELVpct= assign(ac.AELVpct, i)</v>
      </c>
      <c r="Q37" t="str">
        <f t="shared" si="4"/>
        <v>Call store(ac.AELVpct, row, a.AELVpct)</v>
      </c>
      <c r="BH37" s="25"/>
      <c r="BI37" s="25"/>
      <c r="BJ37" s="25"/>
      <c r="BK37" s="25"/>
    </row>
    <row r="38" spans="1:63" ht="14.25" x14ac:dyDescent="0.2">
      <c r="A38">
        <v>101</v>
      </c>
      <c r="B38" t="str">
        <f t="shared" si="6"/>
        <v>AK</v>
      </c>
      <c r="C38">
        <v>-1</v>
      </c>
      <c r="E38" s="14" t="s">
        <v>31</v>
      </c>
      <c r="F38" s="22" t="s">
        <v>8</v>
      </c>
      <c r="G38" t="s">
        <v>61</v>
      </c>
      <c r="I38" t="str">
        <f t="shared" si="36"/>
        <v>AELV = -1</v>
      </c>
      <c r="J38" s="18" t="s">
        <v>234</v>
      </c>
      <c r="K38" t="str">
        <f t="shared" si="0"/>
        <v>Public AELV As Currency</v>
      </c>
      <c r="L38" s="23" t="str">
        <f t="shared" si="7"/>
        <v>AELV = "AK"</v>
      </c>
      <c r="M38" t="str">
        <f t="shared" si="1"/>
        <v>AELV = "Applied Effective LV"</v>
      </c>
      <c r="N38" t="str">
        <f t="shared" si="2"/>
        <v>Public AELV As String</v>
      </c>
      <c r="O38" t="str">
        <f t="shared" si="8"/>
        <v>AELV = "AELV"</v>
      </c>
      <c r="P38" t="str">
        <f t="shared" si="3"/>
        <v>a.AELV= assign(ac.AELV, i)</v>
      </c>
      <c r="Q38" t="str">
        <f t="shared" si="4"/>
        <v>Call store(ac.AELV, row, a.AELV)</v>
      </c>
      <c r="BH38" s="25"/>
      <c r="BI38" s="25"/>
      <c r="BJ38" s="25"/>
      <c r="BK38" s="25"/>
    </row>
    <row r="39" spans="1:63" ht="14.25" x14ac:dyDescent="0.2">
      <c r="A39">
        <v>102</v>
      </c>
      <c r="B39" t="str">
        <f t="shared" si="6"/>
        <v>AL</v>
      </c>
      <c r="C39" t="s">
        <v>135</v>
      </c>
      <c r="E39" s="14" t="s">
        <v>32</v>
      </c>
      <c r="F39" t="s">
        <v>45</v>
      </c>
      <c r="G39" t="s">
        <v>64</v>
      </c>
      <c r="I39" t="str">
        <f t="shared" si="36"/>
        <v>expoCov = "-1"</v>
      </c>
      <c r="J39" s="18" t="s">
        <v>225</v>
      </c>
      <c r="K39" t="str">
        <f t="shared" si="0"/>
        <v>Public expoCov As String</v>
      </c>
      <c r="L39" s="23" t="str">
        <f t="shared" si="7"/>
        <v>expoCov = "AL"</v>
      </c>
      <c r="M39" t="str">
        <f t="shared" si="1"/>
        <v>expoCov = "Exposure Coverage"</v>
      </c>
      <c r="N39" t="str">
        <f t="shared" si="2"/>
        <v>Public expoCov As String</v>
      </c>
      <c r="O39" t="str">
        <f t="shared" si="8"/>
        <v>expoCov = "expoCov"</v>
      </c>
      <c r="P39" t="str">
        <f t="shared" si="3"/>
        <v>a.expoCov= assign(ac.expoCov, i)</v>
      </c>
      <c r="Q39" t="str">
        <f t="shared" si="4"/>
        <v>Call store(ac.expoCov, row, a.expoCov)</v>
      </c>
      <c r="BH39" s="25"/>
      <c r="BI39" s="25"/>
      <c r="BJ39" s="25"/>
      <c r="BK39" s="25"/>
    </row>
    <row r="40" spans="1:63" ht="14.25" x14ac:dyDescent="0.2">
      <c r="A40">
        <v>103</v>
      </c>
      <c r="B40" t="str">
        <f t="shared" si="6"/>
        <v>AM</v>
      </c>
      <c r="C40">
        <v>-1</v>
      </c>
      <c r="E40" s="14" t="s">
        <v>33</v>
      </c>
      <c r="F40" t="s">
        <v>47</v>
      </c>
      <c r="G40" t="s">
        <v>65</v>
      </c>
      <c r="I40" t="str">
        <f t="shared" si="36"/>
        <v>consOrder = -1</v>
      </c>
      <c r="J40" s="18" t="s">
        <v>226</v>
      </c>
      <c r="K40" t="str">
        <f t="shared" si="0"/>
        <v>Public consOrder As Long</v>
      </c>
      <c r="L40" s="23" t="str">
        <f t="shared" si="7"/>
        <v>consOrder = "AM"</v>
      </c>
      <c r="M40" t="str">
        <f t="shared" si="1"/>
        <v>consOrder = "Consumption Order"</v>
      </c>
      <c r="N40" t="str">
        <f t="shared" si="2"/>
        <v>Public consOrder As String</v>
      </c>
      <c r="O40" t="str">
        <f t="shared" si="8"/>
        <v>consOrder = "consOrder"</v>
      </c>
      <c r="P40" t="str">
        <f t="shared" si="3"/>
        <v>a.consOrder= assign(ac.consOrder, i)</v>
      </c>
      <c r="Q40" t="str">
        <f t="shared" si="4"/>
        <v>Call store(ac.consOrder, row, a.consOrder)</v>
      </c>
      <c r="BH40" s="25"/>
      <c r="BI40" s="25"/>
      <c r="BJ40" s="25"/>
      <c r="BK40" s="25"/>
    </row>
    <row r="41" spans="1:63" ht="14.25" x14ac:dyDescent="0.2">
      <c r="A41">
        <v>104</v>
      </c>
      <c r="B41" t="str">
        <f t="shared" si="6"/>
        <v>AN</v>
      </c>
      <c r="C41">
        <v>-1</v>
      </c>
      <c r="E41" s="14" t="s">
        <v>35</v>
      </c>
      <c r="F41" s="22" t="s">
        <v>8</v>
      </c>
      <c r="G41" t="s">
        <v>67</v>
      </c>
      <c r="I41" t="str">
        <f t="shared" si="36"/>
        <v>PBA = -1</v>
      </c>
      <c r="J41" s="18" t="s">
        <v>227</v>
      </c>
      <c r="K41" t="str">
        <f t="shared" si="0"/>
        <v>Public PBA As Currency</v>
      </c>
      <c r="L41" s="23" t="str">
        <f t="shared" si="7"/>
        <v>PBA = "AN"</v>
      </c>
      <c r="M41" t="str">
        <f t="shared" si="1"/>
        <v>PBA = "Purpose Borrowing Availability"</v>
      </c>
      <c r="N41" t="str">
        <f t="shared" si="2"/>
        <v>Public PBA As String</v>
      </c>
      <c r="O41" t="str">
        <f t="shared" si="8"/>
        <v>PBA = "PBA"</v>
      </c>
      <c r="P41" t="str">
        <f t="shared" si="3"/>
        <v>a.PBA= assign(ac.PBA, i)</v>
      </c>
      <c r="Q41" t="str">
        <f t="shared" si="4"/>
        <v>Call store(ac.PBA, row, a.PBA)</v>
      </c>
      <c r="BH41" s="25"/>
      <c r="BI41" s="25"/>
      <c r="BJ41" s="25"/>
      <c r="BK41" s="25"/>
    </row>
    <row r="42" spans="1:63" ht="14.25" x14ac:dyDescent="0.2">
      <c r="A42">
        <v>105</v>
      </c>
      <c r="B42" t="str">
        <f t="shared" si="6"/>
        <v>AO</v>
      </c>
      <c r="C42">
        <v>-1</v>
      </c>
      <c r="E42" s="14" t="s">
        <v>36</v>
      </c>
      <c r="F42" s="22" t="s">
        <v>8</v>
      </c>
      <c r="G42" t="s">
        <v>68</v>
      </c>
      <c r="I42" t="str">
        <f t="shared" si="36"/>
        <v>NPBA = -1</v>
      </c>
      <c r="J42" s="18" t="s">
        <v>228</v>
      </c>
      <c r="K42" t="str">
        <f t="shared" si="0"/>
        <v>Public NPBA As Currency</v>
      </c>
      <c r="L42" s="23" t="str">
        <f t="shared" si="7"/>
        <v>NPBA = "AO"</v>
      </c>
      <c r="M42" t="str">
        <f t="shared" si="1"/>
        <v>NPBA = "Non-Purpose Borrowing Availability"</v>
      </c>
      <c r="N42" t="str">
        <f t="shared" si="2"/>
        <v>Public NPBA As String</v>
      </c>
      <c r="O42" t="str">
        <f t="shared" si="8"/>
        <v>NPBA = "NPBA"</v>
      </c>
      <c r="P42" t="str">
        <f t="shared" si="3"/>
        <v>a.NPBA= assign(ac.NPBA, i)</v>
      </c>
      <c r="Q42" t="str">
        <f t="shared" si="4"/>
        <v>Call store(ac.NPBA, row, a.NPBA)</v>
      </c>
      <c r="BH42" s="25"/>
      <c r="BI42" s="25"/>
      <c r="BJ42" s="25"/>
      <c r="BK42" s="25"/>
    </row>
    <row r="43" spans="1:63" ht="14.25" x14ac:dyDescent="0.2">
      <c r="A43">
        <v>106</v>
      </c>
      <c r="B43" t="str">
        <f t="shared" si="6"/>
        <v>AP</v>
      </c>
      <c r="C43">
        <v>-1</v>
      </c>
      <c r="E43" s="14" t="s">
        <v>44</v>
      </c>
      <c r="F43" t="s">
        <v>45</v>
      </c>
      <c r="G43" t="s">
        <v>76</v>
      </c>
      <c r="I43" t="str">
        <f t="shared" si="36"/>
        <v>consFlag = -1</v>
      </c>
      <c r="J43" s="18" t="s">
        <v>229</v>
      </c>
      <c r="K43" t="str">
        <f t="shared" si="0"/>
        <v>Public consFlag As String</v>
      </c>
      <c r="L43" s="23" t="str">
        <f t="shared" si="7"/>
        <v>consFlag = "AP"</v>
      </c>
      <c r="M43" t="str">
        <f t="shared" si="1"/>
        <v>consFlag = "Consumption Flag"</v>
      </c>
      <c r="N43" t="str">
        <f t="shared" si="2"/>
        <v>Public consFlag As String</v>
      </c>
      <c r="O43" t="str">
        <f t="shared" si="8"/>
        <v>consFlag = "consFlag"</v>
      </c>
      <c r="P43" t="str">
        <f t="shared" si="3"/>
        <v>a.consFlag= assign(ac.consFlag, i)</v>
      </c>
      <c r="Q43" t="str">
        <f t="shared" si="4"/>
        <v>Call store(ac.consFlag, row, a.consFlag)</v>
      </c>
      <c r="BH43" s="25"/>
      <c r="BI43" s="25"/>
      <c r="BJ43" s="25"/>
      <c r="BK43" s="25"/>
    </row>
    <row r="44" spans="1:63" ht="14.25" x14ac:dyDescent="0.2">
      <c r="A44">
        <v>107</v>
      </c>
      <c r="B44" t="str">
        <f>IF(A44&lt;91,CHAR(A44),"A"&amp;CHAR(A44-26))</f>
        <v>AQ</v>
      </c>
      <c r="E44" s="14" t="s">
        <v>119</v>
      </c>
      <c r="F44" t="s">
        <v>45</v>
      </c>
      <c r="G44" t="s">
        <v>119</v>
      </c>
      <c r="J44" s="18" t="s">
        <v>230</v>
      </c>
      <c r="K44" t="str">
        <f t="shared" si="0"/>
        <v>Public id As String</v>
      </c>
      <c r="L44" s="23" t="str">
        <f t="shared" si="7"/>
        <v>id = "AQ"</v>
      </c>
      <c r="M44" t="str">
        <f t="shared" si="1"/>
        <v>id = "id"</v>
      </c>
      <c r="N44" t="str">
        <f t="shared" si="2"/>
        <v>Public id As String</v>
      </c>
      <c r="O44" t="str">
        <f t="shared" si="8"/>
        <v>id = "id"</v>
      </c>
      <c r="P44" t="str">
        <f t="shared" si="3"/>
        <v>a.id= assign(ac.id, i)</v>
      </c>
      <c r="Q44" t="str">
        <f t="shared" si="4"/>
        <v>Call store(ac.id, row, a.id)</v>
      </c>
      <c r="BH44" s="25"/>
      <c r="BI44" s="25"/>
      <c r="BJ44" s="25"/>
      <c r="BK44" s="25"/>
    </row>
    <row r="45" spans="1:63" ht="14.25" x14ac:dyDescent="0.2">
      <c r="BH45" s="25"/>
      <c r="BI45" s="25"/>
      <c r="BJ45" s="25"/>
      <c r="BK45" s="25"/>
    </row>
    <row r="46" spans="1:63" ht="14.25" x14ac:dyDescent="0.2">
      <c r="BH46" s="25"/>
      <c r="BI46" s="25"/>
      <c r="BJ46" s="25"/>
      <c r="BK46" s="25"/>
    </row>
    <row r="47" spans="1:63" ht="14.25" x14ac:dyDescent="0.2">
      <c r="BH47" s="25"/>
      <c r="BI47" s="25"/>
      <c r="BJ47" s="25"/>
      <c r="BK47" s="25"/>
    </row>
    <row r="48" spans="1:63" ht="14.25" x14ac:dyDescent="0.2">
      <c r="BH48" s="25"/>
      <c r="BI48" s="25"/>
      <c r="BJ48" s="25"/>
      <c r="BK48" s="25"/>
    </row>
    <row r="49" spans="60:63" ht="14.25" x14ac:dyDescent="0.2">
      <c r="BH49" s="25"/>
      <c r="BI49" s="25"/>
      <c r="BJ49" s="25"/>
      <c r="BK49" s="25"/>
    </row>
    <row r="50" spans="60:63" ht="14.25" x14ac:dyDescent="0.2">
      <c r="BH50" s="25"/>
      <c r="BI50" s="25"/>
      <c r="BJ50" s="25"/>
      <c r="BK50" s="25"/>
    </row>
    <row r="51" spans="60:63" ht="14.25" x14ac:dyDescent="0.2">
      <c r="BH51" s="25"/>
      <c r="BI51" s="25"/>
      <c r="BJ51" s="25"/>
      <c r="BK51" s="25"/>
    </row>
    <row r="52" spans="60:63" ht="14.25" x14ac:dyDescent="0.2">
      <c r="BH52" s="25"/>
      <c r="BI52" s="25"/>
      <c r="BJ52" s="25"/>
      <c r="BK52" s="25"/>
    </row>
    <row r="53" spans="60:63" ht="14.25" x14ac:dyDescent="0.2">
      <c r="BH53" s="25"/>
      <c r="BI53" s="25"/>
      <c r="BJ53" s="25"/>
      <c r="BK53" s="25"/>
    </row>
    <row r="54" spans="60:63" ht="14.25" x14ac:dyDescent="0.2">
      <c r="BH54" s="25"/>
      <c r="BI54" s="25"/>
      <c r="BJ54" s="25"/>
      <c r="BK54" s="25"/>
    </row>
    <row r="55" spans="60:63" ht="14.25" x14ac:dyDescent="0.2">
      <c r="BH55" s="25"/>
      <c r="BI55" s="25"/>
      <c r="BJ55" s="25"/>
      <c r="BK55" s="25"/>
    </row>
    <row r="56" spans="60:63" ht="14.25" x14ac:dyDescent="0.2">
      <c r="BH56" s="25"/>
      <c r="BI56" s="25"/>
      <c r="BJ56" s="25"/>
      <c r="BK56" s="25"/>
    </row>
    <row r="57" spans="60:63" ht="14.25" x14ac:dyDescent="0.2">
      <c r="BH57" s="25"/>
      <c r="BI57" s="25"/>
      <c r="BJ57" s="25"/>
      <c r="BK57" s="25"/>
    </row>
    <row r="58" spans="60:63" ht="14.25" x14ac:dyDescent="0.2">
      <c r="BH58" s="25"/>
      <c r="BI58" s="25"/>
      <c r="BJ58" s="25"/>
      <c r="BK58" s="25"/>
    </row>
    <row r="59" spans="60:63" ht="14.25" x14ac:dyDescent="0.2">
      <c r="BH59" s="25"/>
      <c r="BI59" s="25"/>
      <c r="BJ59" s="25"/>
      <c r="BK59" s="25"/>
    </row>
    <row r="60" spans="60:63" ht="14.25" x14ac:dyDescent="0.2">
      <c r="BH60" s="25"/>
      <c r="BI60" s="25"/>
      <c r="BJ60" s="25"/>
      <c r="BK60" s="25"/>
    </row>
    <row r="61" spans="60:63" ht="14.25" x14ac:dyDescent="0.2">
      <c r="BH61" s="25"/>
      <c r="BI61" s="25"/>
      <c r="BJ61" s="25"/>
      <c r="BK61" s="25"/>
    </row>
    <row r="62" spans="60:63" ht="14.25" x14ac:dyDescent="0.2">
      <c r="BH62" s="25"/>
      <c r="BI62" s="25"/>
      <c r="BJ62" s="25"/>
      <c r="BK62" s="25"/>
    </row>
    <row r="63" spans="60:63" ht="14.25" x14ac:dyDescent="0.2">
      <c r="BH63" s="25"/>
      <c r="BI63" s="25"/>
      <c r="BJ63" s="25"/>
      <c r="BK63" s="25"/>
    </row>
    <row r="64" spans="60:63" ht="14.25" x14ac:dyDescent="0.2">
      <c r="BH64" s="25"/>
      <c r="BI64" s="25"/>
      <c r="BJ64" s="25"/>
      <c r="BK64" s="25"/>
    </row>
    <row r="65" spans="60:63" ht="14.25" x14ac:dyDescent="0.2">
      <c r="BH65" s="25"/>
      <c r="BI65" s="25"/>
      <c r="BJ65" s="25"/>
      <c r="BK65" s="25"/>
    </row>
    <row r="66" spans="60:63" ht="14.25" x14ac:dyDescent="0.2">
      <c r="BH66" s="25"/>
      <c r="BI66" s="25"/>
      <c r="BJ66" s="25"/>
      <c r="BK66" s="25"/>
    </row>
    <row r="67" spans="60:63" ht="14.25" x14ac:dyDescent="0.2">
      <c r="BH67" s="25"/>
      <c r="BI67" s="25"/>
      <c r="BJ67" s="25"/>
      <c r="BK67" s="25"/>
    </row>
    <row r="68" spans="60:63" ht="14.25" x14ac:dyDescent="0.2">
      <c r="BH68" s="25"/>
      <c r="BI68" s="25"/>
      <c r="BJ68" s="25"/>
      <c r="BK68" s="25"/>
    </row>
    <row r="69" spans="60:63" ht="14.25" x14ac:dyDescent="0.2">
      <c r="BH69" s="25"/>
      <c r="BI69" s="25"/>
      <c r="BJ69" s="25"/>
      <c r="BK69" s="25"/>
    </row>
    <row r="70" spans="60:63" ht="14.25" x14ac:dyDescent="0.2">
      <c r="BH70" s="25"/>
      <c r="BI70" s="25"/>
      <c r="BJ70" s="25"/>
      <c r="BK70" s="25"/>
    </row>
    <row r="71" spans="60:63" ht="14.25" x14ac:dyDescent="0.2">
      <c r="BH71" s="25"/>
      <c r="BI71" s="25"/>
      <c r="BJ71" s="25"/>
      <c r="BK71" s="25"/>
    </row>
    <row r="72" spans="60:63" ht="14.25" x14ac:dyDescent="0.2">
      <c r="BH72" s="25"/>
      <c r="BI72" s="25"/>
      <c r="BJ72" s="25"/>
      <c r="BK72" s="25"/>
    </row>
    <row r="73" spans="60:63" ht="14.25" x14ac:dyDescent="0.2">
      <c r="BH73" s="25"/>
      <c r="BI73" s="25"/>
      <c r="BJ73" s="25"/>
      <c r="BK73" s="25"/>
    </row>
    <row r="74" spans="60:63" ht="14.25" x14ac:dyDescent="0.2">
      <c r="BH74" s="25"/>
      <c r="BI74" s="25"/>
      <c r="BJ74" s="25"/>
      <c r="BK74" s="25"/>
    </row>
    <row r="75" spans="60:63" ht="14.25" x14ac:dyDescent="0.2">
      <c r="BH75" s="25"/>
      <c r="BI75" s="25"/>
      <c r="BJ75" s="25"/>
      <c r="BK75" s="25"/>
    </row>
    <row r="76" spans="60:63" ht="14.25" x14ac:dyDescent="0.2">
      <c r="BH76" s="25"/>
      <c r="BI76" s="25"/>
      <c r="BJ76" s="25"/>
      <c r="BK76" s="25"/>
    </row>
    <row r="77" spans="60:63" ht="14.25" x14ac:dyDescent="0.2">
      <c r="BH77" s="25"/>
      <c r="BI77" s="25"/>
      <c r="BJ77" s="25"/>
      <c r="BK77" s="25"/>
    </row>
    <row r="78" spans="60:63" ht="14.25" x14ac:dyDescent="0.2">
      <c r="BH78" s="25"/>
      <c r="BI78" s="25"/>
      <c r="BJ78" s="25"/>
      <c r="BK78" s="25"/>
    </row>
    <row r="79" spans="60:63" ht="14.25" x14ac:dyDescent="0.2">
      <c r="BH79" s="25"/>
      <c r="BI79" s="25"/>
      <c r="BJ79" s="25"/>
      <c r="BK79" s="25"/>
    </row>
    <row r="80" spans="60:63" ht="14.25" x14ac:dyDescent="0.2">
      <c r="BH80" s="25"/>
      <c r="BI80" s="25"/>
      <c r="BJ80" s="25"/>
      <c r="BK80" s="25"/>
    </row>
    <row r="81" spans="60:63" ht="14.25" x14ac:dyDescent="0.2">
      <c r="BH81" s="25"/>
      <c r="BI81" s="25"/>
      <c r="BJ81" s="25"/>
      <c r="BK81" s="25"/>
    </row>
    <row r="82" spans="60:63" ht="14.25" x14ac:dyDescent="0.2">
      <c r="BH82" s="25"/>
      <c r="BI82" s="25"/>
      <c r="BJ82" s="25"/>
      <c r="BK82" s="25"/>
    </row>
    <row r="83" spans="60:63" ht="14.25" x14ac:dyDescent="0.2">
      <c r="BH83" s="25"/>
      <c r="BI83" s="25"/>
      <c r="BJ83" s="25"/>
      <c r="BK83" s="25"/>
    </row>
    <row r="84" spans="60:63" ht="14.25" x14ac:dyDescent="0.2">
      <c r="BH84" s="25"/>
      <c r="BI84" s="25"/>
      <c r="BJ84" s="25"/>
      <c r="BK84" s="25"/>
    </row>
    <row r="85" spans="60:63" ht="14.25" x14ac:dyDescent="0.2">
      <c r="BH85" s="25"/>
      <c r="BI85" s="25"/>
      <c r="BJ85" s="25"/>
      <c r="BK85" s="25"/>
    </row>
    <row r="86" spans="60:63" ht="14.25" x14ac:dyDescent="0.2">
      <c r="BH86" s="25"/>
      <c r="BI86" s="25"/>
      <c r="BJ86" s="25"/>
      <c r="BK86" s="25"/>
    </row>
    <row r="87" spans="60:63" ht="14.25" x14ac:dyDescent="0.2">
      <c r="BH87" s="25"/>
      <c r="BI87" s="25"/>
      <c r="BJ87" s="25"/>
      <c r="BK87" s="25"/>
    </row>
    <row r="88" spans="60:63" ht="14.25" x14ac:dyDescent="0.2">
      <c r="BH88" s="25"/>
      <c r="BI88" s="25"/>
      <c r="BJ88" s="25"/>
      <c r="BK88" s="25"/>
    </row>
    <row r="89" spans="60:63" ht="14.25" x14ac:dyDescent="0.2">
      <c r="BH89" s="25"/>
      <c r="BI89" s="25"/>
      <c r="BJ89" s="25"/>
      <c r="BK89" s="25"/>
    </row>
    <row r="90" spans="60:63" ht="14.25" x14ac:dyDescent="0.2">
      <c r="BH90" s="25"/>
      <c r="BI90" s="25"/>
      <c r="BJ90" s="25"/>
      <c r="BK90" s="25"/>
    </row>
    <row r="91" spans="60:63" ht="14.25" x14ac:dyDescent="0.2">
      <c r="BH91" s="25"/>
      <c r="BI91" s="25"/>
      <c r="BJ91" s="25"/>
      <c r="BK91" s="25"/>
    </row>
    <row r="92" spans="60:63" ht="14.25" x14ac:dyDescent="0.2">
      <c r="BH92" s="25"/>
      <c r="BI92" s="25"/>
      <c r="BJ92" s="25"/>
      <c r="BK92" s="25"/>
    </row>
    <row r="93" spans="60:63" ht="14.25" x14ac:dyDescent="0.2">
      <c r="BH93" s="25"/>
      <c r="BI93" s="25"/>
      <c r="BJ93" s="25"/>
      <c r="BK93" s="25"/>
    </row>
    <row r="94" spans="60:63" ht="14.25" x14ac:dyDescent="0.2">
      <c r="BH94" s="25"/>
      <c r="BI94" s="25"/>
      <c r="BJ94" s="25"/>
      <c r="BK94" s="25"/>
    </row>
    <row r="95" spans="60:63" ht="14.25" x14ac:dyDescent="0.2">
      <c r="BH95" s="25"/>
      <c r="BI95" s="25"/>
      <c r="BJ95" s="25"/>
      <c r="BK95" s="25"/>
    </row>
    <row r="96" spans="60:63" ht="14.25" x14ac:dyDescent="0.2">
      <c r="BH96" s="25"/>
      <c r="BI96" s="25"/>
      <c r="BJ96" s="25"/>
      <c r="BK96" s="25"/>
    </row>
    <row r="97" spans="60:63" ht="14.25" x14ac:dyDescent="0.2">
      <c r="BH97" s="25"/>
      <c r="BI97" s="25"/>
      <c r="BJ97" s="25"/>
      <c r="BK97" s="25"/>
    </row>
    <row r="98" spans="60:63" ht="14.25" x14ac:dyDescent="0.2">
      <c r="BH98" s="25"/>
      <c r="BI98" s="25"/>
      <c r="BJ98" s="25"/>
      <c r="BK98" s="25"/>
    </row>
    <row r="99" spans="60:63" ht="14.25" x14ac:dyDescent="0.2">
      <c r="BH99" s="25"/>
      <c r="BI99" s="25"/>
      <c r="BJ99" s="25"/>
      <c r="BK99" s="25"/>
    </row>
    <row r="100" spans="60:63" ht="14.25" x14ac:dyDescent="0.2">
      <c r="BH100" s="25"/>
      <c r="BI100" s="25"/>
      <c r="BJ100" s="25"/>
      <c r="BK100" s="25"/>
    </row>
    <row r="101" spans="60:63" ht="14.25" x14ac:dyDescent="0.2">
      <c r="BH101" s="25"/>
      <c r="BI101" s="25"/>
      <c r="BJ101" s="25"/>
      <c r="BK101" s="25"/>
    </row>
    <row r="102" spans="60:63" ht="14.25" x14ac:dyDescent="0.2">
      <c r="BH102" s="25"/>
      <c r="BI102" s="25"/>
      <c r="BJ102" s="25"/>
      <c r="BK102" s="25"/>
    </row>
    <row r="103" spans="60:63" ht="14.25" x14ac:dyDescent="0.2">
      <c r="BH103" s="25"/>
      <c r="BI103" s="25"/>
      <c r="BJ103" s="25"/>
      <c r="BK103" s="25"/>
    </row>
    <row r="104" spans="60:63" ht="14.25" x14ac:dyDescent="0.2">
      <c r="BH104" s="25"/>
      <c r="BI104" s="25"/>
      <c r="BJ104" s="25"/>
      <c r="BK104" s="25"/>
    </row>
    <row r="105" spans="60:63" ht="14.25" x14ac:dyDescent="0.2">
      <c r="BH105" s="25"/>
      <c r="BI105" s="25"/>
      <c r="BJ105" s="25"/>
      <c r="BK105" s="25"/>
    </row>
    <row r="106" spans="60:63" ht="14.25" x14ac:dyDescent="0.2">
      <c r="BH106" s="25"/>
      <c r="BI106" s="25"/>
      <c r="BJ106" s="25"/>
      <c r="BK106" s="25"/>
    </row>
    <row r="107" spans="60:63" ht="14.25" x14ac:dyDescent="0.2">
      <c r="BH107" s="25"/>
      <c r="BI107" s="25"/>
      <c r="BJ107" s="25"/>
      <c r="BK107" s="25"/>
    </row>
    <row r="108" spans="60:63" ht="14.25" x14ac:dyDescent="0.2">
      <c r="BH108" s="25"/>
      <c r="BI108" s="25"/>
      <c r="BJ108" s="25"/>
      <c r="BK108" s="25"/>
    </row>
    <row r="109" spans="60:63" ht="14.25" x14ac:dyDescent="0.2">
      <c r="BH109" s="25"/>
      <c r="BI109" s="25"/>
      <c r="BJ109" s="25"/>
      <c r="BK109" s="25"/>
    </row>
    <row r="110" spans="60:63" ht="14.25" x14ac:dyDescent="0.2">
      <c r="BH110" s="25"/>
      <c r="BI110" s="25"/>
      <c r="BJ110" s="25"/>
      <c r="BK110" s="25"/>
    </row>
    <row r="111" spans="60:63" ht="14.25" x14ac:dyDescent="0.2">
      <c r="BH111" s="25"/>
      <c r="BI111" s="25"/>
      <c r="BJ111" s="25"/>
      <c r="BK111" s="25"/>
    </row>
    <row r="112" spans="60:63" ht="14.25" x14ac:dyDescent="0.2">
      <c r="BH112" s="25"/>
      <c r="BI112" s="25"/>
      <c r="BJ112" s="25"/>
      <c r="BK112" s="25"/>
    </row>
    <row r="113" spans="60:63" ht="14.25" x14ac:dyDescent="0.2">
      <c r="BH113" s="25"/>
      <c r="BI113" s="25"/>
      <c r="BJ113" s="25"/>
      <c r="BK113" s="25"/>
    </row>
    <row r="114" spans="60:63" ht="14.25" x14ac:dyDescent="0.2">
      <c r="BH114" s="25"/>
      <c r="BI114" s="25"/>
      <c r="BJ114" s="25"/>
      <c r="BK114" s="25"/>
    </row>
    <row r="115" spans="60:63" ht="14.25" x14ac:dyDescent="0.2">
      <c r="BH115" s="25"/>
      <c r="BI115" s="25"/>
      <c r="BJ115" s="25"/>
      <c r="BK115" s="25"/>
    </row>
    <row r="116" spans="60:63" ht="14.25" x14ac:dyDescent="0.2">
      <c r="BH116" s="25"/>
      <c r="BI116" s="25"/>
      <c r="BJ116" s="25"/>
      <c r="BK116" s="25"/>
    </row>
    <row r="117" spans="60:63" ht="14.25" x14ac:dyDescent="0.2">
      <c r="BH117" s="25"/>
      <c r="BI117" s="25"/>
      <c r="BJ117" s="25"/>
      <c r="BK117" s="25"/>
    </row>
    <row r="118" spans="60:63" ht="14.25" x14ac:dyDescent="0.2">
      <c r="BH118" s="25"/>
      <c r="BI118" s="25"/>
      <c r="BJ118" s="25"/>
      <c r="BK118" s="25"/>
    </row>
    <row r="119" spans="60:63" ht="14.25" x14ac:dyDescent="0.2">
      <c r="BH119" s="25"/>
      <c r="BI119" s="25"/>
      <c r="BJ119" s="25"/>
      <c r="BK119" s="25"/>
    </row>
    <row r="120" spans="60:63" ht="14.25" x14ac:dyDescent="0.2">
      <c r="BH120" s="25"/>
      <c r="BI120" s="25"/>
      <c r="BJ120" s="25"/>
      <c r="BK120" s="25"/>
    </row>
    <row r="121" spans="60:63" ht="14.25" x14ac:dyDescent="0.2">
      <c r="BH121" s="25"/>
      <c r="BI121" s="25"/>
      <c r="BJ121" s="25"/>
      <c r="BK121" s="25"/>
    </row>
    <row r="122" spans="60:63" ht="14.25" x14ac:dyDescent="0.2">
      <c r="BH122" s="25"/>
      <c r="BI122" s="25"/>
      <c r="BJ122" s="25"/>
      <c r="BK122" s="25"/>
    </row>
    <row r="123" spans="60:63" ht="14.25" x14ac:dyDescent="0.2">
      <c r="BH123" s="25"/>
      <c r="BI123" s="25"/>
      <c r="BJ123" s="25"/>
      <c r="BK123" s="25"/>
    </row>
    <row r="124" spans="60:63" ht="14.25" x14ac:dyDescent="0.2">
      <c r="BH124" s="25"/>
      <c r="BI124" s="25"/>
      <c r="BJ124" s="25"/>
      <c r="BK124" s="25"/>
    </row>
    <row r="125" spans="60:63" ht="14.25" x14ac:dyDescent="0.2">
      <c r="BH125" s="25"/>
      <c r="BI125" s="25"/>
      <c r="BJ125" s="25"/>
      <c r="BK125" s="25"/>
    </row>
    <row r="126" spans="60:63" ht="14.25" x14ac:dyDescent="0.2">
      <c r="BH126" s="25"/>
      <c r="BI126" s="25"/>
      <c r="BJ126" s="25"/>
      <c r="BK126" s="25"/>
    </row>
    <row r="127" spans="60:63" ht="14.25" x14ac:dyDescent="0.2">
      <c r="BH127" s="25"/>
      <c r="BI127" s="25"/>
      <c r="BJ127" s="25"/>
      <c r="BK127" s="25"/>
    </row>
    <row r="128" spans="60:63" ht="14.25" x14ac:dyDescent="0.2">
      <c r="BH128" s="25"/>
      <c r="BI128" s="25"/>
      <c r="BJ128" s="25"/>
      <c r="BK128" s="25"/>
    </row>
    <row r="129" spans="60:63" ht="14.25" x14ac:dyDescent="0.2">
      <c r="BH129" s="25"/>
      <c r="BI129" s="25"/>
      <c r="BJ129" s="25"/>
      <c r="BK129" s="25"/>
    </row>
    <row r="130" spans="60:63" ht="14.25" x14ac:dyDescent="0.2">
      <c r="BH130" s="25"/>
      <c r="BI130" s="25"/>
      <c r="BJ130" s="25"/>
      <c r="BK130" s="25"/>
    </row>
    <row r="131" spans="60:63" ht="14.25" x14ac:dyDescent="0.2">
      <c r="BH131" s="25"/>
      <c r="BI131" s="25"/>
      <c r="BJ131" s="25"/>
      <c r="BK131" s="25"/>
    </row>
    <row r="132" spans="60:63" ht="14.25" x14ac:dyDescent="0.2">
      <c r="BH132" s="25"/>
      <c r="BI132" s="25"/>
      <c r="BJ132" s="25"/>
      <c r="BK132" s="25"/>
    </row>
    <row r="133" spans="60:63" ht="14.25" x14ac:dyDescent="0.2">
      <c r="BH133" s="25"/>
      <c r="BI133" s="25"/>
      <c r="BJ133" s="25"/>
      <c r="BK133" s="25"/>
    </row>
    <row r="134" spans="60:63" ht="14.25" x14ac:dyDescent="0.2">
      <c r="BH134" s="25"/>
      <c r="BI134" s="25"/>
      <c r="BJ134" s="25"/>
      <c r="BK134" s="25"/>
    </row>
    <row r="135" spans="60:63" ht="14.25" x14ac:dyDescent="0.2">
      <c r="BH135" s="25"/>
      <c r="BI135" s="25"/>
      <c r="BJ135" s="25"/>
      <c r="BK135" s="25"/>
    </row>
    <row r="136" spans="60:63" ht="14.25" x14ac:dyDescent="0.2">
      <c r="BH136" s="25"/>
      <c r="BI136" s="25"/>
      <c r="BJ136" s="25"/>
      <c r="BK136" s="25"/>
    </row>
    <row r="137" spans="60:63" ht="14.25" x14ac:dyDescent="0.2">
      <c r="BH137" s="25"/>
      <c r="BI137" s="25"/>
      <c r="BJ137" s="25"/>
      <c r="BK137" s="25"/>
    </row>
    <row r="138" spans="60:63" ht="14.25" x14ac:dyDescent="0.2">
      <c r="BH138" s="25"/>
      <c r="BI138" s="25"/>
      <c r="BJ138" s="25"/>
      <c r="BK138" s="25"/>
    </row>
    <row r="139" spans="60:63" ht="14.25" x14ac:dyDescent="0.2">
      <c r="BH139" s="25"/>
      <c r="BI139" s="25"/>
      <c r="BJ139" s="25"/>
      <c r="BK139" s="25"/>
    </row>
    <row r="140" spans="60:63" ht="14.25" x14ac:dyDescent="0.2">
      <c r="BH140" s="25"/>
      <c r="BI140" s="25"/>
      <c r="BJ140" s="25"/>
      <c r="BK140" s="25"/>
    </row>
    <row r="141" spans="60:63" ht="14.25" x14ac:dyDescent="0.2">
      <c r="BH141" s="25"/>
      <c r="BI141" s="25"/>
      <c r="BJ141" s="25"/>
      <c r="BK141" s="25"/>
    </row>
    <row r="142" spans="60:63" ht="14.25" x14ac:dyDescent="0.2">
      <c r="BH142" s="25"/>
      <c r="BI142" s="25"/>
      <c r="BJ142" s="25"/>
      <c r="BK142" s="25"/>
    </row>
    <row r="143" spans="60:63" ht="14.25" x14ac:dyDescent="0.2">
      <c r="BH143" s="25"/>
      <c r="BI143" s="25"/>
      <c r="BJ143" s="25"/>
      <c r="BK143" s="25"/>
    </row>
    <row r="144" spans="60:63" ht="14.25" x14ac:dyDescent="0.2">
      <c r="BH144" s="25"/>
      <c r="BI144" s="25"/>
      <c r="BJ144" s="25"/>
      <c r="BK144" s="25"/>
    </row>
    <row r="145" spans="60:63" ht="14.25" x14ac:dyDescent="0.2">
      <c r="BH145" s="25"/>
      <c r="BI145" s="25"/>
      <c r="BJ145" s="25"/>
      <c r="BK145" s="25"/>
    </row>
    <row r="146" spans="60:63" ht="14.25" x14ac:dyDescent="0.2">
      <c r="BH146" s="25"/>
      <c r="BI146" s="25"/>
      <c r="BJ146" s="25"/>
      <c r="BK146" s="25"/>
    </row>
    <row r="147" spans="60:63" ht="14.25" x14ac:dyDescent="0.2">
      <c r="BH147" s="25"/>
      <c r="BI147" s="25"/>
      <c r="BJ147" s="25"/>
      <c r="BK147" s="25"/>
    </row>
    <row r="148" spans="60:63" ht="14.25" x14ac:dyDescent="0.2">
      <c r="BH148" s="25"/>
      <c r="BI148" s="25"/>
      <c r="BJ148" s="25"/>
      <c r="BK148" s="25"/>
    </row>
    <row r="149" spans="60:63" ht="14.25" x14ac:dyDescent="0.2">
      <c r="BH149" s="25"/>
      <c r="BI149" s="25"/>
      <c r="BJ149" s="25"/>
      <c r="BK149" s="25"/>
    </row>
    <row r="150" spans="60:63" ht="14.25" x14ac:dyDescent="0.2">
      <c r="BH150" s="25"/>
      <c r="BI150" s="25"/>
      <c r="BJ150" s="25"/>
      <c r="BK150" s="25"/>
    </row>
    <row r="151" spans="60:63" ht="14.25" x14ac:dyDescent="0.2">
      <c r="BH151" s="25"/>
      <c r="BI151" s="25"/>
      <c r="BJ151" s="25"/>
      <c r="BK151" s="25"/>
    </row>
    <row r="152" spans="60:63" ht="14.25" x14ac:dyDescent="0.2">
      <c r="BH152" s="25"/>
      <c r="BI152" s="25"/>
      <c r="BJ152" s="25"/>
      <c r="BK152" s="25"/>
    </row>
    <row r="153" spans="60:63" ht="14.25" x14ac:dyDescent="0.2">
      <c r="BH153" s="25"/>
      <c r="BI153" s="25"/>
      <c r="BJ153" s="25"/>
      <c r="BK153" s="25"/>
    </row>
    <row r="154" spans="60:63" ht="14.25" x14ac:dyDescent="0.2">
      <c r="BH154" s="25"/>
      <c r="BI154" s="25"/>
      <c r="BJ154" s="25"/>
      <c r="BK154" s="25"/>
    </row>
    <row r="155" spans="60:63" ht="14.25" x14ac:dyDescent="0.2">
      <c r="BH155" s="25"/>
      <c r="BI155" s="25"/>
      <c r="BJ155" s="25"/>
      <c r="BK155" s="25"/>
    </row>
    <row r="156" spans="60:63" ht="14.25" x14ac:dyDescent="0.2">
      <c r="BH156" s="25"/>
      <c r="BI156" s="25"/>
      <c r="BJ156" s="25"/>
      <c r="BK156" s="25"/>
    </row>
    <row r="157" spans="60:63" ht="14.25" x14ac:dyDescent="0.2">
      <c r="BH157" s="25"/>
      <c r="BI157" s="25"/>
      <c r="BJ157" s="25"/>
      <c r="BK157" s="25"/>
    </row>
    <row r="158" spans="60:63" ht="14.25" x14ac:dyDescent="0.2">
      <c r="BH158" s="25"/>
      <c r="BI158" s="25"/>
      <c r="BJ158" s="25"/>
      <c r="BK158" s="25"/>
    </row>
    <row r="159" spans="60:63" ht="14.25" x14ac:dyDescent="0.2">
      <c r="BH159" s="25"/>
      <c r="BI159" s="25"/>
      <c r="BJ159" s="25"/>
      <c r="BK159" s="25"/>
    </row>
    <row r="160" spans="60:63" ht="14.25" x14ac:dyDescent="0.2">
      <c r="BH160" s="25"/>
      <c r="BI160" s="25"/>
      <c r="BJ160" s="25"/>
      <c r="BK160" s="25"/>
    </row>
    <row r="161" spans="60:63" ht="14.25" x14ac:dyDescent="0.2">
      <c r="BH161" s="25"/>
      <c r="BI161" s="25"/>
      <c r="BJ161" s="25"/>
      <c r="BK161" s="25"/>
    </row>
    <row r="162" spans="60:63" ht="14.25" x14ac:dyDescent="0.2">
      <c r="BH162" s="25"/>
      <c r="BI162" s="25"/>
      <c r="BJ162" s="25"/>
      <c r="BK162" s="25"/>
    </row>
    <row r="163" spans="60:63" ht="14.25" x14ac:dyDescent="0.2">
      <c r="BH163" s="25"/>
      <c r="BI163" s="25"/>
      <c r="BJ163" s="25"/>
      <c r="BK163" s="25"/>
    </row>
    <row r="164" spans="60:63" ht="14.25" x14ac:dyDescent="0.2">
      <c r="BH164" s="25"/>
      <c r="BI164" s="25"/>
      <c r="BJ164" s="25"/>
      <c r="BK164" s="25"/>
    </row>
    <row r="165" spans="60:63" ht="14.25" x14ac:dyDescent="0.2">
      <c r="BH165" s="25"/>
      <c r="BI165" s="25"/>
      <c r="BJ165" s="25"/>
      <c r="BK165" s="25"/>
    </row>
    <row r="166" spans="60:63" ht="14.25" x14ac:dyDescent="0.2">
      <c r="BH166" s="25"/>
      <c r="BI166" s="25"/>
      <c r="BJ166" s="25"/>
      <c r="BK166" s="25"/>
    </row>
    <row r="167" spans="60:63" ht="14.25" x14ac:dyDescent="0.2">
      <c r="BH167" s="25"/>
      <c r="BI167" s="25"/>
      <c r="BJ167" s="25"/>
      <c r="BK167" s="25"/>
    </row>
    <row r="168" spans="60:63" ht="14.25" x14ac:dyDescent="0.2">
      <c r="BH168" s="25"/>
      <c r="BI168" s="25"/>
      <c r="BJ168" s="25"/>
      <c r="BK168" s="25"/>
    </row>
    <row r="169" spans="60:63" ht="14.25" x14ac:dyDescent="0.2">
      <c r="BH169" s="25"/>
      <c r="BI169" s="25"/>
      <c r="BJ169" s="25"/>
      <c r="BK169" s="25"/>
    </row>
    <row r="170" spans="60:63" ht="14.25" x14ac:dyDescent="0.2">
      <c r="BH170" s="25"/>
      <c r="BI170" s="25"/>
      <c r="BJ170" s="25"/>
      <c r="BK170" s="25"/>
    </row>
    <row r="171" spans="60:63" ht="14.25" x14ac:dyDescent="0.2">
      <c r="BH171" s="25"/>
      <c r="BI171" s="25"/>
      <c r="BJ171" s="25"/>
      <c r="BK171" s="25"/>
    </row>
    <row r="172" spans="60:63" ht="14.25" x14ac:dyDescent="0.2">
      <c r="BH172" s="25"/>
      <c r="BI172" s="25"/>
      <c r="BJ172" s="25"/>
      <c r="BK172" s="25"/>
    </row>
    <row r="173" spans="60:63" ht="14.25" x14ac:dyDescent="0.2">
      <c r="BH173" s="25"/>
      <c r="BI173" s="25"/>
      <c r="BJ173" s="25"/>
      <c r="BK173" s="25"/>
    </row>
    <row r="174" spans="60:63" ht="14.25" x14ac:dyDescent="0.2">
      <c r="BH174" s="25"/>
      <c r="BI174" s="25"/>
      <c r="BJ174" s="25"/>
      <c r="BK174" s="25"/>
    </row>
    <row r="175" spans="60:63" ht="14.25" x14ac:dyDescent="0.2">
      <c r="BH175" s="25"/>
      <c r="BI175" s="25"/>
      <c r="BJ175" s="25"/>
      <c r="BK175" s="25"/>
    </row>
    <row r="176" spans="60:63" ht="14.25" x14ac:dyDescent="0.2">
      <c r="BH176" s="25"/>
      <c r="BI176" s="25"/>
      <c r="BJ176" s="25"/>
      <c r="BK176" s="25"/>
    </row>
    <row r="177" spans="60:63" ht="14.25" x14ac:dyDescent="0.2">
      <c r="BH177" s="25"/>
      <c r="BI177" s="25"/>
      <c r="BJ177" s="25"/>
      <c r="BK177" s="25"/>
    </row>
    <row r="178" spans="60:63" ht="14.25" x14ac:dyDescent="0.2">
      <c r="BH178" s="25"/>
      <c r="BI178" s="25"/>
      <c r="BJ178" s="25"/>
      <c r="BK178" s="25"/>
    </row>
    <row r="179" spans="60:63" ht="14.25" x14ac:dyDescent="0.2">
      <c r="BH179" s="25"/>
      <c r="BI179" s="25"/>
      <c r="BJ179" s="25"/>
      <c r="BK179" s="25"/>
    </row>
    <row r="180" spans="60:63" ht="14.25" x14ac:dyDescent="0.2">
      <c r="BH180" s="25"/>
      <c r="BI180" s="25"/>
      <c r="BJ180" s="25"/>
      <c r="BK180" s="25"/>
    </row>
    <row r="181" spans="60:63" ht="14.25" x14ac:dyDescent="0.2">
      <c r="BH181" s="25"/>
      <c r="BI181" s="25"/>
      <c r="BJ181" s="25"/>
      <c r="BK181" s="25"/>
    </row>
    <row r="182" spans="60:63" ht="14.25" x14ac:dyDescent="0.2">
      <c r="BH182" s="25"/>
      <c r="BI182" s="25"/>
      <c r="BJ182" s="25"/>
      <c r="BK182" s="25"/>
    </row>
    <row r="183" spans="60:63" ht="14.25" x14ac:dyDescent="0.2">
      <c r="BH183" s="25"/>
      <c r="BI183" s="25"/>
      <c r="BJ183" s="25"/>
      <c r="BK183" s="25"/>
    </row>
    <row r="184" spans="60:63" ht="14.25" x14ac:dyDescent="0.2">
      <c r="BH184" s="25"/>
      <c r="BI184" s="25"/>
      <c r="BJ184" s="25"/>
      <c r="BK184" s="25"/>
    </row>
    <row r="185" spans="60:63" ht="14.25" x14ac:dyDescent="0.2">
      <c r="BH185" s="25"/>
      <c r="BI185" s="25"/>
      <c r="BJ185" s="25"/>
      <c r="BK185" s="25"/>
    </row>
    <row r="186" spans="60:63" ht="14.25" x14ac:dyDescent="0.2">
      <c r="BH186" s="25"/>
      <c r="BI186" s="25"/>
      <c r="BJ186" s="25"/>
      <c r="BK186" s="25"/>
    </row>
    <row r="187" spans="60:63" ht="14.25" x14ac:dyDescent="0.2">
      <c r="BH187" s="25"/>
      <c r="BI187" s="25"/>
      <c r="BJ187" s="25"/>
      <c r="BK187" s="25"/>
    </row>
    <row r="188" spans="60:63" ht="14.25" x14ac:dyDescent="0.2">
      <c r="BH188" s="25"/>
      <c r="BI188" s="25"/>
      <c r="BJ188" s="25"/>
      <c r="BK188" s="25"/>
    </row>
    <row r="189" spans="60:63" ht="14.25" x14ac:dyDescent="0.2">
      <c r="BH189" s="25"/>
      <c r="BI189" s="25"/>
      <c r="BJ189" s="25"/>
      <c r="BK189" s="25"/>
    </row>
    <row r="190" spans="60:63" ht="14.25" x14ac:dyDescent="0.2">
      <c r="BH190" s="25"/>
      <c r="BI190" s="25"/>
      <c r="BJ190" s="25"/>
      <c r="BK190" s="25"/>
    </row>
    <row r="191" spans="60:63" ht="14.25" x14ac:dyDescent="0.2">
      <c r="BH191" s="25"/>
      <c r="BI191" s="25"/>
      <c r="BJ191" s="25"/>
      <c r="BK191" s="25"/>
    </row>
    <row r="192" spans="60:63" ht="14.25" x14ac:dyDescent="0.2">
      <c r="BH192" s="25"/>
      <c r="BI192" s="25"/>
      <c r="BJ192" s="25"/>
      <c r="BK192" s="25"/>
    </row>
    <row r="193" spans="60:63" ht="14.25" x14ac:dyDescent="0.2">
      <c r="BH193" s="25"/>
      <c r="BI193" s="25"/>
      <c r="BJ193" s="25"/>
      <c r="BK193" s="25"/>
    </row>
    <row r="194" spans="60:63" ht="14.25" x14ac:dyDescent="0.2">
      <c r="BH194" s="25"/>
      <c r="BI194" s="25"/>
      <c r="BJ194" s="25"/>
      <c r="BK194" s="25"/>
    </row>
    <row r="195" spans="60:63" ht="14.25" x14ac:dyDescent="0.2">
      <c r="BH195" s="25"/>
      <c r="BI195" s="25"/>
      <c r="BJ195" s="25"/>
      <c r="BK195" s="25"/>
    </row>
    <row r="196" spans="60:63" ht="14.25" x14ac:dyDescent="0.2">
      <c r="BH196" s="25"/>
      <c r="BI196" s="25"/>
      <c r="BJ196" s="25"/>
      <c r="BK196" s="25"/>
    </row>
    <row r="197" spans="60:63" ht="14.25" x14ac:dyDescent="0.2">
      <c r="BH197" s="25"/>
      <c r="BI197" s="25"/>
      <c r="BJ197" s="25"/>
      <c r="BK197" s="25"/>
    </row>
    <row r="198" spans="60:63" ht="14.25" x14ac:dyDescent="0.2">
      <c r="BH198" s="25"/>
      <c r="BI198" s="25"/>
      <c r="BJ198" s="25"/>
      <c r="BK198" s="25"/>
    </row>
    <row r="199" spans="60:63" ht="14.25" x14ac:dyDescent="0.2">
      <c r="BH199" s="25"/>
      <c r="BI199" s="25"/>
      <c r="BJ199" s="25"/>
      <c r="BK199" s="25"/>
    </row>
    <row r="200" spans="60:63" ht="14.25" x14ac:dyDescent="0.2">
      <c r="BH200" s="25"/>
      <c r="BI200" s="25"/>
      <c r="BJ200" s="25"/>
      <c r="BK200" s="25"/>
    </row>
    <row r="201" spans="60:63" ht="14.25" x14ac:dyDescent="0.2">
      <c r="BH201" s="25"/>
      <c r="BI201" s="25"/>
      <c r="BJ201" s="25"/>
      <c r="BK201" s="25"/>
    </row>
    <row r="202" spans="60:63" ht="14.25" x14ac:dyDescent="0.2">
      <c r="BH202" s="25"/>
      <c r="BI202" s="25"/>
      <c r="BJ202" s="25"/>
      <c r="BK202" s="25"/>
    </row>
    <row r="203" spans="60:63" ht="14.25" x14ac:dyDescent="0.2">
      <c r="BH203" s="25"/>
      <c r="BI203" s="25"/>
      <c r="BJ203" s="25"/>
      <c r="BK203" s="25"/>
    </row>
    <row r="204" spans="60:63" ht="14.25" x14ac:dyDescent="0.2">
      <c r="BH204" s="25"/>
      <c r="BI204" s="25"/>
      <c r="BJ204" s="25"/>
      <c r="BK204" s="25"/>
    </row>
    <row r="205" spans="60:63" ht="14.25" x14ac:dyDescent="0.2">
      <c r="BH205" s="25"/>
      <c r="BI205" s="25"/>
      <c r="BJ205" s="25"/>
      <c r="BK205" s="25"/>
    </row>
    <row r="206" spans="60:63" ht="14.25" x14ac:dyDescent="0.2">
      <c r="BH206" s="25"/>
      <c r="BI206" s="25"/>
      <c r="BJ206" s="25"/>
      <c r="BK206" s="25"/>
    </row>
    <row r="207" spans="60:63" ht="14.25" x14ac:dyDescent="0.2">
      <c r="BH207" s="25"/>
      <c r="BI207" s="25"/>
      <c r="BJ207" s="25"/>
      <c r="BK207" s="25"/>
    </row>
    <row r="208" spans="60:63" ht="14.25" x14ac:dyDescent="0.2">
      <c r="BH208" s="25"/>
      <c r="BI208" s="25"/>
      <c r="BJ208" s="25"/>
      <c r="BK208" s="25"/>
    </row>
    <row r="209" spans="60:63" ht="14.25" x14ac:dyDescent="0.2">
      <c r="BH209" s="25"/>
      <c r="BI209" s="25"/>
      <c r="BJ209" s="25"/>
      <c r="BK209" s="25"/>
    </row>
    <row r="210" spans="60:63" ht="14.25" x14ac:dyDescent="0.2">
      <c r="BH210" s="25"/>
      <c r="BI210" s="25"/>
      <c r="BJ210" s="25"/>
      <c r="BK210" s="25"/>
    </row>
    <row r="211" spans="60:63" ht="14.25" x14ac:dyDescent="0.2">
      <c r="BH211" s="25"/>
      <c r="BI211" s="25"/>
      <c r="BJ211" s="25"/>
      <c r="BK211" s="25"/>
    </row>
    <row r="212" spans="60:63" ht="14.25" x14ac:dyDescent="0.2">
      <c r="BH212" s="25"/>
      <c r="BI212" s="25"/>
      <c r="BJ212" s="25"/>
      <c r="BK212" s="25"/>
    </row>
    <row r="213" spans="60:63" ht="14.25" x14ac:dyDescent="0.2">
      <c r="BH213" s="25"/>
      <c r="BI213" s="25"/>
      <c r="BJ213" s="25"/>
      <c r="BK213" s="25"/>
    </row>
    <row r="214" spans="60:63" ht="14.25" x14ac:dyDescent="0.2">
      <c r="BH214" s="25"/>
      <c r="BI214" s="25"/>
      <c r="BJ214" s="25"/>
      <c r="BK214" s="25"/>
    </row>
    <row r="215" spans="60:63" ht="14.25" x14ac:dyDescent="0.2">
      <c r="BH215" s="25"/>
      <c r="BI215" s="25"/>
      <c r="BJ215" s="25"/>
      <c r="BK215" s="25"/>
    </row>
    <row r="216" spans="60:63" ht="14.25" x14ac:dyDescent="0.2">
      <c r="BH216" s="25"/>
      <c r="BI216" s="25"/>
      <c r="BJ216" s="25"/>
      <c r="BK216" s="25"/>
    </row>
    <row r="217" spans="60:63" ht="14.25" x14ac:dyDescent="0.2">
      <c r="BH217" s="25"/>
      <c r="BI217" s="25"/>
      <c r="BJ217" s="25"/>
      <c r="BK217" s="25"/>
    </row>
    <row r="218" spans="60:63" ht="14.25" x14ac:dyDescent="0.2">
      <c r="BH218" s="25"/>
      <c r="BI218" s="25"/>
      <c r="BJ218" s="25"/>
      <c r="BK218" s="25"/>
    </row>
    <row r="219" spans="60:63" ht="14.25" x14ac:dyDescent="0.2">
      <c r="BH219" s="25"/>
      <c r="BI219" s="25"/>
      <c r="BJ219" s="25"/>
      <c r="BK219" s="25"/>
    </row>
    <row r="220" spans="60:63" ht="14.25" x14ac:dyDescent="0.2">
      <c r="BH220" s="25"/>
      <c r="BI220" s="25"/>
      <c r="BJ220" s="25"/>
      <c r="BK220" s="25"/>
    </row>
    <row r="221" spans="60:63" ht="14.25" x14ac:dyDescent="0.2">
      <c r="BH221" s="25"/>
      <c r="BI221" s="25"/>
      <c r="BJ221" s="25"/>
      <c r="BK221" s="25"/>
    </row>
    <row r="222" spans="60:63" ht="14.25" x14ac:dyDescent="0.2">
      <c r="BH222" s="25"/>
      <c r="BI222" s="25"/>
      <c r="BJ222" s="25"/>
      <c r="BK222" s="25"/>
    </row>
    <row r="223" spans="60:63" ht="14.25" x14ac:dyDescent="0.2">
      <c r="BH223" s="25"/>
      <c r="BI223" s="25"/>
      <c r="BJ223" s="25"/>
      <c r="BK223" s="25"/>
    </row>
    <row r="224" spans="60:63" ht="14.25" x14ac:dyDescent="0.2">
      <c r="BH224" s="25"/>
      <c r="BI224" s="25"/>
      <c r="BJ224" s="25"/>
      <c r="BK224" s="25"/>
    </row>
    <row r="225" spans="60:63" ht="14.25" x14ac:dyDescent="0.2">
      <c r="BH225" s="25"/>
      <c r="BI225" s="25"/>
      <c r="BJ225" s="25"/>
      <c r="BK225" s="25"/>
    </row>
    <row r="226" spans="60:63" ht="14.25" x14ac:dyDescent="0.2">
      <c r="BH226" s="25"/>
      <c r="BI226" s="25"/>
      <c r="BJ226" s="25"/>
      <c r="BK226" s="25"/>
    </row>
    <row r="227" spans="60:63" ht="14.25" x14ac:dyDescent="0.2">
      <c r="BH227" s="25"/>
      <c r="BI227" s="25"/>
      <c r="BJ227" s="25"/>
      <c r="BK227" s="25"/>
    </row>
    <row r="228" spans="60:63" ht="14.25" x14ac:dyDescent="0.2">
      <c r="BH228" s="25"/>
      <c r="BI228" s="25"/>
      <c r="BJ228" s="25"/>
      <c r="BK228" s="25"/>
    </row>
    <row r="229" spans="60:63" ht="14.25" x14ac:dyDescent="0.2">
      <c r="BH229" s="25"/>
      <c r="BI229" s="25"/>
      <c r="BJ229" s="25"/>
      <c r="BK229" s="25"/>
    </row>
    <row r="230" spans="60:63" ht="14.25" x14ac:dyDescent="0.2">
      <c r="BH230" s="25"/>
      <c r="BI230" s="25"/>
      <c r="BJ230" s="25"/>
      <c r="BK230" s="25"/>
    </row>
    <row r="231" spans="60:63" ht="14.25" x14ac:dyDescent="0.2">
      <c r="BH231" s="25"/>
      <c r="BI231" s="25"/>
      <c r="BJ231" s="25"/>
      <c r="BK231" s="25"/>
    </row>
    <row r="232" spans="60:63" ht="14.25" x14ac:dyDescent="0.2">
      <c r="BH232" s="25"/>
      <c r="BI232" s="25"/>
      <c r="BJ232" s="25"/>
      <c r="BK232" s="25"/>
    </row>
    <row r="233" spans="60:63" ht="14.25" x14ac:dyDescent="0.2">
      <c r="BH233" s="25"/>
      <c r="BI233" s="25"/>
      <c r="BJ233" s="25"/>
      <c r="BK233" s="25"/>
    </row>
    <row r="234" spans="60:63" ht="14.25" x14ac:dyDescent="0.2">
      <c r="BH234" s="25"/>
      <c r="BI234" s="25"/>
      <c r="BJ234" s="25"/>
      <c r="BK234" s="25"/>
    </row>
    <row r="235" spans="60:63" ht="14.25" x14ac:dyDescent="0.2">
      <c r="BH235" s="25"/>
      <c r="BI235" s="25"/>
      <c r="BJ235" s="25"/>
      <c r="BK235" s="25"/>
    </row>
    <row r="236" spans="60:63" ht="14.25" x14ac:dyDescent="0.2">
      <c r="BH236" s="25"/>
      <c r="BI236" s="25"/>
      <c r="BJ236" s="25"/>
      <c r="BK236" s="25"/>
    </row>
    <row r="237" spans="60:63" ht="14.25" x14ac:dyDescent="0.2">
      <c r="BH237" s="25"/>
      <c r="BI237" s="25"/>
      <c r="BJ237" s="25"/>
      <c r="BK237" s="25"/>
    </row>
    <row r="238" spans="60:63" ht="14.25" x14ac:dyDescent="0.2">
      <c r="BH238" s="25"/>
      <c r="BI238" s="25"/>
      <c r="BJ238" s="25"/>
      <c r="BK238" s="25"/>
    </row>
    <row r="239" spans="60:63" ht="14.25" x14ac:dyDescent="0.2">
      <c r="BH239" s="25"/>
      <c r="BI239" s="25"/>
      <c r="BJ239" s="25"/>
      <c r="BK239" s="25"/>
    </row>
    <row r="240" spans="60:63" ht="14.25" x14ac:dyDescent="0.2">
      <c r="BH240" s="25"/>
      <c r="BI240" s="25"/>
      <c r="BJ240" s="25"/>
      <c r="BK240" s="25"/>
    </row>
    <row r="241" spans="60:63" ht="14.25" x14ac:dyDescent="0.2">
      <c r="BH241" s="25"/>
      <c r="BI241" s="25"/>
      <c r="BJ241" s="25"/>
      <c r="BK241" s="25"/>
    </row>
    <row r="242" spans="60:63" ht="14.25" x14ac:dyDescent="0.2">
      <c r="BH242" s="25"/>
      <c r="BI242" s="25"/>
      <c r="BJ242" s="25"/>
      <c r="BK242" s="25"/>
    </row>
    <row r="243" spans="60:63" ht="14.25" x14ac:dyDescent="0.2">
      <c r="BH243" s="25"/>
      <c r="BI243" s="25"/>
      <c r="BJ243" s="25"/>
      <c r="BK243" s="25"/>
    </row>
    <row r="244" spans="60:63" ht="14.25" x14ac:dyDescent="0.2">
      <c r="BH244" s="25"/>
      <c r="BI244" s="25"/>
      <c r="BJ244" s="25"/>
      <c r="BK244" s="25"/>
    </row>
    <row r="245" spans="60:63" ht="14.25" x14ac:dyDescent="0.2">
      <c r="BH245" s="25"/>
      <c r="BI245" s="25"/>
      <c r="BJ245" s="25"/>
      <c r="BK245" s="25"/>
    </row>
    <row r="246" spans="60:63" ht="14.25" x14ac:dyDescent="0.2">
      <c r="BH246" s="25"/>
      <c r="BI246" s="25"/>
      <c r="BJ246" s="25"/>
      <c r="BK246" s="25"/>
    </row>
    <row r="247" spans="60:63" ht="14.25" x14ac:dyDescent="0.2">
      <c r="BH247" s="25"/>
      <c r="BI247" s="25"/>
      <c r="BJ247" s="25"/>
      <c r="BK247" s="25"/>
    </row>
    <row r="248" spans="60:63" ht="14.25" x14ac:dyDescent="0.2">
      <c r="BH248" s="25"/>
      <c r="BI248" s="25"/>
      <c r="BJ248" s="25"/>
      <c r="BK248" s="25"/>
    </row>
    <row r="249" spans="60:63" ht="14.25" x14ac:dyDescent="0.2">
      <c r="BH249" s="25"/>
      <c r="BI249" s="25"/>
      <c r="BJ249" s="25"/>
      <c r="BK249" s="25"/>
    </row>
    <row r="250" spans="60:63" ht="14.25" x14ac:dyDescent="0.2">
      <c r="BH250" s="25"/>
      <c r="BI250" s="25"/>
      <c r="BJ250" s="25"/>
      <c r="BK250" s="25"/>
    </row>
    <row r="251" spans="60:63" ht="14.25" x14ac:dyDescent="0.2">
      <c r="BH251" s="25"/>
      <c r="BI251" s="25"/>
      <c r="BJ251" s="25"/>
      <c r="BK251" s="25"/>
    </row>
    <row r="252" spans="60:63" ht="14.25" x14ac:dyDescent="0.2">
      <c r="BH252" s="25"/>
      <c r="BI252" s="25"/>
      <c r="BJ252" s="25"/>
      <c r="BK252" s="25"/>
    </row>
    <row r="253" spans="60:63" ht="14.25" x14ac:dyDescent="0.2">
      <c r="BH253" s="25"/>
      <c r="BI253" s="25"/>
      <c r="BJ253" s="25"/>
      <c r="BK253" s="25"/>
    </row>
    <row r="254" spans="60:63" ht="14.25" x14ac:dyDescent="0.2">
      <c r="BH254" s="25"/>
      <c r="BI254" s="25"/>
      <c r="BJ254" s="25"/>
      <c r="BK254" s="25"/>
    </row>
    <row r="255" spans="60:63" ht="14.25" x14ac:dyDescent="0.2">
      <c r="BH255" s="25"/>
      <c r="BI255" s="25"/>
      <c r="BJ255" s="25"/>
      <c r="BK255" s="25"/>
    </row>
    <row r="256" spans="60:63" ht="14.25" x14ac:dyDescent="0.2">
      <c r="BH256" s="25"/>
      <c r="BI256" s="25"/>
      <c r="BJ256" s="25"/>
      <c r="BK256" s="25"/>
    </row>
    <row r="257" spans="60:63" ht="14.25" x14ac:dyDescent="0.2">
      <c r="BH257" s="25"/>
      <c r="BI257" s="25"/>
      <c r="BJ257" s="25"/>
      <c r="BK257" s="25"/>
    </row>
    <row r="258" spans="60:63" ht="14.25" x14ac:dyDescent="0.2">
      <c r="BH258" s="25"/>
      <c r="BI258" s="25"/>
      <c r="BJ258" s="25"/>
      <c r="BK258" s="25"/>
    </row>
    <row r="259" spans="60:63" ht="14.25" x14ac:dyDescent="0.2">
      <c r="BH259" s="25"/>
      <c r="BI259" s="25"/>
      <c r="BJ259" s="25"/>
      <c r="BK259" s="25"/>
    </row>
    <row r="260" spans="60:63" ht="14.25" x14ac:dyDescent="0.2">
      <c r="BH260" s="25"/>
      <c r="BI260" s="25"/>
      <c r="BJ260" s="25"/>
      <c r="BK260" s="25"/>
    </row>
    <row r="261" spans="60:63" ht="14.25" x14ac:dyDescent="0.2">
      <c r="BH261" s="25"/>
      <c r="BI261" s="25"/>
      <c r="BJ261" s="25"/>
      <c r="BK261" s="25"/>
    </row>
    <row r="262" spans="60:63" ht="14.25" x14ac:dyDescent="0.2">
      <c r="BH262" s="25"/>
      <c r="BI262" s="25"/>
      <c r="BJ262" s="25"/>
      <c r="BK262" s="25"/>
    </row>
    <row r="263" spans="60:63" ht="14.25" x14ac:dyDescent="0.2">
      <c r="BH263" s="25"/>
      <c r="BI263" s="25"/>
      <c r="BJ263" s="25"/>
      <c r="BK263" s="25"/>
    </row>
    <row r="264" spans="60:63" ht="14.25" x14ac:dyDescent="0.2">
      <c r="BH264" s="25"/>
      <c r="BI264" s="25"/>
      <c r="BJ264" s="25"/>
      <c r="BK264" s="25"/>
    </row>
    <row r="265" spans="60:63" ht="14.25" x14ac:dyDescent="0.2">
      <c r="BH265" s="25"/>
      <c r="BI265" s="25"/>
      <c r="BJ265" s="25"/>
      <c r="BK265" s="25"/>
    </row>
    <row r="266" spans="60:63" ht="14.25" x14ac:dyDescent="0.2">
      <c r="BH266" s="25"/>
      <c r="BI266" s="25"/>
      <c r="BJ266" s="25"/>
      <c r="BK266" s="25"/>
    </row>
    <row r="267" spans="60:63" ht="14.25" x14ac:dyDescent="0.2">
      <c r="BH267" s="25"/>
      <c r="BI267" s="25"/>
      <c r="BJ267" s="25"/>
      <c r="BK267" s="25"/>
    </row>
    <row r="268" spans="60:63" ht="14.25" x14ac:dyDescent="0.2">
      <c r="BH268" s="25"/>
      <c r="BI268" s="25"/>
      <c r="BJ268" s="25"/>
      <c r="BK268" s="25"/>
    </row>
    <row r="269" spans="60:63" ht="14.25" x14ac:dyDescent="0.2">
      <c r="BH269" s="25"/>
      <c r="BI269" s="25"/>
      <c r="BJ269" s="25"/>
      <c r="BK269" s="25"/>
    </row>
    <row r="270" spans="60:63" ht="14.25" x14ac:dyDescent="0.2">
      <c r="BH270" s="25"/>
      <c r="BI270" s="25"/>
      <c r="BJ270" s="25"/>
      <c r="BK270" s="25"/>
    </row>
    <row r="271" spans="60:63" ht="14.25" x14ac:dyDescent="0.2">
      <c r="BH271" s="25"/>
      <c r="BI271" s="25"/>
      <c r="BJ271" s="25"/>
      <c r="BK271" s="25"/>
    </row>
    <row r="272" spans="60:63" ht="14.25" x14ac:dyDescent="0.2">
      <c r="BH272" s="25"/>
      <c r="BI272" s="25"/>
      <c r="BJ272" s="25"/>
      <c r="BK272" s="25"/>
    </row>
    <row r="273" spans="60:63" ht="14.25" x14ac:dyDescent="0.2">
      <c r="BH273" s="25"/>
      <c r="BI273" s="25"/>
      <c r="BJ273" s="25"/>
      <c r="BK273" s="25"/>
    </row>
    <row r="274" spans="60:63" ht="14.25" x14ac:dyDescent="0.2">
      <c r="BH274" s="25"/>
      <c r="BI274" s="25"/>
      <c r="BJ274" s="25"/>
      <c r="BK274" s="25"/>
    </row>
    <row r="275" spans="60:63" ht="14.25" x14ac:dyDescent="0.2">
      <c r="BH275" s="25"/>
      <c r="BI275" s="25"/>
      <c r="BJ275" s="25"/>
      <c r="BK275" s="25"/>
    </row>
    <row r="276" spans="60:63" ht="14.25" x14ac:dyDescent="0.2">
      <c r="BH276" s="25"/>
      <c r="BI276" s="25"/>
      <c r="BJ276" s="25"/>
      <c r="BK276" s="25"/>
    </row>
    <row r="277" spans="60:63" ht="14.25" x14ac:dyDescent="0.2">
      <c r="BH277" s="25"/>
      <c r="BI277" s="25"/>
      <c r="BJ277" s="25"/>
      <c r="BK277" s="25"/>
    </row>
    <row r="278" spans="60:63" ht="14.25" x14ac:dyDescent="0.2">
      <c r="BH278" s="25"/>
      <c r="BI278" s="25"/>
      <c r="BJ278" s="25"/>
      <c r="BK278" s="25"/>
    </row>
    <row r="279" spans="60:63" ht="14.25" x14ac:dyDescent="0.2">
      <c r="BH279" s="25"/>
      <c r="BI279" s="25"/>
      <c r="BJ279" s="25"/>
      <c r="BK279" s="25"/>
    </row>
    <row r="280" spans="60:63" ht="14.25" x14ac:dyDescent="0.2">
      <c r="BH280" s="25"/>
      <c r="BI280" s="25"/>
      <c r="BJ280" s="25"/>
      <c r="BK280" s="25"/>
    </row>
    <row r="281" spans="60:63" ht="14.25" x14ac:dyDescent="0.2">
      <c r="BH281" s="25"/>
      <c r="BI281" s="25"/>
      <c r="BJ281" s="25"/>
      <c r="BK281" s="25"/>
    </row>
    <row r="282" spans="60:63" ht="14.25" x14ac:dyDescent="0.2">
      <c r="BH282" s="25"/>
      <c r="BI282" s="25"/>
      <c r="BJ282" s="25"/>
      <c r="BK282" s="25"/>
    </row>
    <row r="283" spans="60:63" ht="14.25" x14ac:dyDescent="0.2">
      <c r="BH283" s="25"/>
      <c r="BI283" s="25"/>
      <c r="BJ283" s="25"/>
      <c r="BK283" s="25"/>
    </row>
    <row r="284" spans="60:63" ht="14.25" x14ac:dyDescent="0.2">
      <c r="BH284" s="25"/>
      <c r="BI284" s="25"/>
      <c r="BJ284" s="25"/>
      <c r="BK284" s="25"/>
    </row>
    <row r="285" spans="60:63" ht="14.25" x14ac:dyDescent="0.2">
      <c r="BH285" s="25"/>
      <c r="BI285" s="25"/>
      <c r="BJ285" s="25"/>
      <c r="BK285" s="25"/>
    </row>
    <row r="286" spans="60:63" ht="14.25" x14ac:dyDescent="0.2">
      <c r="BH286" s="25"/>
      <c r="BI286" s="25"/>
      <c r="BJ286" s="25"/>
      <c r="BK286" s="25"/>
    </row>
    <row r="287" spans="60:63" ht="14.25" x14ac:dyDescent="0.2">
      <c r="BH287" s="25"/>
      <c r="BI287" s="25"/>
      <c r="BJ287" s="25"/>
      <c r="BK287" s="25"/>
    </row>
    <row r="288" spans="60:63" ht="14.25" x14ac:dyDescent="0.2">
      <c r="BH288" s="25"/>
      <c r="BI288" s="25"/>
      <c r="BJ288" s="25"/>
      <c r="BK288" s="25"/>
    </row>
    <row r="289" spans="60:63" ht="14.25" x14ac:dyDescent="0.2">
      <c r="BH289" s="25"/>
      <c r="BI289" s="25"/>
      <c r="BJ289" s="25"/>
      <c r="BK289" s="25"/>
    </row>
    <row r="290" spans="60:63" ht="14.25" x14ac:dyDescent="0.2">
      <c r="BH290" s="25"/>
      <c r="BI290" s="25"/>
      <c r="BJ290" s="25"/>
      <c r="BK290" s="25"/>
    </row>
    <row r="291" spans="60:63" ht="14.25" x14ac:dyDescent="0.2">
      <c r="BH291" s="25"/>
      <c r="BI291" s="25"/>
      <c r="BJ291" s="25"/>
      <c r="BK291" s="25"/>
    </row>
    <row r="292" spans="60:63" ht="14.25" x14ac:dyDescent="0.2">
      <c r="BH292" s="25"/>
      <c r="BI292" s="25"/>
      <c r="BJ292" s="25"/>
      <c r="BK292" s="25"/>
    </row>
    <row r="293" spans="60:63" ht="14.25" x14ac:dyDescent="0.2">
      <c r="BH293" s="25"/>
      <c r="BI293" s="25"/>
      <c r="BJ293" s="25"/>
      <c r="BK293" s="25"/>
    </row>
    <row r="294" spans="60:63" ht="14.25" x14ac:dyDescent="0.2">
      <c r="BH294" s="25"/>
      <c r="BI294" s="25"/>
      <c r="BJ294" s="25"/>
      <c r="BK294" s="25"/>
    </row>
    <row r="295" spans="60:63" ht="14.25" x14ac:dyDescent="0.2">
      <c r="BH295" s="25"/>
      <c r="BI295" s="25"/>
      <c r="BJ295" s="25"/>
      <c r="BK295" s="25"/>
    </row>
    <row r="296" spans="60:63" ht="14.25" x14ac:dyDescent="0.2">
      <c r="BH296" s="25"/>
      <c r="BI296" s="25"/>
      <c r="BJ296" s="25"/>
      <c r="BK296" s="25"/>
    </row>
    <row r="297" spans="60:63" ht="14.25" x14ac:dyDescent="0.2">
      <c r="BH297" s="25"/>
      <c r="BI297" s="25"/>
      <c r="BJ297" s="25"/>
      <c r="BK297" s="25"/>
    </row>
    <row r="298" spans="60:63" ht="14.25" x14ac:dyDescent="0.2">
      <c r="BH298" s="25"/>
      <c r="BI298" s="25"/>
      <c r="BJ298" s="25"/>
      <c r="BK298" s="25"/>
    </row>
    <row r="299" spans="60:63" ht="14.25" x14ac:dyDescent="0.2">
      <c r="BH299" s="25"/>
      <c r="BI299" s="25"/>
      <c r="BJ299" s="25"/>
      <c r="BK299" s="25"/>
    </row>
    <row r="300" spans="60:63" ht="14.25" x14ac:dyDescent="0.2">
      <c r="BH300" s="25"/>
      <c r="BI300" s="25"/>
      <c r="BJ300" s="25"/>
      <c r="BK300" s="25"/>
    </row>
    <row r="301" spans="60:63" ht="14.25" x14ac:dyDescent="0.2">
      <c r="BH301" s="25"/>
      <c r="BI301" s="25"/>
      <c r="BJ301" s="25"/>
      <c r="BK301" s="25"/>
    </row>
    <row r="302" spans="60:63" ht="14.25" x14ac:dyDescent="0.2">
      <c r="BH302" s="25"/>
      <c r="BI302" s="25"/>
      <c r="BJ302" s="25"/>
      <c r="BK302" s="25"/>
    </row>
    <row r="303" spans="60:63" ht="14.25" x14ac:dyDescent="0.2">
      <c r="BH303" s="25"/>
      <c r="BI303" s="25"/>
      <c r="BJ303" s="25"/>
      <c r="BK303" s="25"/>
    </row>
    <row r="304" spans="60:63" ht="14.25" x14ac:dyDescent="0.2">
      <c r="BH304" s="25"/>
      <c r="BI304" s="25"/>
      <c r="BJ304" s="25"/>
      <c r="BK304" s="25"/>
    </row>
    <row r="305" spans="60:63" ht="14.25" x14ac:dyDescent="0.2">
      <c r="BH305" s="25"/>
      <c r="BI305" s="25"/>
      <c r="BJ305" s="25"/>
      <c r="BK305" s="25"/>
    </row>
    <row r="306" spans="60:63" ht="14.25" x14ac:dyDescent="0.2">
      <c r="BH306" s="25"/>
      <c r="BI306" s="25"/>
      <c r="BJ306" s="25"/>
      <c r="BK306" s="25"/>
    </row>
    <row r="307" spans="60:63" ht="14.25" x14ac:dyDescent="0.2">
      <c r="BH307" s="25"/>
      <c r="BI307" s="25"/>
      <c r="BJ307" s="25"/>
      <c r="BK307" s="25"/>
    </row>
    <row r="308" spans="60:63" ht="14.25" x14ac:dyDescent="0.2">
      <c r="BH308" s="25"/>
      <c r="BI308" s="25"/>
      <c r="BJ308" s="25"/>
      <c r="BK308" s="25"/>
    </row>
    <row r="309" spans="60:63" ht="14.25" x14ac:dyDescent="0.2">
      <c r="BH309" s="25"/>
      <c r="BI309" s="25"/>
      <c r="BJ309" s="25"/>
      <c r="BK309" s="25"/>
    </row>
    <row r="310" spans="60:63" ht="14.25" x14ac:dyDescent="0.2">
      <c r="BH310" s="25"/>
      <c r="BI310" s="25"/>
      <c r="BJ310" s="25"/>
      <c r="BK310" s="25"/>
    </row>
    <row r="311" spans="60:63" ht="14.25" x14ac:dyDescent="0.2">
      <c r="BH311" s="25"/>
      <c r="BI311" s="25"/>
      <c r="BJ311" s="25"/>
      <c r="BK311" s="25"/>
    </row>
    <row r="312" spans="60:63" ht="14.25" x14ac:dyDescent="0.2">
      <c r="BH312" s="25"/>
      <c r="BI312" s="25"/>
      <c r="BJ312" s="25"/>
      <c r="BK312" s="25"/>
    </row>
    <row r="313" spans="60:63" ht="14.25" x14ac:dyDescent="0.2">
      <c r="BH313" s="25"/>
      <c r="BI313" s="25"/>
      <c r="BJ313" s="25"/>
      <c r="BK313" s="25"/>
    </row>
    <row r="314" spans="60:63" ht="14.25" x14ac:dyDescent="0.2">
      <c r="BH314" s="25"/>
      <c r="BI314" s="25"/>
      <c r="BJ314" s="25"/>
      <c r="BK314" s="25"/>
    </row>
    <row r="315" spans="60:63" ht="14.25" x14ac:dyDescent="0.2">
      <c r="BH315" s="25"/>
      <c r="BI315" s="25"/>
      <c r="BJ315" s="25"/>
      <c r="BK315" s="25"/>
    </row>
    <row r="316" spans="60:63" ht="14.25" x14ac:dyDescent="0.2">
      <c r="BH316" s="25"/>
      <c r="BI316" s="25"/>
      <c r="BJ316" s="25"/>
      <c r="BK316" s="25"/>
    </row>
    <row r="317" spans="60:63" ht="14.25" x14ac:dyDescent="0.2">
      <c r="BH317" s="25"/>
      <c r="BI317" s="25"/>
      <c r="BJ317" s="25"/>
      <c r="BK317" s="25"/>
    </row>
    <row r="318" spans="60:63" ht="14.25" x14ac:dyDescent="0.2">
      <c r="BH318" s="25"/>
      <c r="BI318" s="25"/>
      <c r="BJ318" s="25"/>
      <c r="BK318" s="25"/>
    </row>
    <row r="319" spans="60:63" ht="14.25" x14ac:dyDescent="0.2">
      <c r="BH319" s="25"/>
      <c r="BI319" s="25"/>
      <c r="BJ319" s="25"/>
      <c r="BK319" s="25"/>
    </row>
    <row r="320" spans="60:63" ht="14.25" x14ac:dyDescent="0.2">
      <c r="BH320" s="25"/>
      <c r="BI320" s="25"/>
      <c r="BJ320" s="25"/>
      <c r="BK320" s="25"/>
    </row>
    <row r="321" spans="60:63" ht="14.25" x14ac:dyDescent="0.2">
      <c r="BH321" s="25"/>
      <c r="BI321" s="25"/>
      <c r="BJ321" s="25"/>
      <c r="BK321" s="25"/>
    </row>
    <row r="322" spans="60:63" ht="14.25" x14ac:dyDescent="0.2">
      <c r="BH322" s="25"/>
      <c r="BI322" s="25"/>
      <c r="BJ322" s="25"/>
      <c r="BK322" s="25"/>
    </row>
    <row r="323" spans="60:63" ht="14.25" x14ac:dyDescent="0.2">
      <c r="BH323" s="25"/>
      <c r="BI323" s="25"/>
      <c r="BJ323" s="25"/>
      <c r="BK323" s="25"/>
    </row>
    <row r="324" spans="60:63" ht="14.25" x14ac:dyDescent="0.2">
      <c r="BH324" s="25"/>
      <c r="BI324" s="25"/>
      <c r="BJ324" s="25"/>
      <c r="BK324" s="25"/>
    </row>
    <row r="325" spans="60:63" ht="14.25" x14ac:dyDescent="0.2">
      <c r="BH325" s="25"/>
      <c r="BI325" s="25"/>
      <c r="BJ325" s="25"/>
      <c r="BK325" s="25"/>
    </row>
    <row r="326" spans="60:63" ht="14.25" x14ac:dyDescent="0.2">
      <c r="BH326" s="25"/>
      <c r="BI326" s="25"/>
      <c r="BJ326" s="25"/>
      <c r="BK326" s="25"/>
    </row>
    <row r="327" spans="60:63" ht="14.25" x14ac:dyDescent="0.2">
      <c r="BH327" s="25"/>
      <c r="BI327" s="25"/>
      <c r="BJ327" s="25"/>
      <c r="BK327" s="25"/>
    </row>
    <row r="328" spans="60:63" ht="14.25" x14ac:dyDescent="0.2">
      <c r="BH328" s="25"/>
      <c r="BI328" s="25"/>
      <c r="BJ328" s="25"/>
      <c r="BK328" s="25"/>
    </row>
    <row r="329" spans="60:63" ht="14.25" x14ac:dyDescent="0.2">
      <c r="BH329" s="25"/>
      <c r="BI329" s="25"/>
      <c r="BJ329" s="25"/>
      <c r="BK329" s="25"/>
    </row>
    <row r="330" spans="60:63" ht="14.25" x14ac:dyDescent="0.2">
      <c r="BH330" s="25"/>
      <c r="BI330" s="25"/>
      <c r="BJ330" s="25"/>
      <c r="BK330" s="25"/>
    </row>
    <row r="331" spans="60:63" ht="14.25" x14ac:dyDescent="0.2">
      <c r="BH331" s="25"/>
      <c r="BI331" s="25"/>
      <c r="BJ331" s="25"/>
      <c r="BK331" s="25"/>
    </row>
    <row r="332" spans="60:63" ht="14.25" x14ac:dyDescent="0.2">
      <c r="BH332" s="25"/>
      <c r="BI332" s="25"/>
      <c r="BJ332" s="25"/>
      <c r="BK332" s="25"/>
    </row>
    <row r="333" spans="60:63" ht="14.25" x14ac:dyDescent="0.2">
      <c r="BH333" s="25"/>
      <c r="BI333" s="25"/>
      <c r="BJ333" s="25"/>
      <c r="BK333" s="25"/>
    </row>
    <row r="334" spans="60:63" ht="14.25" x14ac:dyDescent="0.2">
      <c r="BH334" s="25"/>
      <c r="BI334" s="25"/>
      <c r="BJ334" s="25"/>
      <c r="BK334" s="25"/>
    </row>
    <row r="335" spans="60:63" ht="14.25" x14ac:dyDescent="0.2">
      <c r="BH335" s="25"/>
      <c r="BI335" s="25"/>
      <c r="BJ335" s="25"/>
      <c r="BK335" s="25"/>
    </row>
    <row r="336" spans="60:63" ht="14.25" x14ac:dyDescent="0.2">
      <c r="BH336" s="25"/>
      <c r="BI336" s="25"/>
      <c r="BJ336" s="25"/>
      <c r="BK336" s="25"/>
    </row>
    <row r="337" spans="60:63" ht="14.25" x14ac:dyDescent="0.2">
      <c r="BH337" s="25"/>
      <c r="BI337" s="25"/>
      <c r="BJ337" s="25"/>
      <c r="BK337" s="25"/>
    </row>
    <row r="338" spans="60:63" ht="14.25" x14ac:dyDescent="0.2">
      <c r="BH338" s="25"/>
      <c r="BI338" s="25"/>
      <c r="BJ338" s="25"/>
      <c r="BK338" s="25"/>
    </row>
    <row r="339" spans="60:63" ht="14.25" x14ac:dyDescent="0.2">
      <c r="BH339" s="25"/>
      <c r="BI339" s="25"/>
      <c r="BJ339" s="25"/>
      <c r="BK339" s="25"/>
    </row>
    <row r="340" spans="60:63" ht="14.25" x14ac:dyDescent="0.2">
      <c r="BH340" s="25"/>
      <c r="BI340" s="25"/>
      <c r="BJ340" s="25"/>
      <c r="BK340" s="25"/>
    </row>
    <row r="341" spans="60:63" ht="14.25" x14ac:dyDescent="0.2">
      <c r="BH341" s="25"/>
      <c r="BI341" s="25"/>
      <c r="BJ341" s="25"/>
      <c r="BK341" s="25"/>
    </row>
    <row r="342" spans="60:63" ht="14.25" x14ac:dyDescent="0.2">
      <c r="BH342" s="25"/>
      <c r="BI342" s="25"/>
      <c r="BJ342" s="25"/>
      <c r="BK342" s="25"/>
    </row>
    <row r="343" spans="60:63" ht="14.25" x14ac:dyDescent="0.2">
      <c r="BH343" s="25"/>
      <c r="BI343" s="25"/>
      <c r="BJ343" s="25"/>
      <c r="BK343" s="25"/>
    </row>
    <row r="344" spans="60:63" ht="14.25" x14ac:dyDescent="0.2">
      <c r="BH344" s="25"/>
      <c r="BI344" s="25"/>
      <c r="BJ344" s="25"/>
      <c r="BK344" s="25"/>
    </row>
    <row r="345" spans="60:63" ht="14.25" x14ac:dyDescent="0.2">
      <c r="BH345" s="25"/>
      <c r="BI345" s="25"/>
      <c r="BJ345" s="25"/>
      <c r="BK345" s="25"/>
    </row>
    <row r="346" spans="60:63" ht="14.25" x14ac:dyDescent="0.2">
      <c r="BH346" s="25"/>
      <c r="BI346" s="25"/>
      <c r="BJ346" s="25"/>
      <c r="BK346" s="25"/>
    </row>
    <row r="347" spans="60:63" ht="14.25" x14ac:dyDescent="0.2">
      <c r="BH347" s="25"/>
      <c r="BI347" s="25"/>
      <c r="BJ347" s="25"/>
      <c r="BK347" s="25"/>
    </row>
    <row r="348" spans="60:63" ht="14.25" x14ac:dyDescent="0.2">
      <c r="BH348" s="25"/>
      <c r="BI348" s="25"/>
      <c r="BJ348" s="25"/>
      <c r="BK348" s="25"/>
    </row>
    <row r="349" spans="60:63" ht="14.25" x14ac:dyDescent="0.2">
      <c r="BH349" s="25"/>
      <c r="BI349" s="25"/>
      <c r="BJ349" s="25"/>
      <c r="BK349" s="25"/>
    </row>
    <row r="350" spans="60:63" ht="14.25" x14ac:dyDescent="0.2">
      <c r="BH350" s="25"/>
      <c r="BI350" s="25"/>
      <c r="BJ350" s="25"/>
      <c r="BK350" s="25"/>
    </row>
    <row r="351" spans="60:63" ht="14.25" x14ac:dyDescent="0.2">
      <c r="BH351" s="25"/>
      <c r="BI351" s="25"/>
      <c r="BJ351" s="25"/>
      <c r="BK351" s="25"/>
    </row>
    <row r="352" spans="60:63" ht="14.25" x14ac:dyDescent="0.2">
      <c r="BH352" s="25"/>
      <c r="BI352" s="25"/>
      <c r="BJ352" s="25"/>
      <c r="BK352" s="25"/>
    </row>
    <row r="353" spans="60:63" ht="14.25" x14ac:dyDescent="0.2">
      <c r="BH353" s="25"/>
      <c r="BI353" s="25"/>
      <c r="BJ353" s="25"/>
      <c r="BK353" s="25"/>
    </row>
    <row r="354" spans="60:63" ht="14.25" x14ac:dyDescent="0.2">
      <c r="BH354" s="25"/>
      <c r="BI354" s="25"/>
      <c r="BJ354" s="25"/>
      <c r="BK354" s="25"/>
    </row>
    <row r="355" spans="60:63" ht="14.25" x14ac:dyDescent="0.2">
      <c r="BH355" s="25"/>
      <c r="BI355" s="25"/>
      <c r="BJ355" s="25"/>
      <c r="BK355" s="25"/>
    </row>
    <row r="356" spans="60:63" ht="14.25" x14ac:dyDescent="0.2">
      <c r="BH356" s="25"/>
      <c r="BI356" s="25"/>
      <c r="BJ356" s="25"/>
      <c r="BK356" s="25"/>
    </row>
    <row r="357" spans="60:63" ht="14.25" x14ac:dyDescent="0.2">
      <c r="BH357" s="25"/>
      <c r="BI357" s="25"/>
      <c r="BJ357" s="25"/>
      <c r="BK357" s="25"/>
    </row>
    <row r="358" spans="60:63" ht="14.25" x14ac:dyDescent="0.2">
      <c r="BH358" s="25"/>
      <c r="BI358" s="25"/>
      <c r="BJ358" s="25"/>
      <c r="BK358" s="25"/>
    </row>
    <row r="359" spans="60:63" ht="14.25" x14ac:dyDescent="0.2">
      <c r="BH359" s="25"/>
      <c r="BI359" s="25"/>
      <c r="BJ359" s="25"/>
      <c r="BK359" s="25"/>
    </row>
    <row r="360" spans="60:63" ht="14.25" x14ac:dyDescent="0.2">
      <c r="BH360" s="25"/>
      <c r="BI360" s="25"/>
      <c r="BJ360" s="25"/>
      <c r="BK360" s="25"/>
    </row>
    <row r="361" spans="60:63" ht="14.25" x14ac:dyDescent="0.2">
      <c r="BH361" s="25"/>
      <c r="BI361" s="25"/>
      <c r="BJ361" s="25"/>
      <c r="BK361" s="25"/>
    </row>
    <row r="362" spans="60:63" ht="14.25" x14ac:dyDescent="0.2">
      <c r="BH362" s="25"/>
      <c r="BI362" s="25"/>
      <c r="BJ362" s="25"/>
      <c r="BK362" s="25"/>
    </row>
    <row r="363" spans="60:63" ht="14.25" x14ac:dyDescent="0.2">
      <c r="BH363" s="25"/>
      <c r="BI363" s="25"/>
      <c r="BJ363" s="25"/>
      <c r="BK363" s="25"/>
    </row>
    <row r="364" spans="60:63" ht="14.25" x14ac:dyDescent="0.2">
      <c r="BH364" s="25"/>
      <c r="BI364" s="25"/>
      <c r="BJ364" s="25"/>
      <c r="BK364" s="25"/>
    </row>
    <row r="365" spans="60:63" ht="14.25" x14ac:dyDescent="0.2">
      <c r="BH365" s="25"/>
      <c r="BI365" s="25"/>
      <c r="BJ365" s="25"/>
      <c r="BK365" s="25"/>
    </row>
    <row r="366" spans="60:63" ht="14.25" x14ac:dyDescent="0.2">
      <c r="BH366" s="25"/>
      <c r="BI366" s="25"/>
      <c r="BJ366" s="25"/>
      <c r="BK366" s="25"/>
    </row>
    <row r="367" spans="60:63" ht="14.25" x14ac:dyDescent="0.2">
      <c r="BH367" s="25"/>
      <c r="BI367" s="25"/>
      <c r="BJ367" s="25"/>
      <c r="BK367" s="25"/>
    </row>
    <row r="368" spans="60:63" ht="14.25" x14ac:dyDescent="0.2">
      <c r="BH368" s="25"/>
      <c r="BI368" s="25"/>
      <c r="BJ368" s="25"/>
      <c r="BK368" s="25"/>
    </row>
    <row r="369" spans="60:63" ht="14.25" x14ac:dyDescent="0.2">
      <c r="BH369" s="25"/>
      <c r="BI369" s="25"/>
      <c r="BJ369" s="25"/>
      <c r="BK369" s="25"/>
    </row>
    <row r="370" spans="60:63" ht="14.25" x14ac:dyDescent="0.2">
      <c r="BH370" s="25"/>
      <c r="BI370" s="25"/>
      <c r="BJ370" s="25"/>
      <c r="BK370" s="25"/>
    </row>
    <row r="371" spans="60:63" ht="14.25" x14ac:dyDescent="0.2">
      <c r="BH371" s="25"/>
      <c r="BI371" s="25"/>
      <c r="BJ371" s="25"/>
      <c r="BK371" s="25"/>
    </row>
    <row r="372" spans="60:63" ht="14.25" x14ac:dyDescent="0.2">
      <c r="BH372" s="25"/>
      <c r="BI372" s="25"/>
      <c r="BJ372" s="25"/>
      <c r="BK372" s="25"/>
    </row>
    <row r="373" spans="60:63" ht="14.25" x14ac:dyDescent="0.2">
      <c r="BH373" s="25"/>
      <c r="BI373" s="25"/>
      <c r="BJ373" s="25"/>
      <c r="BK373" s="25"/>
    </row>
    <row r="374" spans="60:63" ht="14.25" x14ac:dyDescent="0.2">
      <c r="BH374" s="25"/>
      <c r="BI374" s="25"/>
      <c r="BJ374" s="25"/>
      <c r="BK374" s="25"/>
    </row>
    <row r="375" spans="60:63" ht="14.25" x14ac:dyDescent="0.2">
      <c r="BH375" s="25"/>
      <c r="BI375" s="25"/>
      <c r="BJ375" s="25"/>
      <c r="BK375" s="25"/>
    </row>
    <row r="376" spans="60:63" ht="14.25" x14ac:dyDescent="0.2">
      <c r="BH376" s="25"/>
      <c r="BI376" s="25"/>
      <c r="BJ376" s="25"/>
      <c r="BK376" s="25"/>
    </row>
    <row r="377" spans="60:63" ht="14.25" x14ac:dyDescent="0.2">
      <c r="BH377" s="25"/>
      <c r="BI377" s="25"/>
      <c r="BJ377" s="25"/>
      <c r="BK377" s="25"/>
    </row>
    <row r="378" spans="60:63" ht="14.25" x14ac:dyDescent="0.2">
      <c r="BH378" s="25"/>
      <c r="BI378" s="25"/>
      <c r="BJ378" s="25"/>
      <c r="BK378" s="25"/>
    </row>
    <row r="379" spans="60:63" ht="14.25" x14ac:dyDescent="0.2">
      <c r="BH379" s="25"/>
      <c r="BI379" s="25"/>
      <c r="BJ379" s="25"/>
      <c r="BK379" s="25"/>
    </row>
    <row r="380" spans="60:63" ht="14.25" x14ac:dyDescent="0.2">
      <c r="BH380" s="25"/>
      <c r="BI380" s="25"/>
      <c r="BJ380" s="25"/>
      <c r="BK380" s="25"/>
    </row>
    <row r="381" spans="60:63" ht="14.25" x14ac:dyDescent="0.2">
      <c r="BH381" s="25"/>
      <c r="BI381" s="25"/>
      <c r="BJ381" s="25"/>
      <c r="BK381" s="25"/>
    </row>
    <row r="382" spans="60:63" ht="14.25" x14ac:dyDescent="0.2">
      <c r="BH382" s="25"/>
      <c r="BI382" s="25"/>
      <c r="BJ382" s="25"/>
      <c r="BK382" s="25"/>
    </row>
    <row r="383" spans="60:63" ht="14.25" x14ac:dyDescent="0.2">
      <c r="BH383" s="25"/>
      <c r="BI383" s="25"/>
      <c r="BJ383" s="25"/>
      <c r="BK383" s="25"/>
    </row>
    <row r="384" spans="60:63" ht="14.25" x14ac:dyDescent="0.2">
      <c r="BH384" s="25"/>
      <c r="BI384" s="25"/>
      <c r="BJ384" s="25"/>
      <c r="BK384" s="25"/>
    </row>
    <row r="385" spans="60:63" ht="14.25" x14ac:dyDescent="0.2">
      <c r="BH385" s="25"/>
      <c r="BI385" s="25"/>
      <c r="BJ385" s="25"/>
      <c r="BK385" s="25"/>
    </row>
    <row r="386" spans="60:63" ht="14.25" x14ac:dyDescent="0.2">
      <c r="BH386" s="25"/>
      <c r="BI386" s="25"/>
      <c r="BJ386" s="25"/>
      <c r="BK386" s="25"/>
    </row>
    <row r="387" spans="60:63" ht="14.25" x14ac:dyDescent="0.2">
      <c r="BH387" s="25"/>
      <c r="BI387" s="25"/>
      <c r="BJ387" s="25"/>
      <c r="BK387" s="25"/>
    </row>
    <row r="388" spans="60:63" ht="14.25" x14ac:dyDescent="0.2">
      <c r="BH388" s="25"/>
      <c r="BI388" s="25"/>
      <c r="BJ388" s="25"/>
      <c r="BK388" s="25"/>
    </row>
    <row r="389" spans="60:63" ht="14.25" x14ac:dyDescent="0.2">
      <c r="BH389" s="25"/>
      <c r="BI389" s="25"/>
      <c r="BJ389" s="25"/>
      <c r="BK389" s="25"/>
    </row>
    <row r="390" spans="60:63" ht="14.25" x14ac:dyDescent="0.2">
      <c r="BH390" s="25"/>
      <c r="BI390" s="25"/>
      <c r="BJ390" s="25"/>
      <c r="BK390" s="25"/>
    </row>
    <row r="391" spans="60:63" ht="14.25" x14ac:dyDescent="0.2">
      <c r="BH391" s="25"/>
      <c r="BI391" s="25"/>
      <c r="BJ391" s="25"/>
      <c r="BK391" s="25"/>
    </row>
    <row r="392" spans="60:63" ht="14.25" x14ac:dyDescent="0.2">
      <c r="BH392" s="25"/>
      <c r="BI392" s="25"/>
      <c r="BJ392" s="25"/>
      <c r="BK392" s="25"/>
    </row>
    <row r="393" spans="60:63" ht="14.25" x14ac:dyDescent="0.2">
      <c r="BH393" s="25"/>
      <c r="BI393" s="25"/>
      <c r="BJ393" s="25"/>
      <c r="BK393" s="25"/>
    </row>
    <row r="394" spans="60:63" ht="14.25" x14ac:dyDescent="0.2">
      <c r="BH394" s="25"/>
      <c r="BI394" s="25"/>
      <c r="BJ394" s="25"/>
      <c r="BK394" s="25"/>
    </row>
    <row r="395" spans="60:63" ht="14.25" x14ac:dyDescent="0.2">
      <c r="BH395" s="25"/>
      <c r="BI395" s="25"/>
      <c r="BJ395" s="25"/>
      <c r="BK395" s="25"/>
    </row>
    <row r="396" spans="60:63" ht="14.25" x14ac:dyDescent="0.2">
      <c r="BH396" s="25"/>
      <c r="BI396" s="25"/>
      <c r="BJ396" s="25"/>
      <c r="BK396" s="25"/>
    </row>
    <row r="397" spans="60:63" ht="14.25" x14ac:dyDescent="0.2">
      <c r="BH397" s="25"/>
      <c r="BI397" s="25"/>
      <c r="BJ397" s="25"/>
      <c r="BK397" s="25"/>
    </row>
    <row r="398" spans="60:63" ht="14.25" x14ac:dyDescent="0.2">
      <c r="BH398" s="25"/>
      <c r="BI398" s="25"/>
      <c r="BJ398" s="25"/>
      <c r="BK398" s="25"/>
    </row>
    <row r="399" spans="60:63" ht="14.25" x14ac:dyDescent="0.2">
      <c r="BH399" s="25"/>
      <c r="BI399" s="25"/>
      <c r="BJ399" s="25"/>
      <c r="BK399" s="25"/>
    </row>
    <row r="400" spans="60:63" ht="14.25" x14ac:dyDescent="0.2">
      <c r="BH400" s="25"/>
      <c r="BI400" s="25"/>
      <c r="BJ400" s="25"/>
      <c r="BK400" s="25"/>
    </row>
    <row r="401" spans="60:63" ht="14.25" x14ac:dyDescent="0.2">
      <c r="BH401" s="25"/>
      <c r="BI401" s="25"/>
      <c r="BJ401" s="25"/>
      <c r="BK401" s="25"/>
    </row>
    <row r="402" spans="60:63" ht="14.25" x14ac:dyDescent="0.2">
      <c r="BH402" s="25"/>
      <c r="BI402" s="25"/>
      <c r="BJ402" s="25"/>
      <c r="BK402" s="25"/>
    </row>
    <row r="403" spans="60:63" ht="14.25" x14ac:dyDescent="0.2">
      <c r="BH403" s="25"/>
      <c r="BI403" s="25"/>
      <c r="BJ403" s="25"/>
      <c r="BK403" s="25"/>
    </row>
    <row r="404" spans="60:63" ht="14.25" x14ac:dyDescent="0.2">
      <c r="BH404" s="25"/>
      <c r="BI404" s="25"/>
      <c r="BJ404" s="25"/>
      <c r="BK404" s="25"/>
    </row>
    <row r="405" spans="60:63" ht="14.25" x14ac:dyDescent="0.2">
      <c r="BH405" s="25"/>
      <c r="BI405" s="25"/>
      <c r="BJ405" s="25"/>
      <c r="BK405" s="25"/>
    </row>
    <row r="406" spans="60:63" ht="14.25" x14ac:dyDescent="0.2">
      <c r="BH406" s="25"/>
      <c r="BI406" s="25"/>
      <c r="BJ406" s="25"/>
      <c r="BK406" s="25"/>
    </row>
    <row r="407" spans="60:63" ht="14.25" x14ac:dyDescent="0.2">
      <c r="BH407" s="25"/>
      <c r="BI407" s="25"/>
      <c r="BJ407" s="25"/>
      <c r="BK407" s="25"/>
    </row>
    <row r="408" spans="60:63" ht="14.25" x14ac:dyDescent="0.2">
      <c r="BH408" s="25"/>
      <c r="BI408" s="25"/>
      <c r="BJ408" s="25"/>
      <c r="BK408" s="25"/>
    </row>
    <row r="409" spans="60:63" ht="14.25" x14ac:dyDescent="0.2">
      <c r="BH409" s="25"/>
      <c r="BI409" s="25"/>
      <c r="BJ409" s="25"/>
      <c r="BK409" s="25"/>
    </row>
    <row r="410" spans="60:63" ht="14.25" x14ac:dyDescent="0.2">
      <c r="BH410" s="25"/>
      <c r="BI410" s="25"/>
      <c r="BJ410" s="25"/>
      <c r="BK410" s="25"/>
    </row>
    <row r="411" spans="60:63" ht="14.25" x14ac:dyDescent="0.2">
      <c r="BH411" s="25"/>
      <c r="BI411" s="25"/>
      <c r="BJ411" s="25"/>
      <c r="BK411" s="25"/>
    </row>
    <row r="412" spans="60:63" ht="14.25" x14ac:dyDescent="0.2">
      <c r="BH412" s="25"/>
      <c r="BI412" s="25"/>
      <c r="BJ412" s="25"/>
      <c r="BK412" s="25"/>
    </row>
    <row r="413" spans="60:63" ht="14.25" x14ac:dyDescent="0.2">
      <c r="BH413" s="25"/>
      <c r="BI413" s="25"/>
      <c r="BJ413" s="25"/>
      <c r="BK413" s="25"/>
    </row>
    <row r="414" spans="60:63" ht="14.25" x14ac:dyDescent="0.2">
      <c r="BH414" s="25"/>
      <c r="BI414" s="25"/>
      <c r="BJ414" s="25"/>
      <c r="BK414" s="25"/>
    </row>
    <row r="415" spans="60:63" ht="14.25" x14ac:dyDescent="0.2">
      <c r="BH415" s="25"/>
      <c r="BI415" s="25"/>
      <c r="BJ415" s="25"/>
      <c r="BK415" s="25"/>
    </row>
    <row r="416" spans="60:63" ht="14.25" x14ac:dyDescent="0.2">
      <c r="BH416" s="25"/>
      <c r="BI416" s="25"/>
      <c r="BJ416" s="25"/>
      <c r="BK416" s="25"/>
    </row>
    <row r="417" spans="60:63" ht="14.25" x14ac:dyDescent="0.2">
      <c r="BH417" s="25"/>
      <c r="BI417" s="25"/>
      <c r="BJ417" s="25"/>
      <c r="BK417" s="25"/>
    </row>
    <row r="418" spans="60:63" ht="14.25" x14ac:dyDescent="0.2">
      <c r="BH418" s="25"/>
      <c r="BI418" s="25"/>
      <c r="BJ418" s="25"/>
      <c r="BK418" s="25"/>
    </row>
    <row r="419" spans="60:63" ht="14.25" x14ac:dyDescent="0.2">
      <c r="BH419" s="25"/>
      <c r="BI419" s="25"/>
      <c r="BJ419" s="25"/>
      <c r="BK419" s="25"/>
    </row>
    <row r="420" spans="60:63" ht="14.25" x14ac:dyDescent="0.2">
      <c r="BH420" s="25"/>
      <c r="BI420" s="25"/>
      <c r="BJ420" s="25"/>
      <c r="BK420" s="25"/>
    </row>
    <row r="421" spans="60:63" ht="14.25" x14ac:dyDescent="0.2">
      <c r="BH421" s="25"/>
      <c r="BI421" s="25"/>
      <c r="BJ421" s="25"/>
      <c r="BK421" s="25"/>
    </row>
    <row r="422" spans="60:63" ht="14.25" x14ac:dyDescent="0.2">
      <c r="BH422" s="25"/>
      <c r="BI422" s="25"/>
      <c r="BJ422" s="25"/>
      <c r="BK422" s="25"/>
    </row>
    <row r="423" spans="60:63" ht="14.25" x14ac:dyDescent="0.2">
      <c r="BH423" s="25"/>
      <c r="BI423" s="25"/>
      <c r="BJ423" s="25"/>
      <c r="BK423" s="25"/>
    </row>
    <row r="424" spans="60:63" ht="14.25" x14ac:dyDescent="0.2">
      <c r="BH424" s="25"/>
      <c r="BI424" s="25"/>
      <c r="BJ424" s="25"/>
      <c r="BK424" s="25"/>
    </row>
    <row r="425" spans="60:63" ht="14.25" x14ac:dyDescent="0.2">
      <c r="BH425" s="25"/>
      <c r="BI425" s="25"/>
      <c r="BJ425" s="25"/>
      <c r="BK425" s="25"/>
    </row>
    <row r="426" spans="60:63" ht="14.25" x14ac:dyDescent="0.2">
      <c r="BH426" s="25"/>
      <c r="BI426" s="25"/>
      <c r="BJ426" s="25"/>
      <c r="BK426" s="25"/>
    </row>
    <row r="427" spans="60:63" ht="14.25" x14ac:dyDescent="0.2">
      <c r="BH427" s="25"/>
      <c r="BI427" s="25"/>
      <c r="BJ427" s="25"/>
      <c r="BK427" s="25"/>
    </row>
    <row r="428" spans="60:63" ht="14.25" x14ac:dyDescent="0.2">
      <c r="BH428" s="25"/>
      <c r="BI428" s="25"/>
      <c r="BJ428" s="25"/>
      <c r="BK428" s="25"/>
    </row>
    <row r="429" spans="60:63" ht="14.25" x14ac:dyDescent="0.2">
      <c r="BH429" s="25"/>
      <c r="BI429" s="25"/>
      <c r="BJ429" s="25"/>
      <c r="BK429" s="25"/>
    </row>
    <row r="430" spans="60:63" ht="14.25" x14ac:dyDescent="0.2">
      <c r="BH430" s="25"/>
      <c r="BI430" s="25"/>
      <c r="BJ430" s="25"/>
      <c r="BK430" s="25"/>
    </row>
    <row r="431" spans="60:63" ht="14.25" x14ac:dyDescent="0.2">
      <c r="BH431" s="25"/>
      <c r="BI431" s="25"/>
      <c r="BJ431" s="25"/>
      <c r="BK431" s="25"/>
    </row>
    <row r="432" spans="60:63" ht="14.25" x14ac:dyDescent="0.2">
      <c r="BH432" s="25"/>
      <c r="BI432" s="25"/>
      <c r="BJ432" s="25"/>
      <c r="BK432" s="25"/>
    </row>
    <row r="433" spans="60:63" ht="14.25" x14ac:dyDescent="0.2">
      <c r="BH433" s="25"/>
      <c r="BI433" s="25"/>
      <c r="BJ433" s="25"/>
      <c r="BK433" s="25"/>
    </row>
    <row r="434" spans="60:63" ht="14.25" x14ac:dyDescent="0.2">
      <c r="BH434" s="25"/>
      <c r="BI434" s="25"/>
      <c r="BJ434" s="25"/>
      <c r="BK434" s="25"/>
    </row>
    <row r="435" spans="60:63" ht="14.25" x14ac:dyDescent="0.2">
      <c r="BH435" s="25"/>
      <c r="BI435" s="25"/>
      <c r="BJ435" s="25"/>
      <c r="BK435" s="25"/>
    </row>
    <row r="436" spans="60:63" ht="14.25" x14ac:dyDescent="0.2">
      <c r="BH436" s="25"/>
      <c r="BI436" s="25"/>
      <c r="BJ436" s="25"/>
      <c r="BK436" s="25"/>
    </row>
    <row r="437" spans="60:63" ht="14.25" x14ac:dyDescent="0.2">
      <c r="BH437" s="25"/>
      <c r="BI437" s="25"/>
      <c r="BJ437" s="25"/>
      <c r="BK437" s="25"/>
    </row>
    <row r="438" spans="60:63" ht="14.25" x14ac:dyDescent="0.2">
      <c r="BH438" s="25"/>
      <c r="BI438" s="25"/>
      <c r="BJ438" s="25"/>
      <c r="BK438" s="25"/>
    </row>
    <row r="439" spans="60:63" ht="14.25" x14ac:dyDescent="0.2">
      <c r="BH439" s="25"/>
      <c r="BI439" s="25"/>
      <c r="BJ439" s="25"/>
      <c r="BK439" s="25"/>
    </row>
    <row r="440" spans="60:63" ht="14.25" x14ac:dyDescent="0.2">
      <c r="BH440" s="25"/>
      <c r="BI440" s="25"/>
      <c r="BJ440" s="25"/>
      <c r="BK440" s="25"/>
    </row>
    <row r="441" spans="60:63" ht="14.25" x14ac:dyDescent="0.2">
      <c r="BH441" s="25"/>
      <c r="BI441" s="25"/>
      <c r="BJ441" s="25"/>
      <c r="BK441" s="25"/>
    </row>
    <row r="442" spans="60:63" ht="14.25" x14ac:dyDescent="0.2">
      <c r="BH442" s="25"/>
      <c r="BI442" s="25"/>
      <c r="BJ442" s="25"/>
      <c r="BK442" s="25"/>
    </row>
    <row r="443" spans="60:63" ht="14.25" x14ac:dyDescent="0.2">
      <c r="BH443" s="25"/>
      <c r="BI443" s="25"/>
      <c r="BJ443" s="25"/>
      <c r="BK443" s="25"/>
    </row>
    <row r="444" spans="60:63" ht="14.25" x14ac:dyDescent="0.2">
      <c r="BH444" s="25"/>
      <c r="BI444" s="25"/>
      <c r="BJ444" s="25"/>
      <c r="BK444" s="25"/>
    </row>
    <row r="445" spans="60:63" ht="14.25" x14ac:dyDescent="0.2">
      <c r="BH445" s="25"/>
      <c r="BI445" s="25"/>
      <c r="BJ445" s="25"/>
      <c r="BK445" s="25"/>
    </row>
    <row r="446" spans="60:63" ht="14.25" x14ac:dyDescent="0.2">
      <c r="BH446" s="25"/>
      <c r="BI446" s="25"/>
      <c r="BJ446" s="25"/>
      <c r="BK446" s="25"/>
    </row>
    <row r="447" spans="60:63" ht="14.25" x14ac:dyDescent="0.2">
      <c r="BH447" s="25"/>
      <c r="BI447" s="25"/>
      <c r="BJ447" s="25"/>
      <c r="BK447" s="25"/>
    </row>
    <row r="448" spans="60:63" ht="14.25" x14ac:dyDescent="0.2">
      <c r="BH448" s="25"/>
      <c r="BI448" s="25"/>
      <c r="BJ448" s="25"/>
      <c r="BK448" s="25"/>
    </row>
    <row r="449" spans="60:63" ht="14.25" x14ac:dyDescent="0.2">
      <c r="BH449" s="25"/>
      <c r="BI449" s="25"/>
      <c r="BJ449" s="25"/>
      <c r="BK449" s="25"/>
    </row>
    <row r="450" spans="60:63" ht="14.25" x14ac:dyDescent="0.2">
      <c r="BH450" s="25"/>
      <c r="BI450" s="25"/>
      <c r="BJ450" s="25"/>
      <c r="BK450" s="25"/>
    </row>
    <row r="451" spans="60:63" ht="14.25" x14ac:dyDescent="0.2">
      <c r="BH451" s="25"/>
      <c r="BI451" s="25"/>
      <c r="BJ451" s="25"/>
      <c r="BK451" s="25"/>
    </row>
    <row r="452" spans="60:63" ht="14.25" x14ac:dyDescent="0.2">
      <c r="BH452" s="25"/>
      <c r="BI452" s="25"/>
      <c r="BJ452" s="25"/>
      <c r="BK452" s="25"/>
    </row>
    <row r="453" spans="60:63" ht="14.25" x14ac:dyDescent="0.2">
      <c r="BH453" s="25"/>
      <c r="BI453" s="25"/>
      <c r="BJ453" s="25"/>
      <c r="BK453" s="25"/>
    </row>
    <row r="454" spans="60:63" ht="14.25" x14ac:dyDescent="0.2">
      <c r="BH454" s="25"/>
      <c r="BI454" s="25"/>
      <c r="BJ454" s="25"/>
      <c r="BK454" s="25"/>
    </row>
    <row r="455" spans="60:63" ht="14.25" x14ac:dyDescent="0.2">
      <c r="BH455" s="25"/>
      <c r="BI455" s="25"/>
      <c r="BJ455" s="25"/>
      <c r="BK455" s="25"/>
    </row>
    <row r="456" spans="60:63" ht="14.25" x14ac:dyDescent="0.2">
      <c r="BH456" s="25"/>
      <c r="BI456" s="25"/>
      <c r="BJ456" s="25"/>
      <c r="BK456" s="25"/>
    </row>
    <row r="457" spans="60:63" ht="14.25" x14ac:dyDescent="0.2">
      <c r="BH457" s="25"/>
      <c r="BI457" s="25"/>
      <c r="BJ457" s="25"/>
      <c r="BK457" s="25"/>
    </row>
    <row r="458" spans="60:63" ht="14.25" x14ac:dyDescent="0.2">
      <c r="BH458" s="25"/>
      <c r="BI458" s="25"/>
      <c r="BJ458" s="25"/>
      <c r="BK458" s="25"/>
    </row>
    <row r="459" spans="60:63" ht="14.25" x14ac:dyDescent="0.2">
      <c r="BH459" s="25"/>
      <c r="BI459" s="25"/>
      <c r="BJ459" s="25"/>
      <c r="BK459" s="25"/>
    </row>
    <row r="460" spans="60:63" ht="14.25" x14ac:dyDescent="0.2">
      <c r="BH460" s="25"/>
      <c r="BI460" s="25"/>
      <c r="BJ460" s="25"/>
      <c r="BK460" s="25"/>
    </row>
    <row r="461" spans="60:63" ht="14.25" x14ac:dyDescent="0.2">
      <c r="BH461" s="25"/>
      <c r="BI461" s="25"/>
      <c r="BJ461" s="25"/>
      <c r="BK461" s="25"/>
    </row>
    <row r="462" spans="60:63" ht="14.25" x14ac:dyDescent="0.2">
      <c r="BH462" s="25"/>
      <c r="BI462" s="25"/>
      <c r="BJ462" s="25"/>
      <c r="BK462" s="25"/>
    </row>
    <row r="463" spans="60:63" ht="14.25" x14ac:dyDescent="0.2">
      <c r="BH463" s="25"/>
      <c r="BI463" s="25"/>
      <c r="BJ463" s="25"/>
      <c r="BK463" s="25"/>
    </row>
    <row r="464" spans="60:63" ht="14.25" x14ac:dyDescent="0.2">
      <c r="BH464" s="25"/>
      <c r="BI464" s="25"/>
      <c r="BJ464" s="25"/>
      <c r="BK464" s="25"/>
    </row>
    <row r="465" spans="60:63" ht="14.25" x14ac:dyDescent="0.2">
      <c r="BH465" s="25"/>
      <c r="BI465" s="25"/>
      <c r="BJ465" s="25"/>
      <c r="BK465" s="25"/>
    </row>
    <row r="466" spans="60:63" ht="14.25" x14ac:dyDescent="0.2">
      <c r="BH466" s="25"/>
      <c r="BI466" s="25"/>
      <c r="BJ466" s="25"/>
      <c r="BK466" s="25"/>
    </row>
    <row r="467" spans="60:63" ht="14.25" x14ac:dyDescent="0.2">
      <c r="BH467" s="25"/>
      <c r="BI467" s="25"/>
      <c r="BJ467" s="25"/>
      <c r="BK467" s="25"/>
    </row>
    <row r="468" spans="60:63" ht="14.25" x14ac:dyDescent="0.2">
      <c r="BH468" s="25"/>
      <c r="BI468" s="25"/>
      <c r="BJ468" s="25"/>
      <c r="BK468" s="25"/>
    </row>
    <row r="469" spans="60:63" ht="14.25" x14ac:dyDescent="0.2">
      <c r="BH469" s="25"/>
      <c r="BI469" s="25"/>
      <c r="BJ469" s="25"/>
      <c r="BK469" s="25"/>
    </row>
    <row r="470" spans="60:63" ht="14.25" x14ac:dyDescent="0.2">
      <c r="BH470" s="25"/>
      <c r="BI470" s="25"/>
      <c r="BJ470" s="25"/>
      <c r="BK470" s="25"/>
    </row>
    <row r="471" spans="60:63" ht="14.25" x14ac:dyDescent="0.2">
      <c r="BH471" s="25"/>
      <c r="BI471" s="25"/>
      <c r="BJ471" s="25"/>
      <c r="BK471" s="25"/>
    </row>
    <row r="472" spans="60:63" ht="14.25" x14ac:dyDescent="0.2">
      <c r="BH472" s="25"/>
      <c r="BI472" s="25"/>
      <c r="BJ472" s="25"/>
      <c r="BK472" s="25"/>
    </row>
    <row r="473" spans="60:63" ht="14.25" x14ac:dyDescent="0.2">
      <c r="BH473" s="25"/>
      <c r="BI473" s="25"/>
      <c r="BJ473" s="25"/>
      <c r="BK473" s="25"/>
    </row>
    <row r="474" spans="60:63" ht="14.25" x14ac:dyDescent="0.2">
      <c r="BH474" s="25"/>
      <c r="BI474" s="25"/>
      <c r="BJ474" s="25"/>
      <c r="BK474" s="25"/>
    </row>
    <row r="475" spans="60:63" ht="14.25" x14ac:dyDescent="0.2">
      <c r="BH475" s="25"/>
      <c r="BI475" s="25"/>
      <c r="BJ475" s="25"/>
      <c r="BK475" s="25"/>
    </row>
    <row r="476" spans="60:63" ht="14.25" x14ac:dyDescent="0.2">
      <c r="BH476" s="25"/>
      <c r="BI476" s="25"/>
      <c r="BJ476" s="25"/>
      <c r="BK476" s="25"/>
    </row>
    <row r="477" spans="60:63" ht="14.25" x14ac:dyDescent="0.2">
      <c r="BH477" s="25"/>
      <c r="BI477" s="25"/>
      <c r="BJ477" s="25"/>
      <c r="BK477" s="25"/>
    </row>
    <row r="478" spans="60:63" ht="14.25" x14ac:dyDescent="0.2">
      <c r="BH478" s="25"/>
      <c r="BI478" s="25"/>
      <c r="BJ478" s="25"/>
      <c r="BK478" s="25"/>
    </row>
    <row r="479" spans="60:63" ht="14.25" x14ac:dyDescent="0.2">
      <c r="BH479" s="25"/>
      <c r="BI479" s="25"/>
      <c r="BJ479" s="25"/>
      <c r="BK479" s="25"/>
    </row>
    <row r="480" spans="60:63" ht="14.25" x14ac:dyDescent="0.2">
      <c r="BH480" s="25"/>
      <c r="BI480" s="25"/>
      <c r="BJ480" s="25"/>
      <c r="BK480" s="25"/>
    </row>
    <row r="481" spans="60:63" ht="14.25" x14ac:dyDescent="0.2">
      <c r="BH481" s="25"/>
      <c r="BI481" s="25"/>
      <c r="BJ481" s="25"/>
      <c r="BK481" s="25"/>
    </row>
    <row r="482" spans="60:63" ht="14.25" x14ac:dyDescent="0.2">
      <c r="BH482" s="25"/>
      <c r="BI482" s="25"/>
      <c r="BJ482" s="25"/>
      <c r="BK482" s="25"/>
    </row>
    <row r="483" spans="60:63" ht="14.25" x14ac:dyDescent="0.2">
      <c r="BH483" s="25"/>
      <c r="BI483" s="25"/>
      <c r="BJ483" s="25"/>
      <c r="BK483" s="25"/>
    </row>
    <row r="484" spans="60:63" ht="14.25" x14ac:dyDescent="0.2">
      <c r="BH484" s="25"/>
      <c r="BI484" s="25"/>
      <c r="BJ484" s="25"/>
      <c r="BK484" s="25"/>
    </row>
    <row r="485" spans="60:63" ht="14.25" x14ac:dyDescent="0.2">
      <c r="BH485" s="25"/>
      <c r="BI485" s="25"/>
      <c r="BJ485" s="25"/>
      <c r="BK485" s="25"/>
    </row>
    <row r="486" spans="60:63" ht="14.25" x14ac:dyDescent="0.2">
      <c r="BH486" s="25"/>
      <c r="BI486" s="25"/>
      <c r="BJ486" s="25"/>
      <c r="BK486" s="25"/>
    </row>
    <row r="487" spans="60:63" ht="14.25" x14ac:dyDescent="0.2">
      <c r="BH487" s="25"/>
      <c r="BI487" s="25"/>
      <c r="BJ487" s="25"/>
      <c r="BK487" s="25"/>
    </row>
    <row r="488" spans="60:63" ht="14.25" x14ac:dyDescent="0.2">
      <c r="BH488" s="25"/>
      <c r="BI488" s="25"/>
      <c r="BJ488" s="25"/>
      <c r="BK488" s="25"/>
    </row>
    <row r="489" spans="60:63" ht="14.25" x14ac:dyDescent="0.2">
      <c r="BH489" s="25"/>
      <c r="BI489" s="25"/>
      <c r="BJ489" s="25"/>
      <c r="BK489" s="25"/>
    </row>
    <row r="490" spans="60:63" ht="14.25" x14ac:dyDescent="0.2">
      <c r="BH490" s="25"/>
      <c r="BI490" s="25"/>
      <c r="BJ490" s="25"/>
      <c r="BK490" s="25"/>
    </row>
    <row r="491" spans="60:63" ht="14.25" x14ac:dyDescent="0.2">
      <c r="BH491" s="25"/>
      <c r="BI491" s="25"/>
      <c r="BJ491" s="25"/>
      <c r="BK491" s="25"/>
    </row>
    <row r="492" spans="60:63" ht="14.25" x14ac:dyDescent="0.2">
      <c r="BH492" s="25"/>
      <c r="BI492" s="25"/>
      <c r="BJ492" s="25"/>
      <c r="BK492" s="25"/>
    </row>
    <row r="493" spans="60:63" ht="14.25" x14ac:dyDescent="0.2">
      <c r="BH493" s="25"/>
      <c r="BI493" s="25"/>
      <c r="BJ493" s="25"/>
      <c r="BK493" s="25"/>
    </row>
    <row r="494" spans="60:63" ht="14.25" x14ac:dyDescent="0.2">
      <c r="BH494" s="25"/>
      <c r="BI494" s="25"/>
      <c r="BJ494" s="25"/>
      <c r="BK494" s="25"/>
    </row>
    <row r="495" spans="60:63" ht="14.25" x14ac:dyDescent="0.2">
      <c r="BH495" s="25"/>
      <c r="BI495" s="25"/>
      <c r="BJ495" s="25"/>
      <c r="BK495" s="25"/>
    </row>
    <row r="496" spans="60:63" ht="14.25" x14ac:dyDescent="0.2">
      <c r="BH496" s="25"/>
      <c r="BI496" s="25"/>
      <c r="BJ496" s="25"/>
      <c r="BK496" s="25"/>
    </row>
    <row r="497" spans="60:63" ht="14.25" x14ac:dyDescent="0.2">
      <c r="BH497" s="25"/>
      <c r="BI497" s="25"/>
      <c r="BJ497" s="25"/>
      <c r="BK497" s="25"/>
    </row>
    <row r="498" spans="60:63" ht="14.25" x14ac:dyDescent="0.2">
      <c r="BH498" s="25"/>
      <c r="BI498" s="25"/>
      <c r="BJ498" s="25"/>
      <c r="BK498" s="25"/>
    </row>
    <row r="499" spans="60:63" ht="14.25" x14ac:dyDescent="0.2">
      <c r="BH499" s="25"/>
      <c r="BI499" s="25"/>
      <c r="BJ499" s="25"/>
      <c r="BK499" s="25"/>
    </row>
    <row r="500" spans="60:63" ht="14.25" x14ac:dyDescent="0.2">
      <c r="BH500" s="25"/>
      <c r="BI500" s="25"/>
      <c r="BJ500" s="25"/>
      <c r="BK500" s="25"/>
    </row>
    <row r="501" spans="60:63" ht="14.25" x14ac:dyDescent="0.2">
      <c r="BH501" s="25"/>
      <c r="BI501" s="25"/>
      <c r="BJ501" s="25"/>
      <c r="BK501" s="25"/>
    </row>
    <row r="502" spans="60:63" ht="14.25" x14ac:dyDescent="0.2">
      <c r="BH502" s="25"/>
      <c r="BI502" s="25"/>
      <c r="BJ502" s="25"/>
      <c r="BK502" s="25"/>
    </row>
    <row r="503" spans="60:63" ht="14.25" x14ac:dyDescent="0.2">
      <c r="BH503" s="25"/>
      <c r="BI503" s="25"/>
      <c r="BJ503" s="25"/>
      <c r="BK503" s="25"/>
    </row>
    <row r="504" spans="60:63" ht="14.25" x14ac:dyDescent="0.2">
      <c r="BH504" s="25"/>
      <c r="BI504" s="25"/>
      <c r="BJ504" s="25"/>
      <c r="BK504" s="25"/>
    </row>
    <row r="505" spans="60:63" ht="14.25" x14ac:dyDescent="0.2">
      <c r="BH505" s="25"/>
      <c r="BI505" s="25"/>
      <c r="BJ505" s="25"/>
      <c r="BK505" s="25"/>
    </row>
    <row r="506" spans="60:63" ht="14.25" x14ac:dyDescent="0.2">
      <c r="BH506" s="25"/>
      <c r="BI506" s="25"/>
      <c r="BJ506" s="25"/>
      <c r="BK506" s="25"/>
    </row>
    <row r="507" spans="60:63" ht="14.25" x14ac:dyDescent="0.2">
      <c r="BH507" s="25"/>
      <c r="BI507" s="25"/>
      <c r="BJ507" s="25"/>
      <c r="BK507" s="25"/>
    </row>
    <row r="508" spans="60:63" ht="14.25" x14ac:dyDescent="0.2">
      <c r="BH508" s="25"/>
      <c r="BI508" s="25"/>
      <c r="BJ508" s="25"/>
      <c r="BK508" s="25"/>
    </row>
    <row r="509" spans="60:63" ht="14.25" x14ac:dyDescent="0.2">
      <c r="BH509" s="25"/>
      <c r="BI509" s="25"/>
      <c r="BJ509" s="25"/>
      <c r="BK509" s="25"/>
    </row>
    <row r="510" spans="60:63" ht="14.25" x14ac:dyDescent="0.2">
      <c r="BH510" s="25"/>
      <c r="BI510" s="25"/>
      <c r="BJ510" s="25"/>
      <c r="BK510" s="25"/>
    </row>
    <row r="511" spans="60:63" ht="14.25" x14ac:dyDescent="0.2">
      <c r="BH511" s="25"/>
      <c r="BI511" s="25"/>
      <c r="BJ511" s="25"/>
      <c r="BK511" s="25"/>
    </row>
    <row r="512" spans="60:63" ht="14.25" x14ac:dyDescent="0.2">
      <c r="BH512" s="25"/>
      <c r="BI512" s="25"/>
      <c r="BJ512" s="25"/>
      <c r="BK512" s="25"/>
    </row>
    <row r="513" spans="60:63" ht="14.25" x14ac:dyDescent="0.2">
      <c r="BH513" s="25"/>
      <c r="BI513" s="25"/>
      <c r="BJ513" s="25"/>
      <c r="BK513" s="25"/>
    </row>
    <row r="514" spans="60:63" ht="14.25" x14ac:dyDescent="0.2">
      <c r="BH514" s="25"/>
      <c r="BI514" s="25"/>
      <c r="BJ514" s="25"/>
      <c r="BK514" s="25"/>
    </row>
    <row r="515" spans="60:63" ht="14.25" x14ac:dyDescent="0.2">
      <c r="BH515" s="25"/>
      <c r="BI515" s="25"/>
      <c r="BJ515" s="25"/>
      <c r="BK515" s="25"/>
    </row>
    <row r="516" spans="60:63" ht="14.25" x14ac:dyDescent="0.2">
      <c r="BH516" s="25"/>
      <c r="BI516" s="25"/>
      <c r="BJ516" s="25"/>
      <c r="BK516" s="25"/>
    </row>
    <row r="517" spans="60:63" ht="14.25" x14ac:dyDescent="0.2">
      <c r="BH517" s="25"/>
      <c r="BI517" s="25"/>
      <c r="BJ517" s="25"/>
      <c r="BK517" s="25"/>
    </row>
    <row r="518" spans="60:63" ht="14.25" x14ac:dyDescent="0.2">
      <c r="BH518" s="25"/>
      <c r="BI518" s="25"/>
      <c r="BJ518" s="25"/>
      <c r="BK518" s="25"/>
    </row>
    <row r="519" spans="60:63" ht="14.25" x14ac:dyDescent="0.2">
      <c r="BH519" s="25"/>
      <c r="BI519" s="25"/>
      <c r="BJ519" s="25"/>
      <c r="BK519" s="25"/>
    </row>
    <row r="520" spans="60:63" ht="14.25" x14ac:dyDescent="0.2">
      <c r="BH520" s="25"/>
      <c r="BI520" s="25"/>
      <c r="BJ520" s="25"/>
      <c r="BK520" s="25"/>
    </row>
    <row r="521" spans="60:63" ht="14.25" x14ac:dyDescent="0.2">
      <c r="BH521" s="25"/>
      <c r="BI521" s="25"/>
      <c r="BJ521" s="25"/>
      <c r="BK521" s="25"/>
    </row>
    <row r="522" spans="60:63" ht="14.25" x14ac:dyDescent="0.2">
      <c r="BH522" s="25"/>
      <c r="BI522" s="25"/>
      <c r="BJ522" s="25"/>
      <c r="BK522" s="25"/>
    </row>
    <row r="523" spans="60:63" ht="14.25" x14ac:dyDescent="0.2">
      <c r="BH523" s="25"/>
      <c r="BI523" s="25"/>
      <c r="BJ523" s="25"/>
      <c r="BK523" s="25"/>
    </row>
    <row r="524" spans="60:63" ht="14.25" x14ac:dyDescent="0.2">
      <c r="BH524" s="25"/>
      <c r="BI524" s="25"/>
      <c r="BJ524" s="25"/>
      <c r="BK524" s="25"/>
    </row>
    <row r="525" spans="60:63" ht="14.25" x14ac:dyDescent="0.2">
      <c r="BH525" s="25"/>
      <c r="BI525" s="25"/>
      <c r="BJ525" s="25"/>
      <c r="BK525" s="25"/>
    </row>
    <row r="526" spans="60:63" ht="14.25" x14ac:dyDescent="0.2">
      <c r="BH526" s="25"/>
      <c r="BI526" s="25"/>
      <c r="BJ526" s="25"/>
      <c r="BK526" s="25"/>
    </row>
    <row r="527" spans="60:63" ht="14.25" x14ac:dyDescent="0.2">
      <c r="BH527" s="25"/>
      <c r="BI527" s="25"/>
      <c r="BJ527" s="25"/>
      <c r="BK527" s="25"/>
    </row>
    <row r="528" spans="60:63" ht="14.25" x14ac:dyDescent="0.2">
      <c r="BH528" s="25"/>
      <c r="BI528" s="25"/>
      <c r="BJ528" s="25"/>
      <c r="BK528" s="25"/>
    </row>
    <row r="529" spans="60:63" ht="14.25" x14ac:dyDescent="0.2">
      <c r="BH529" s="25"/>
      <c r="BI529" s="25"/>
      <c r="BJ529" s="25"/>
      <c r="BK529" s="25"/>
    </row>
    <row r="530" spans="60:63" ht="14.25" x14ac:dyDescent="0.2">
      <c r="BH530" s="25"/>
      <c r="BI530" s="25"/>
      <c r="BJ530" s="25"/>
      <c r="BK530" s="25"/>
    </row>
    <row r="531" spans="60:63" ht="14.25" x14ac:dyDescent="0.2">
      <c r="BH531" s="25"/>
      <c r="BI531" s="25"/>
      <c r="BJ531" s="25"/>
      <c r="BK531" s="25"/>
    </row>
    <row r="532" spans="60:63" ht="14.25" x14ac:dyDescent="0.2">
      <c r="BH532" s="25"/>
      <c r="BI532" s="25"/>
      <c r="BJ532" s="25"/>
      <c r="BK532" s="25"/>
    </row>
    <row r="533" spans="60:63" ht="14.25" x14ac:dyDescent="0.2">
      <c r="BH533" s="25"/>
      <c r="BI533" s="25"/>
      <c r="BJ533" s="25"/>
      <c r="BK533" s="25"/>
    </row>
    <row r="534" spans="60:63" ht="14.25" x14ac:dyDescent="0.2">
      <c r="BH534" s="25"/>
      <c r="BI534" s="25"/>
      <c r="BJ534" s="25"/>
      <c r="BK534" s="25"/>
    </row>
    <row r="535" spans="60:63" ht="14.25" x14ac:dyDescent="0.2">
      <c r="BH535" s="25"/>
      <c r="BI535" s="25"/>
      <c r="BJ535" s="25"/>
      <c r="BK535" s="25"/>
    </row>
    <row r="536" spans="60:63" ht="14.25" x14ac:dyDescent="0.2">
      <c r="BH536" s="25"/>
      <c r="BI536" s="25"/>
      <c r="BJ536" s="25"/>
      <c r="BK536" s="25"/>
    </row>
    <row r="537" spans="60:63" ht="14.25" x14ac:dyDescent="0.2">
      <c r="BH537" s="25"/>
      <c r="BI537" s="25"/>
      <c r="BJ537" s="25"/>
      <c r="BK537" s="25"/>
    </row>
    <row r="538" spans="60:63" ht="14.25" x14ac:dyDescent="0.2">
      <c r="BH538" s="25"/>
      <c r="BI538" s="25"/>
      <c r="BJ538" s="25"/>
      <c r="BK538" s="25"/>
    </row>
    <row r="539" spans="60:63" ht="14.25" x14ac:dyDescent="0.2">
      <c r="BH539" s="25"/>
      <c r="BI539" s="25"/>
      <c r="BJ539" s="25"/>
      <c r="BK539" s="25"/>
    </row>
    <row r="540" spans="60:63" ht="14.25" x14ac:dyDescent="0.2">
      <c r="BH540" s="25"/>
      <c r="BI540" s="25"/>
      <c r="BJ540" s="25"/>
      <c r="BK540" s="25"/>
    </row>
    <row r="541" spans="60:63" ht="14.25" x14ac:dyDescent="0.2">
      <c r="BH541" s="25"/>
      <c r="BI541" s="25"/>
      <c r="BJ541" s="25"/>
      <c r="BK541" s="25"/>
    </row>
    <row r="542" spans="60:63" ht="14.25" x14ac:dyDescent="0.2">
      <c r="BH542" s="25"/>
      <c r="BI542" s="25"/>
      <c r="BJ542" s="25"/>
      <c r="BK542" s="25"/>
    </row>
    <row r="543" spans="60:63" ht="14.25" x14ac:dyDescent="0.2">
      <c r="BH543" s="25"/>
      <c r="BI543" s="25"/>
      <c r="BJ543" s="25"/>
      <c r="BK543" s="25"/>
    </row>
    <row r="544" spans="60:63" ht="14.25" x14ac:dyDescent="0.2">
      <c r="BH544" s="25"/>
      <c r="BI544" s="25"/>
      <c r="BJ544" s="25"/>
      <c r="BK544" s="25"/>
    </row>
    <row r="545" spans="60:63" ht="14.25" x14ac:dyDescent="0.2">
      <c r="BH545" s="25"/>
      <c r="BI545" s="25"/>
      <c r="BJ545" s="25"/>
      <c r="BK545" s="25"/>
    </row>
    <row r="546" spans="60:63" ht="14.25" x14ac:dyDescent="0.2">
      <c r="BH546" s="25"/>
      <c r="BI546" s="25"/>
      <c r="BJ546" s="25"/>
      <c r="BK546" s="25"/>
    </row>
    <row r="547" spans="60:63" ht="14.25" x14ac:dyDescent="0.2">
      <c r="BH547" s="25"/>
      <c r="BI547" s="25"/>
      <c r="BJ547" s="25"/>
      <c r="BK547" s="25"/>
    </row>
    <row r="548" spans="60:63" ht="14.25" x14ac:dyDescent="0.2">
      <c r="BH548" s="25"/>
      <c r="BI548" s="25"/>
      <c r="BJ548" s="25"/>
      <c r="BK548" s="25"/>
    </row>
    <row r="549" spans="60:63" ht="14.25" x14ac:dyDescent="0.2">
      <c r="BH549" s="25"/>
      <c r="BI549" s="25"/>
      <c r="BJ549" s="25"/>
      <c r="BK549" s="25"/>
    </row>
    <row r="550" spans="60:63" ht="14.25" x14ac:dyDescent="0.2">
      <c r="BH550" s="25"/>
      <c r="BI550" s="25"/>
      <c r="BJ550" s="25"/>
      <c r="BK550" s="25"/>
    </row>
    <row r="551" spans="60:63" ht="14.25" x14ac:dyDescent="0.2">
      <c r="BH551" s="25"/>
      <c r="BI551" s="25"/>
      <c r="BJ551" s="25"/>
      <c r="BK551" s="25"/>
    </row>
    <row r="552" spans="60:63" ht="14.25" x14ac:dyDescent="0.2">
      <c r="BH552" s="25"/>
      <c r="BI552" s="25"/>
      <c r="BJ552" s="25"/>
      <c r="BK552" s="25"/>
    </row>
    <row r="553" spans="60:63" ht="14.25" x14ac:dyDescent="0.2">
      <c r="BH553" s="25"/>
      <c r="BI553" s="25"/>
      <c r="BJ553" s="25"/>
      <c r="BK553" s="25"/>
    </row>
    <row r="554" spans="60:63" ht="14.25" x14ac:dyDescent="0.2">
      <c r="BH554" s="25"/>
      <c r="BI554" s="25"/>
      <c r="BJ554" s="25"/>
      <c r="BK554" s="25"/>
    </row>
    <row r="555" spans="60:63" ht="14.25" x14ac:dyDescent="0.2">
      <c r="BH555" s="25"/>
      <c r="BI555" s="25"/>
      <c r="BJ555" s="25"/>
      <c r="BK555" s="25"/>
    </row>
    <row r="556" spans="60:63" ht="14.25" x14ac:dyDescent="0.2">
      <c r="BH556" s="25"/>
      <c r="BI556" s="25"/>
      <c r="BJ556" s="25"/>
      <c r="BK556" s="25"/>
    </row>
    <row r="557" spans="60:63" ht="14.25" x14ac:dyDescent="0.2">
      <c r="BH557" s="25"/>
      <c r="BI557" s="25"/>
      <c r="BJ557" s="25"/>
      <c r="BK557" s="25"/>
    </row>
    <row r="558" spans="60:63" ht="14.25" x14ac:dyDescent="0.2">
      <c r="BH558" s="25"/>
      <c r="BI558" s="25"/>
      <c r="BJ558" s="25"/>
      <c r="BK558" s="25"/>
    </row>
    <row r="559" spans="60:63" ht="14.25" x14ac:dyDescent="0.2">
      <c r="BH559" s="25"/>
      <c r="BI559" s="25"/>
      <c r="BJ559" s="25"/>
      <c r="BK559" s="25"/>
    </row>
    <row r="560" spans="60:63" ht="14.25" x14ac:dyDescent="0.2">
      <c r="BH560" s="25"/>
      <c r="BI560" s="25"/>
      <c r="BJ560" s="25"/>
      <c r="BK560" s="25"/>
    </row>
    <row r="561" spans="60:63" ht="14.25" x14ac:dyDescent="0.2">
      <c r="BH561" s="25"/>
      <c r="BI561" s="25"/>
      <c r="BJ561" s="25"/>
      <c r="BK561" s="25"/>
    </row>
    <row r="562" spans="60:63" ht="14.25" x14ac:dyDescent="0.2">
      <c r="BH562" s="25"/>
      <c r="BI562" s="25"/>
      <c r="BJ562" s="25"/>
      <c r="BK562" s="25"/>
    </row>
    <row r="563" spans="60:63" ht="14.25" x14ac:dyDescent="0.2">
      <c r="BH563" s="25"/>
      <c r="BI563" s="25"/>
      <c r="BJ563" s="25"/>
      <c r="BK563" s="25"/>
    </row>
    <row r="564" spans="60:63" ht="14.25" x14ac:dyDescent="0.2">
      <c r="BH564" s="25"/>
      <c r="BI564" s="25"/>
      <c r="BJ564" s="25"/>
      <c r="BK564" s="25"/>
    </row>
    <row r="565" spans="60:63" ht="14.25" x14ac:dyDescent="0.2">
      <c r="BH565" s="25"/>
      <c r="BI565" s="25"/>
      <c r="BJ565" s="25"/>
      <c r="BK565" s="25"/>
    </row>
    <row r="566" spans="60:63" ht="14.25" x14ac:dyDescent="0.2">
      <c r="BH566" s="25"/>
      <c r="BI566" s="25"/>
      <c r="BJ566" s="25"/>
      <c r="BK566" s="25"/>
    </row>
    <row r="567" spans="60:63" ht="14.25" x14ac:dyDescent="0.2">
      <c r="BH567" s="25"/>
      <c r="BI567" s="25"/>
      <c r="BJ567" s="25"/>
      <c r="BK567" s="25"/>
    </row>
    <row r="568" spans="60:63" ht="14.25" x14ac:dyDescent="0.2">
      <c r="BH568" s="25"/>
      <c r="BI568" s="25"/>
      <c r="BJ568" s="25"/>
      <c r="BK568" s="25"/>
    </row>
    <row r="569" spans="60:63" ht="14.25" x14ac:dyDescent="0.2">
      <c r="BH569" s="25"/>
      <c r="BI569" s="25"/>
      <c r="BJ569" s="25"/>
      <c r="BK569" s="25"/>
    </row>
    <row r="570" spans="60:63" ht="14.25" x14ac:dyDescent="0.2">
      <c r="BH570" s="25"/>
      <c r="BI570" s="25"/>
      <c r="BJ570" s="25"/>
      <c r="BK570" s="25"/>
    </row>
    <row r="571" spans="60:63" ht="14.25" x14ac:dyDescent="0.2">
      <c r="BH571" s="25"/>
      <c r="BI571" s="25"/>
      <c r="BJ571" s="25"/>
      <c r="BK571" s="25"/>
    </row>
    <row r="572" spans="60:63" ht="14.25" x14ac:dyDescent="0.2">
      <c r="BH572" s="25"/>
      <c r="BI572" s="25"/>
      <c r="BJ572" s="25"/>
      <c r="BK572" s="25"/>
    </row>
    <row r="573" spans="60:63" ht="14.25" x14ac:dyDescent="0.2">
      <c r="BH573" s="25"/>
      <c r="BI573" s="25"/>
      <c r="BJ573" s="25"/>
      <c r="BK573" s="25"/>
    </row>
    <row r="574" spans="60:63" ht="14.25" x14ac:dyDescent="0.2">
      <c r="BH574" s="25"/>
      <c r="BI574" s="25"/>
      <c r="BJ574" s="25"/>
      <c r="BK574" s="25"/>
    </row>
    <row r="575" spans="60:63" ht="14.25" x14ac:dyDescent="0.2">
      <c r="BH575" s="25"/>
      <c r="BI575" s="25"/>
      <c r="BJ575" s="25"/>
      <c r="BK575" s="25"/>
    </row>
    <row r="576" spans="60:63" ht="14.25" x14ac:dyDescent="0.2">
      <c r="BH576" s="25"/>
      <c r="BI576" s="25"/>
      <c r="BJ576" s="25"/>
      <c r="BK576" s="25"/>
    </row>
    <row r="577" spans="60:63" ht="14.25" x14ac:dyDescent="0.2">
      <c r="BH577" s="25"/>
      <c r="BI577" s="25"/>
      <c r="BJ577" s="25"/>
      <c r="BK577" s="25"/>
    </row>
    <row r="578" spans="60:63" ht="14.25" x14ac:dyDescent="0.2">
      <c r="BH578" s="25"/>
      <c r="BI578" s="25"/>
      <c r="BJ578" s="25"/>
      <c r="BK578" s="25"/>
    </row>
    <row r="579" spans="60:63" ht="14.25" x14ac:dyDescent="0.2">
      <c r="BH579" s="25"/>
      <c r="BI579" s="25"/>
      <c r="BJ579" s="25"/>
      <c r="BK579" s="25"/>
    </row>
    <row r="580" spans="60:63" ht="14.25" x14ac:dyDescent="0.2">
      <c r="BH580" s="25"/>
      <c r="BI580" s="25"/>
      <c r="BJ580" s="25"/>
      <c r="BK580" s="25"/>
    </row>
    <row r="581" spans="60:63" ht="14.25" x14ac:dyDescent="0.2">
      <c r="BH581" s="25"/>
      <c r="BI581" s="25"/>
      <c r="BJ581" s="25"/>
      <c r="BK581" s="25"/>
    </row>
    <row r="582" spans="60:63" ht="14.25" x14ac:dyDescent="0.2">
      <c r="BH582" s="25"/>
      <c r="BI582" s="25"/>
      <c r="BJ582" s="25"/>
      <c r="BK582" s="25"/>
    </row>
    <row r="583" spans="60:63" ht="14.25" x14ac:dyDescent="0.2">
      <c r="BH583" s="25"/>
      <c r="BI583" s="25"/>
      <c r="BJ583" s="25"/>
      <c r="BK583" s="25"/>
    </row>
    <row r="584" spans="60:63" ht="14.25" x14ac:dyDescent="0.2">
      <c r="BH584" s="25"/>
      <c r="BI584" s="25"/>
      <c r="BJ584" s="25"/>
      <c r="BK584" s="25"/>
    </row>
    <row r="585" spans="60:63" ht="14.25" x14ac:dyDescent="0.2">
      <c r="BH585" s="25"/>
      <c r="BI585" s="25"/>
      <c r="BJ585" s="25"/>
      <c r="BK585" s="25"/>
    </row>
    <row r="586" spans="60:63" ht="14.25" x14ac:dyDescent="0.2">
      <c r="BH586" s="25"/>
      <c r="BI586" s="25"/>
      <c r="BJ586" s="25"/>
      <c r="BK586" s="25"/>
    </row>
    <row r="587" spans="60:63" ht="14.25" x14ac:dyDescent="0.2">
      <c r="BH587" s="25"/>
      <c r="BI587" s="25"/>
      <c r="BJ587" s="25"/>
      <c r="BK587" s="25"/>
    </row>
    <row r="588" spans="60:63" ht="14.25" x14ac:dyDescent="0.2">
      <c r="BH588" s="25"/>
      <c r="BI588" s="25"/>
      <c r="BJ588" s="25"/>
      <c r="BK588" s="25"/>
    </row>
    <row r="589" spans="60:63" ht="14.25" x14ac:dyDescent="0.2">
      <c r="BH589" s="25"/>
      <c r="BI589" s="25"/>
      <c r="BJ589" s="25"/>
      <c r="BK589" s="25"/>
    </row>
    <row r="590" spans="60:63" ht="14.25" x14ac:dyDescent="0.2">
      <c r="BH590" s="25"/>
      <c r="BI590" s="25"/>
      <c r="BJ590" s="25"/>
      <c r="BK590" s="25"/>
    </row>
    <row r="591" spans="60:63" ht="14.25" x14ac:dyDescent="0.2">
      <c r="BH591" s="25"/>
      <c r="BI591" s="25"/>
      <c r="BJ591" s="25"/>
      <c r="BK591" s="25"/>
    </row>
    <row r="592" spans="60:63" ht="14.25" x14ac:dyDescent="0.2">
      <c r="BH592" s="25"/>
      <c r="BI592" s="25"/>
      <c r="BJ592" s="25"/>
      <c r="BK592" s="25"/>
    </row>
    <row r="593" spans="60:63" ht="14.25" x14ac:dyDescent="0.2">
      <c r="BH593" s="25"/>
      <c r="BI593" s="25"/>
      <c r="BJ593" s="25"/>
      <c r="BK593" s="25"/>
    </row>
    <row r="594" spans="60:63" ht="14.25" x14ac:dyDescent="0.2">
      <c r="BH594" s="25"/>
      <c r="BI594" s="25"/>
      <c r="BJ594" s="25"/>
      <c r="BK594" s="25"/>
    </row>
    <row r="595" spans="60:63" ht="14.25" x14ac:dyDescent="0.2">
      <c r="BH595" s="25"/>
      <c r="BI595" s="25"/>
      <c r="BJ595" s="25"/>
      <c r="BK595" s="25"/>
    </row>
    <row r="596" spans="60:63" ht="14.25" x14ac:dyDescent="0.2">
      <c r="BH596" s="25"/>
      <c r="BI596" s="25"/>
      <c r="BJ596" s="25"/>
      <c r="BK596" s="25"/>
    </row>
    <row r="597" spans="60:63" ht="14.25" x14ac:dyDescent="0.2">
      <c r="BH597" s="25"/>
      <c r="BI597" s="25"/>
      <c r="BJ597" s="25"/>
      <c r="BK597" s="25"/>
    </row>
    <row r="598" spans="60:63" ht="14.25" x14ac:dyDescent="0.2">
      <c r="BH598" s="25"/>
      <c r="BI598" s="25"/>
      <c r="BJ598" s="25"/>
      <c r="BK598" s="25"/>
    </row>
    <row r="599" spans="60:63" ht="14.25" x14ac:dyDescent="0.2">
      <c r="BH599" s="25"/>
      <c r="BI599" s="25"/>
      <c r="BJ599" s="25"/>
      <c r="BK599" s="25"/>
    </row>
    <row r="600" spans="60:63" ht="14.25" x14ac:dyDescent="0.2">
      <c r="BH600" s="25"/>
      <c r="BI600" s="25"/>
      <c r="BJ600" s="25"/>
      <c r="BK600" s="25"/>
    </row>
    <row r="601" spans="60:63" ht="14.25" x14ac:dyDescent="0.2">
      <c r="BH601" s="25"/>
      <c r="BI601" s="25"/>
      <c r="BJ601" s="25"/>
      <c r="BK601" s="25"/>
    </row>
    <row r="602" spans="60:63" ht="14.25" x14ac:dyDescent="0.2">
      <c r="BH602" s="25"/>
      <c r="BI602" s="25"/>
      <c r="BJ602" s="25"/>
      <c r="BK602" s="25"/>
    </row>
    <row r="603" spans="60:63" ht="14.25" x14ac:dyDescent="0.2">
      <c r="BH603" s="25"/>
      <c r="BI603" s="25"/>
      <c r="BJ603" s="25"/>
      <c r="BK603" s="25"/>
    </row>
    <row r="604" spans="60:63" ht="14.25" x14ac:dyDescent="0.2">
      <c r="BH604" s="25"/>
      <c r="BI604" s="25"/>
      <c r="BJ604" s="25"/>
      <c r="BK604" s="25"/>
    </row>
    <row r="605" spans="60:63" ht="14.25" x14ac:dyDescent="0.2">
      <c r="BH605" s="25"/>
      <c r="BI605" s="25"/>
      <c r="BJ605" s="25"/>
      <c r="BK605" s="25"/>
    </row>
    <row r="606" spans="60:63" ht="14.25" x14ac:dyDescent="0.2">
      <c r="BH606" s="25"/>
      <c r="BI606" s="25"/>
      <c r="BJ606" s="25"/>
      <c r="BK606" s="25"/>
    </row>
    <row r="607" spans="60:63" ht="14.25" x14ac:dyDescent="0.2">
      <c r="BH607" s="25"/>
      <c r="BI607" s="25"/>
      <c r="BJ607" s="25"/>
      <c r="BK607" s="25"/>
    </row>
    <row r="608" spans="60:63" ht="14.25" x14ac:dyDescent="0.2">
      <c r="BH608" s="25"/>
      <c r="BI608" s="25"/>
      <c r="BJ608" s="25"/>
      <c r="BK608" s="25"/>
    </row>
    <row r="609" spans="60:63" ht="14.25" x14ac:dyDescent="0.2">
      <c r="BH609" s="25"/>
      <c r="BI609" s="25"/>
      <c r="BJ609" s="25"/>
      <c r="BK609" s="25"/>
    </row>
    <row r="610" spans="60:63" ht="14.25" x14ac:dyDescent="0.2">
      <c r="BH610" s="25"/>
      <c r="BI610" s="25"/>
      <c r="BJ610" s="25"/>
      <c r="BK610" s="25"/>
    </row>
    <row r="611" spans="60:63" ht="14.25" x14ac:dyDescent="0.2">
      <c r="BH611" s="25"/>
      <c r="BI611" s="25"/>
      <c r="BJ611" s="25"/>
      <c r="BK611" s="25"/>
    </row>
    <row r="612" spans="60:63" ht="14.25" x14ac:dyDescent="0.2">
      <c r="BH612" s="25"/>
      <c r="BI612" s="25"/>
      <c r="BJ612" s="25"/>
      <c r="BK612" s="25"/>
    </row>
    <row r="613" spans="60:63" ht="14.25" x14ac:dyDescent="0.2">
      <c r="BH613" s="25"/>
      <c r="BI613" s="25"/>
      <c r="BJ613" s="25"/>
      <c r="BK613" s="25"/>
    </row>
    <row r="614" spans="60:63" ht="14.25" x14ac:dyDescent="0.2">
      <c r="BH614" s="25"/>
      <c r="BI614" s="25"/>
      <c r="BJ614" s="25"/>
      <c r="BK614" s="25"/>
    </row>
    <row r="615" spans="60:63" ht="14.25" x14ac:dyDescent="0.2">
      <c r="BH615" s="25"/>
      <c r="BI615" s="25"/>
      <c r="BJ615" s="25"/>
      <c r="BK615" s="25"/>
    </row>
    <row r="616" spans="60:63" ht="14.25" x14ac:dyDescent="0.2">
      <c r="BH616" s="25"/>
      <c r="BI616" s="25"/>
      <c r="BJ616" s="25"/>
      <c r="BK616" s="25"/>
    </row>
    <row r="617" spans="60:63" ht="14.25" x14ac:dyDescent="0.2">
      <c r="BH617" s="25"/>
      <c r="BI617" s="25"/>
      <c r="BJ617" s="25"/>
      <c r="BK617" s="25"/>
    </row>
    <row r="618" spans="60:63" ht="14.25" x14ac:dyDescent="0.2">
      <c r="BH618" s="25"/>
      <c r="BI618" s="25"/>
      <c r="BJ618" s="25"/>
      <c r="BK618" s="25"/>
    </row>
    <row r="619" spans="60:63" ht="14.25" x14ac:dyDescent="0.2">
      <c r="BH619" s="25"/>
      <c r="BI619" s="25"/>
      <c r="BJ619" s="25"/>
      <c r="BK619" s="25"/>
    </row>
    <row r="620" spans="60:63" ht="14.25" x14ac:dyDescent="0.2">
      <c r="BH620" s="25"/>
      <c r="BI620" s="25"/>
      <c r="BJ620" s="25"/>
      <c r="BK620" s="25"/>
    </row>
    <row r="621" spans="60:63" ht="14.25" x14ac:dyDescent="0.2">
      <c r="BH621" s="25"/>
      <c r="BI621" s="25"/>
      <c r="BJ621" s="25"/>
      <c r="BK621" s="25"/>
    </row>
    <row r="622" spans="60:63" ht="14.25" x14ac:dyDescent="0.2">
      <c r="BH622" s="25"/>
      <c r="BI622" s="25"/>
      <c r="BJ622" s="25"/>
      <c r="BK622" s="25"/>
    </row>
    <row r="623" spans="60:63" ht="14.25" x14ac:dyDescent="0.2">
      <c r="BH623" s="25"/>
      <c r="BI623" s="25"/>
      <c r="BJ623" s="25"/>
      <c r="BK623" s="25"/>
    </row>
    <row r="624" spans="60:63" ht="14.25" x14ac:dyDescent="0.2">
      <c r="BH624" s="25"/>
      <c r="BI624" s="25"/>
      <c r="BJ624" s="25"/>
      <c r="BK624" s="25"/>
    </row>
    <row r="625" spans="60:63" ht="14.25" x14ac:dyDescent="0.2">
      <c r="BH625" s="25"/>
      <c r="BI625" s="25"/>
      <c r="BJ625" s="25"/>
      <c r="BK625" s="25"/>
    </row>
    <row r="626" spans="60:63" ht="14.25" x14ac:dyDescent="0.2">
      <c r="BH626" s="25"/>
      <c r="BI626" s="25"/>
      <c r="BJ626" s="25"/>
      <c r="BK626" s="25"/>
    </row>
    <row r="627" spans="60:63" ht="14.25" x14ac:dyDescent="0.2">
      <c r="BH627" s="25"/>
      <c r="BI627" s="25"/>
      <c r="BJ627" s="25"/>
      <c r="BK627" s="25"/>
    </row>
    <row r="628" spans="60:63" ht="14.25" x14ac:dyDescent="0.2">
      <c r="BH628" s="25"/>
      <c r="BI628" s="25"/>
      <c r="BJ628" s="25"/>
      <c r="BK628" s="25"/>
    </row>
    <row r="629" spans="60:63" ht="14.25" x14ac:dyDescent="0.2">
      <c r="BH629" s="25"/>
      <c r="BI629" s="25"/>
      <c r="BJ629" s="25"/>
      <c r="BK629" s="25"/>
    </row>
    <row r="630" spans="60:63" ht="14.25" x14ac:dyDescent="0.2">
      <c r="BH630" s="25"/>
      <c r="BI630" s="25"/>
      <c r="BJ630" s="25"/>
      <c r="BK630" s="25"/>
    </row>
    <row r="631" spans="60:63" ht="14.25" x14ac:dyDescent="0.2">
      <c r="BH631" s="25"/>
      <c r="BI631" s="25"/>
      <c r="BJ631" s="25"/>
      <c r="BK631" s="25"/>
    </row>
    <row r="632" spans="60:63" ht="14.25" x14ac:dyDescent="0.2">
      <c r="BH632" s="25"/>
      <c r="BI632" s="25"/>
      <c r="BJ632" s="25"/>
      <c r="BK632" s="25"/>
    </row>
    <row r="633" spans="60:63" ht="14.25" x14ac:dyDescent="0.2">
      <c r="BH633" s="25"/>
      <c r="BI633" s="25"/>
      <c r="BJ633" s="25"/>
      <c r="BK633" s="25"/>
    </row>
    <row r="634" spans="60:63" ht="14.25" x14ac:dyDescent="0.2">
      <c r="BH634" s="25"/>
      <c r="BI634" s="25"/>
      <c r="BJ634" s="25"/>
      <c r="BK634" s="25"/>
    </row>
    <row r="635" spans="60:63" ht="14.25" x14ac:dyDescent="0.2">
      <c r="BH635" s="25"/>
      <c r="BI635" s="25"/>
      <c r="BJ635" s="25"/>
      <c r="BK635" s="25"/>
    </row>
    <row r="636" spans="60:63" ht="14.25" x14ac:dyDescent="0.2">
      <c r="BH636" s="25"/>
      <c r="BI636" s="25"/>
      <c r="BJ636" s="25"/>
      <c r="BK636" s="25"/>
    </row>
    <row r="637" spans="60:63" ht="14.25" x14ac:dyDescent="0.2">
      <c r="BH637" s="25"/>
      <c r="BI637" s="25"/>
      <c r="BJ637" s="25"/>
      <c r="BK637" s="25"/>
    </row>
    <row r="638" spans="60:63" ht="14.25" x14ac:dyDescent="0.2">
      <c r="BH638" s="25"/>
      <c r="BI638" s="25"/>
      <c r="BJ638" s="25"/>
      <c r="BK638" s="25"/>
    </row>
    <row r="639" spans="60:63" ht="14.25" x14ac:dyDescent="0.2">
      <c r="BH639" s="25"/>
      <c r="BI639" s="25"/>
      <c r="BJ639" s="25"/>
      <c r="BK639" s="25"/>
    </row>
    <row r="640" spans="60:63" ht="14.25" x14ac:dyDescent="0.2">
      <c r="BH640" s="25"/>
      <c r="BI640" s="25"/>
      <c r="BJ640" s="25"/>
      <c r="BK640" s="25"/>
    </row>
    <row r="641" spans="60:63" ht="14.25" x14ac:dyDescent="0.2">
      <c r="BH641" s="25"/>
      <c r="BI641" s="25"/>
      <c r="BJ641" s="25"/>
      <c r="BK641" s="25"/>
    </row>
    <row r="642" spans="60:63" ht="14.25" x14ac:dyDescent="0.2">
      <c r="BH642" s="25"/>
      <c r="BI642" s="25"/>
      <c r="BJ642" s="25"/>
      <c r="BK642" s="25"/>
    </row>
    <row r="643" spans="60:63" ht="14.25" x14ac:dyDescent="0.2">
      <c r="BH643" s="25"/>
      <c r="BI643" s="25"/>
      <c r="BJ643" s="25"/>
      <c r="BK643" s="25"/>
    </row>
    <row r="644" spans="60:63" ht="14.25" x14ac:dyDescent="0.2">
      <c r="BH644" s="25"/>
      <c r="BI644" s="25"/>
      <c r="BJ644" s="25"/>
      <c r="BK644" s="25"/>
    </row>
    <row r="645" spans="60:63" ht="14.25" x14ac:dyDescent="0.2">
      <c r="BH645" s="25"/>
      <c r="BI645" s="25"/>
      <c r="BJ645" s="25"/>
      <c r="BK645" s="25"/>
    </row>
    <row r="646" spans="60:63" ht="14.25" x14ac:dyDescent="0.2">
      <c r="BH646" s="25"/>
      <c r="BI646" s="25"/>
      <c r="BJ646" s="25"/>
      <c r="BK646" s="25"/>
    </row>
    <row r="647" spans="60:63" ht="14.25" x14ac:dyDescent="0.2">
      <c r="BH647" s="25"/>
      <c r="BI647" s="25"/>
      <c r="BJ647" s="25"/>
      <c r="BK647" s="25"/>
    </row>
    <row r="648" spans="60:63" ht="14.25" x14ac:dyDescent="0.2">
      <c r="BH648" s="25"/>
      <c r="BI648" s="25"/>
      <c r="BJ648" s="25"/>
      <c r="BK648" s="25"/>
    </row>
    <row r="649" spans="60:63" ht="14.25" x14ac:dyDescent="0.2">
      <c r="BH649" s="25"/>
      <c r="BI649" s="25"/>
      <c r="BJ649" s="25"/>
      <c r="BK649" s="25"/>
    </row>
    <row r="650" spans="60:63" ht="14.25" x14ac:dyDescent="0.2">
      <c r="BH650" s="25"/>
      <c r="BI650" s="25"/>
      <c r="BJ650" s="25"/>
      <c r="BK650" s="25"/>
    </row>
    <row r="651" spans="60:63" ht="14.25" x14ac:dyDescent="0.2">
      <c r="BH651" s="25"/>
      <c r="BI651" s="25"/>
      <c r="BJ651" s="25"/>
      <c r="BK651" s="25"/>
    </row>
    <row r="652" spans="60:63" ht="14.25" x14ac:dyDescent="0.2">
      <c r="BH652" s="25"/>
      <c r="BI652" s="25"/>
      <c r="BJ652" s="25"/>
      <c r="BK652" s="25"/>
    </row>
    <row r="653" spans="60:63" ht="14.25" x14ac:dyDescent="0.2">
      <c r="BH653" s="25"/>
      <c r="BI653" s="25"/>
      <c r="BJ653" s="25"/>
      <c r="BK653" s="25"/>
    </row>
    <row r="654" spans="60:63" ht="14.25" x14ac:dyDescent="0.2">
      <c r="BH654" s="25"/>
      <c r="BI654" s="25"/>
      <c r="BJ654" s="25"/>
      <c r="BK654" s="25"/>
    </row>
    <row r="655" spans="60:63" ht="14.25" x14ac:dyDescent="0.2">
      <c r="BH655" s="25"/>
      <c r="BI655" s="25"/>
      <c r="BJ655" s="25"/>
      <c r="BK655" s="25"/>
    </row>
    <row r="656" spans="60:63" ht="14.25" x14ac:dyDescent="0.2">
      <c r="BH656" s="25"/>
      <c r="BI656" s="25"/>
      <c r="BJ656" s="25"/>
      <c r="BK656" s="25"/>
    </row>
    <row r="657" spans="60:63" ht="14.25" x14ac:dyDescent="0.2">
      <c r="BH657" s="25"/>
      <c r="BI657" s="25"/>
      <c r="BJ657" s="25"/>
      <c r="BK657" s="25"/>
    </row>
    <row r="658" spans="60:63" ht="14.25" x14ac:dyDescent="0.2">
      <c r="BH658" s="25"/>
      <c r="BI658" s="25"/>
      <c r="BJ658" s="25"/>
      <c r="BK658" s="25"/>
    </row>
    <row r="659" spans="60:63" ht="14.25" x14ac:dyDescent="0.2">
      <c r="BH659" s="25"/>
      <c r="BI659" s="25"/>
      <c r="BJ659" s="25"/>
      <c r="BK659" s="25"/>
    </row>
    <row r="660" spans="60:63" ht="14.25" x14ac:dyDescent="0.2">
      <c r="BH660" s="25"/>
      <c r="BI660" s="25"/>
      <c r="BJ660" s="25"/>
      <c r="BK660" s="25"/>
    </row>
    <row r="661" spans="60:63" ht="14.25" x14ac:dyDescent="0.2">
      <c r="BH661" s="25"/>
      <c r="BI661" s="25"/>
      <c r="BJ661" s="25"/>
      <c r="BK661" s="25"/>
    </row>
    <row r="662" spans="60:63" ht="14.25" x14ac:dyDescent="0.2">
      <c r="BH662" s="25"/>
      <c r="BI662" s="25"/>
      <c r="BJ662" s="25"/>
      <c r="BK662" s="25"/>
    </row>
    <row r="663" spans="60:63" ht="14.25" x14ac:dyDescent="0.2">
      <c r="BH663" s="25"/>
      <c r="BI663" s="25"/>
      <c r="BJ663" s="25"/>
      <c r="BK663" s="25"/>
    </row>
    <row r="664" spans="60:63" ht="14.25" x14ac:dyDescent="0.2">
      <c r="BH664" s="25"/>
      <c r="BI664" s="25"/>
      <c r="BJ664" s="25"/>
      <c r="BK664" s="25"/>
    </row>
    <row r="665" spans="60:63" ht="14.25" x14ac:dyDescent="0.2">
      <c r="BH665" s="25"/>
      <c r="BI665" s="25"/>
      <c r="BJ665" s="25"/>
      <c r="BK665" s="25"/>
    </row>
    <row r="666" spans="60:63" ht="14.25" x14ac:dyDescent="0.2">
      <c r="BH666" s="25"/>
      <c r="BI666" s="25"/>
      <c r="BJ666" s="25"/>
      <c r="BK666" s="25"/>
    </row>
    <row r="667" spans="60:63" ht="14.25" x14ac:dyDescent="0.2">
      <c r="BH667" s="25"/>
      <c r="BI667" s="25"/>
      <c r="BJ667" s="25"/>
      <c r="BK667" s="25"/>
    </row>
    <row r="668" spans="60:63" ht="14.25" x14ac:dyDescent="0.2">
      <c r="BH668" s="25"/>
      <c r="BI668" s="25"/>
      <c r="BJ668" s="25"/>
      <c r="BK668" s="25"/>
    </row>
    <row r="669" spans="60:63" ht="14.25" x14ac:dyDescent="0.2">
      <c r="BH669" s="25"/>
      <c r="BI669" s="25"/>
      <c r="BJ669" s="25"/>
      <c r="BK669" s="25"/>
    </row>
    <row r="670" spans="60:63" ht="14.25" x14ac:dyDescent="0.2">
      <c r="BH670" s="25"/>
      <c r="BI670" s="25"/>
      <c r="BJ670" s="25"/>
      <c r="BK670" s="25"/>
    </row>
    <row r="671" spans="60:63" ht="14.25" x14ac:dyDescent="0.2">
      <c r="BH671" s="25"/>
      <c r="BI671" s="25"/>
      <c r="BJ671" s="25"/>
      <c r="BK671" s="25"/>
    </row>
    <row r="672" spans="60:63" ht="14.25" x14ac:dyDescent="0.2">
      <c r="BH672" s="25"/>
      <c r="BI672" s="25"/>
      <c r="BJ672" s="25"/>
      <c r="BK672" s="25"/>
    </row>
    <row r="673" spans="60:63" ht="14.25" x14ac:dyDescent="0.2">
      <c r="BH673" s="25"/>
      <c r="BI673" s="25"/>
      <c r="BJ673" s="25"/>
      <c r="BK673" s="25"/>
    </row>
    <row r="674" spans="60:63" ht="14.25" x14ac:dyDescent="0.2">
      <c r="BH674" s="25"/>
      <c r="BI674" s="25"/>
      <c r="BJ674" s="25"/>
      <c r="BK674" s="25"/>
    </row>
    <row r="675" spans="60:63" ht="14.25" x14ac:dyDescent="0.2">
      <c r="BH675" s="25"/>
      <c r="BI675" s="25"/>
      <c r="BJ675" s="25"/>
      <c r="BK675" s="25"/>
    </row>
    <row r="676" spans="60:63" ht="14.25" x14ac:dyDescent="0.2">
      <c r="BH676" s="25"/>
      <c r="BI676" s="25"/>
      <c r="BJ676" s="25"/>
      <c r="BK676" s="25"/>
    </row>
    <row r="677" spans="60:63" ht="14.25" x14ac:dyDescent="0.2">
      <c r="BH677" s="25"/>
      <c r="BI677" s="25"/>
      <c r="BJ677" s="25"/>
      <c r="BK677" s="25"/>
    </row>
    <row r="678" spans="60:63" ht="14.25" x14ac:dyDescent="0.2">
      <c r="BH678" s="25"/>
      <c r="BI678" s="25"/>
      <c r="BJ678" s="25"/>
      <c r="BK678" s="25"/>
    </row>
    <row r="679" spans="60:63" ht="14.25" x14ac:dyDescent="0.2">
      <c r="BH679" s="25"/>
      <c r="BI679" s="25"/>
      <c r="BJ679" s="25"/>
      <c r="BK679" s="25"/>
    </row>
    <row r="680" spans="60:63" ht="14.25" x14ac:dyDescent="0.2">
      <c r="BH680" s="25"/>
      <c r="BI680" s="25"/>
      <c r="BJ680" s="25"/>
      <c r="BK680" s="25"/>
    </row>
    <row r="681" spans="60:63" ht="14.25" x14ac:dyDescent="0.2">
      <c r="BH681" s="25"/>
      <c r="BI681" s="25"/>
      <c r="BJ681" s="25"/>
      <c r="BK681" s="25"/>
    </row>
    <row r="682" spans="60:63" ht="14.25" x14ac:dyDescent="0.2">
      <c r="BH682" s="25"/>
      <c r="BI682" s="25"/>
      <c r="BJ682" s="25"/>
      <c r="BK682" s="25"/>
    </row>
    <row r="683" spans="60:63" ht="14.25" x14ac:dyDescent="0.2">
      <c r="BH683" s="25"/>
      <c r="BI683" s="25"/>
      <c r="BJ683" s="25"/>
      <c r="BK683" s="25"/>
    </row>
    <row r="684" spans="60:63" ht="14.25" x14ac:dyDescent="0.2">
      <c r="BH684" s="25"/>
      <c r="BI684" s="25"/>
      <c r="BJ684" s="25"/>
      <c r="BK684" s="25"/>
    </row>
    <row r="685" spans="60:63" ht="14.25" x14ac:dyDescent="0.2">
      <c r="BH685" s="25"/>
      <c r="BI685" s="25"/>
      <c r="BJ685" s="25"/>
      <c r="BK685" s="25"/>
    </row>
    <row r="686" spans="60:63" ht="14.25" x14ac:dyDescent="0.2">
      <c r="BH686" s="25"/>
      <c r="BI686" s="25"/>
      <c r="BJ686" s="25"/>
      <c r="BK686" s="25"/>
    </row>
    <row r="687" spans="60:63" ht="14.25" x14ac:dyDescent="0.2">
      <c r="BH687" s="25"/>
      <c r="BI687" s="25"/>
      <c r="BJ687" s="25"/>
      <c r="BK687" s="25"/>
    </row>
    <row r="688" spans="60:63" ht="14.25" x14ac:dyDescent="0.2">
      <c r="BH688" s="25"/>
      <c r="BI688" s="25"/>
      <c r="BJ688" s="25"/>
      <c r="BK688" s="25"/>
    </row>
    <row r="689" spans="60:63" ht="14.25" x14ac:dyDescent="0.2">
      <c r="BH689" s="25"/>
      <c r="BI689" s="25"/>
      <c r="BJ689" s="25"/>
      <c r="BK689" s="25"/>
    </row>
    <row r="690" spans="60:63" ht="14.25" x14ac:dyDescent="0.2">
      <c r="BH690" s="25"/>
      <c r="BI690" s="25"/>
      <c r="BJ690" s="25"/>
      <c r="BK690" s="25"/>
    </row>
    <row r="691" spans="60:63" ht="14.25" x14ac:dyDescent="0.2">
      <c r="BH691" s="25"/>
      <c r="BI691" s="25"/>
      <c r="BJ691" s="25"/>
      <c r="BK691" s="25"/>
    </row>
    <row r="692" spans="60:63" ht="14.25" x14ac:dyDescent="0.2">
      <c r="BH692" s="25"/>
      <c r="BI692" s="25"/>
      <c r="BJ692" s="25"/>
      <c r="BK692" s="25"/>
    </row>
    <row r="693" spans="60:63" ht="14.25" x14ac:dyDescent="0.2">
      <c r="BH693" s="25"/>
      <c r="BI693" s="25"/>
      <c r="BJ693" s="25"/>
      <c r="BK693" s="25"/>
    </row>
    <row r="694" spans="60:63" ht="14.25" x14ac:dyDescent="0.2">
      <c r="BH694" s="25"/>
      <c r="BI694" s="25"/>
      <c r="BJ694" s="25"/>
      <c r="BK694" s="25"/>
    </row>
    <row r="695" spans="60:63" ht="14.25" x14ac:dyDescent="0.2">
      <c r="BH695" s="25"/>
      <c r="BI695" s="25"/>
      <c r="BJ695" s="25"/>
      <c r="BK695" s="25"/>
    </row>
    <row r="696" spans="60:63" ht="14.25" x14ac:dyDescent="0.2">
      <c r="BH696" s="25"/>
      <c r="BI696" s="25"/>
      <c r="BJ696" s="25"/>
      <c r="BK696" s="25"/>
    </row>
    <row r="697" spans="60:63" ht="14.25" x14ac:dyDescent="0.2">
      <c r="BH697" s="25"/>
      <c r="BI697" s="25"/>
      <c r="BJ697" s="25"/>
      <c r="BK697" s="25"/>
    </row>
    <row r="698" spans="60:63" ht="14.25" x14ac:dyDescent="0.2">
      <c r="BH698" s="25"/>
      <c r="BI698" s="25"/>
      <c r="BJ698" s="25"/>
      <c r="BK698" s="25"/>
    </row>
    <row r="699" spans="60:63" ht="14.25" x14ac:dyDescent="0.2">
      <c r="BH699" s="25"/>
      <c r="BI699" s="25"/>
      <c r="BJ699" s="25"/>
      <c r="BK699" s="25"/>
    </row>
    <row r="700" spans="60:63" ht="14.25" x14ac:dyDescent="0.2">
      <c r="BH700" s="25"/>
      <c r="BI700" s="25"/>
      <c r="BJ700" s="25"/>
      <c r="BK700" s="25"/>
    </row>
    <row r="701" spans="60:63" ht="14.25" x14ac:dyDescent="0.2">
      <c r="BH701" s="25"/>
      <c r="BI701" s="25"/>
      <c r="BJ701" s="25"/>
      <c r="BK701" s="25"/>
    </row>
    <row r="702" spans="60:63" ht="14.25" x14ac:dyDescent="0.2">
      <c r="BH702" s="25"/>
      <c r="BI702" s="25"/>
      <c r="BJ702" s="25"/>
      <c r="BK702" s="25"/>
    </row>
    <row r="703" spans="60:63" ht="14.25" x14ac:dyDescent="0.2">
      <c r="BH703" s="25"/>
      <c r="BI703" s="25"/>
      <c r="BJ703" s="25"/>
      <c r="BK703" s="25"/>
    </row>
    <row r="704" spans="60:63" ht="14.25" x14ac:dyDescent="0.2">
      <c r="BH704" s="25"/>
      <c r="BI704" s="25"/>
      <c r="BJ704" s="25"/>
      <c r="BK704" s="25"/>
    </row>
    <row r="705" spans="60:63" ht="14.25" x14ac:dyDescent="0.2">
      <c r="BH705" s="25"/>
      <c r="BI705" s="25"/>
      <c r="BJ705" s="25"/>
      <c r="BK705" s="25"/>
    </row>
    <row r="706" spans="60:63" ht="14.25" x14ac:dyDescent="0.2">
      <c r="BH706" s="25"/>
      <c r="BI706" s="25"/>
      <c r="BJ706" s="25"/>
      <c r="BK706" s="25"/>
    </row>
    <row r="707" spans="60:63" ht="14.25" x14ac:dyDescent="0.2">
      <c r="BH707" s="25"/>
      <c r="BI707" s="25"/>
      <c r="BJ707" s="25"/>
      <c r="BK707" s="25"/>
    </row>
    <row r="708" spans="60:63" ht="14.25" x14ac:dyDescent="0.2">
      <c r="BH708" s="25"/>
      <c r="BI708" s="25"/>
      <c r="BJ708" s="25"/>
      <c r="BK708" s="25"/>
    </row>
    <row r="709" spans="60:63" ht="14.25" x14ac:dyDescent="0.2">
      <c r="BH709" s="25"/>
      <c r="BI709" s="25"/>
      <c r="BJ709" s="25"/>
      <c r="BK709" s="25"/>
    </row>
    <row r="710" spans="60:63" ht="14.25" x14ac:dyDescent="0.2">
      <c r="BH710" s="25"/>
      <c r="BI710" s="25"/>
      <c r="BJ710" s="25"/>
      <c r="BK710" s="25"/>
    </row>
    <row r="711" spans="60:63" ht="14.25" x14ac:dyDescent="0.2">
      <c r="BH711" s="25"/>
      <c r="BI711" s="25"/>
      <c r="BJ711" s="25"/>
      <c r="BK711" s="25"/>
    </row>
    <row r="712" spans="60:63" ht="14.25" x14ac:dyDescent="0.2">
      <c r="BH712" s="25"/>
      <c r="BI712" s="25"/>
      <c r="BJ712" s="25"/>
      <c r="BK712" s="25"/>
    </row>
    <row r="713" spans="60:63" ht="14.25" x14ac:dyDescent="0.2">
      <c r="BH713" s="25"/>
      <c r="BI713" s="25"/>
      <c r="BJ713" s="25"/>
      <c r="BK713" s="25"/>
    </row>
    <row r="714" spans="60:63" ht="14.25" x14ac:dyDescent="0.2">
      <c r="BH714" s="25"/>
      <c r="BI714" s="25"/>
      <c r="BJ714" s="25"/>
      <c r="BK714" s="25"/>
    </row>
    <row r="715" spans="60:63" ht="14.25" x14ac:dyDescent="0.2">
      <c r="BH715" s="25"/>
      <c r="BI715" s="25"/>
      <c r="BJ715" s="25"/>
      <c r="BK715" s="25"/>
    </row>
    <row r="716" spans="60:63" ht="14.25" x14ac:dyDescent="0.2">
      <c r="BH716" s="25"/>
      <c r="BI716" s="25"/>
      <c r="BJ716" s="25"/>
      <c r="BK716" s="25"/>
    </row>
    <row r="717" spans="60:63" ht="14.25" x14ac:dyDescent="0.2">
      <c r="BH717" s="25"/>
      <c r="BI717" s="25"/>
      <c r="BJ717" s="25"/>
      <c r="BK717" s="25"/>
    </row>
    <row r="718" spans="60:63" ht="14.25" x14ac:dyDescent="0.2">
      <c r="BH718" s="25"/>
      <c r="BI718" s="25"/>
      <c r="BJ718" s="25"/>
      <c r="BK718" s="25"/>
    </row>
    <row r="719" spans="60:63" ht="14.25" x14ac:dyDescent="0.2">
      <c r="BH719" s="25"/>
      <c r="BI719" s="25"/>
      <c r="BJ719" s="25"/>
      <c r="BK719" s="25"/>
    </row>
    <row r="720" spans="60:63" ht="14.25" x14ac:dyDescent="0.2">
      <c r="BH720" s="25"/>
      <c r="BI720" s="25"/>
      <c r="BJ720" s="25"/>
      <c r="BK720" s="25"/>
    </row>
    <row r="721" spans="60:63" ht="14.25" x14ac:dyDescent="0.2">
      <c r="BH721" s="25"/>
      <c r="BI721" s="25"/>
      <c r="BJ721" s="25"/>
      <c r="BK721" s="25"/>
    </row>
    <row r="722" spans="60:63" ht="14.25" x14ac:dyDescent="0.2">
      <c r="BH722" s="25"/>
      <c r="BI722" s="25"/>
      <c r="BJ722" s="25"/>
      <c r="BK722" s="25"/>
    </row>
    <row r="723" spans="60:63" ht="14.25" x14ac:dyDescent="0.2">
      <c r="BH723" s="25"/>
      <c r="BI723" s="25"/>
      <c r="BJ723" s="25"/>
      <c r="BK723" s="25"/>
    </row>
    <row r="724" spans="60:63" ht="14.25" x14ac:dyDescent="0.2">
      <c r="BH724" s="25"/>
      <c r="BI724" s="25"/>
      <c r="BJ724" s="25"/>
      <c r="BK724" s="25"/>
    </row>
    <row r="725" spans="60:63" ht="14.25" x14ac:dyDescent="0.2">
      <c r="BH725" s="25"/>
      <c r="BI725" s="25"/>
      <c r="BJ725" s="25"/>
      <c r="BK725" s="25"/>
    </row>
    <row r="726" spans="60:63" ht="14.25" x14ac:dyDescent="0.2">
      <c r="BH726" s="25"/>
      <c r="BI726" s="25"/>
      <c r="BJ726" s="25"/>
      <c r="BK726" s="25"/>
    </row>
    <row r="727" spans="60:63" ht="14.25" x14ac:dyDescent="0.2">
      <c r="BH727" s="25"/>
      <c r="BI727" s="25"/>
      <c r="BJ727" s="25"/>
      <c r="BK727" s="25"/>
    </row>
    <row r="728" spans="60:63" ht="14.25" x14ac:dyDescent="0.2">
      <c r="BH728" s="25"/>
      <c r="BI728" s="25"/>
      <c r="BJ728" s="25"/>
      <c r="BK728" s="25"/>
    </row>
    <row r="729" spans="60:63" ht="14.25" x14ac:dyDescent="0.2">
      <c r="BH729" s="25"/>
      <c r="BI729" s="25"/>
      <c r="BJ729" s="25"/>
      <c r="BK729" s="25"/>
    </row>
    <row r="730" spans="60:63" ht="14.25" x14ac:dyDescent="0.2">
      <c r="BH730" s="25"/>
      <c r="BI730" s="25"/>
      <c r="BJ730" s="25"/>
      <c r="BK730" s="25"/>
    </row>
    <row r="731" spans="60:63" ht="14.25" x14ac:dyDescent="0.2">
      <c r="BH731" s="25"/>
      <c r="BI731" s="25"/>
      <c r="BJ731" s="25"/>
      <c r="BK731" s="25"/>
    </row>
    <row r="732" spans="60:63" ht="14.25" x14ac:dyDescent="0.2">
      <c r="BH732" s="25"/>
      <c r="BI732" s="25"/>
      <c r="BJ732" s="25"/>
      <c r="BK732" s="25"/>
    </row>
    <row r="733" spans="60:63" ht="14.25" x14ac:dyDescent="0.2">
      <c r="BH733" s="25"/>
      <c r="BI733" s="25"/>
      <c r="BJ733" s="25"/>
      <c r="BK733" s="25"/>
    </row>
    <row r="734" spans="60:63" ht="14.25" x14ac:dyDescent="0.2">
      <c r="BH734" s="25"/>
      <c r="BI734" s="25"/>
      <c r="BJ734" s="25"/>
      <c r="BK734" s="25"/>
    </row>
    <row r="735" spans="60:63" ht="14.25" x14ac:dyDescent="0.2">
      <c r="BH735" s="25"/>
      <c r="BI735" s="25"/>
      <c r="BJ735" s="25"/>
      <c r="BK735" s="25"/>
    </row>
    <row r="736" spans="60:63" ht="14.25" x14ac:dyDescent="0.2">
      <c r="BH736" s="25"/>
      <c r="BI736" s="25"/>
      <c r="BJ736" s="25"/>
      <c r="BK736" s="25"/>
    </row>
    <row r="737" spans="60:63" ht="14.25" x14ac:dyDescent="0.2">
      <c r="BH737" s="25"/>
      <c r="BI737" s="25"/>
      <c r="BJ737" s="25"/>
      <c r="BK737" s="25"/>
    </row>
    <row r="738" spans="60:63" ht="14.25" x14ac:dyDescent="0.2">
      <c r="BH738" s="25"/>
      <c r="BI738" s="25"/>
      <c r="BJ738" s="25"/>
      <c r="BK738" s="25"/>
    </row>
    <row r="739" spans="60:63" ht="14.25" x14ac:dyDescent="0.2">
      <c r="BH739" s="25"/>
      <c r="BI739" s="25"/>
      <c r="BJ739" s="25"/>
      <c r="BK739" s="25"/>
    </row>
    <row r="740" spans="60:63" ht="14.25" x14ac:dyDescent="0.2">
      <c r="BH740" s="25"/>
      <c r="BI740" s="25"/>
      <c r="BJ740" s="25"/>
      <c r="BK740" s="25"/>
    </row>
    <row r="741" spans="60:63" ht="14.25" x14ac:dyDescent="0.2">
      <c r="BH741" s="25"/>
      <c r="BI741" s="25"/>
      <c r="BJ741" s="25"/>
      <c r="BK741" s="25"/>
    </row>
    <row r="742" spans="60:63" ht="14.25" x14ac:dyDescent="0.2">
      <c r="BH742" s="25"/>
      <c r="BI742" s="25"/>
      <c r="BJ742" s="25"/>
      <c r="BK742" s="25"/>
    </row>
    <row r="743" spans="60:63" ht="14.25" x14ac:dyDescent="0.2">
      <c r="BH743" s="25"/>
      <c r="BI743" s="25"/>
      <c r="BJ743" s="25"/>
      <c r="BK743" s="25"/>
    </row>
    <row r="744" spans="60:63" ht="14.25" x14ac:dyDescent="0.2">
      <c r="BH744" s="25"/>
      <c r="BI744" s="25"/>
      <c r="BJ744" s="25"/>
      <c r="BK744" s="25"/>
    </row>
    <row r="745" spans="60:63" ht="14.25" x14ac:dyDescent="0.2">
      <c r="BH745" s="25"/>
      <c r="BI745" s="25"/>
      <c r="BJ745" s="25"/>
      <c r="BK745" s="25"/>
    </row>
    <row r="746" spans="60:63" ht="14.25" x14ac:dyDescent="0.2">
      <c r="BH746" s="25"/>
      <c r="BI746" s="25"/>
      <c r="BJ746" s="25"/>
      <c r="BK746" s="25"/>
    </row>
    <row r="747" spans="60:63" ht="14.25" x14ac:dyDescent="0.2">
      <c r="BH747" s="25"/>
      <c r="BI747" s="25"/>
      <c r="BJ747" s="25"/>
      <c r="BK747" s="25"/>
    </row>
    <row r="748" spans="60:63" ht="14.25" x14ac:dyDescent="0.2">
      <c r="BH748" s="25"/>
      <c r="BI748" s="25"/>
      <c r="BJ748" s="25"/>
      <c r="BK748" s="25"/>
    </row>
    <row r="749" spans="60:63" ht="14.25" x14ac:dyDescent="0.2">
      <c r="BH749" s="25"/>
      <c r="BI749" s="25"/>
      <c r="BJ749" s="25"/>
      <c r="BK749" s="25"/>
    </row>
    <row r="750" spans="60:63" ht="14.25" x14ac:dyDescent="0.2">
      <c r="BH750" s="25"/>
      <c r="BI750" s="25"/>
      <c r="BJ750" s="25"/>
      <c r="BK750" s="25"/>
    </row>
    <row r="751" spans="60:63" ht="14.25" x14ac:dyDescent="0.2">
      <c r="BH751" s="25"/>
      <c r="BI751" s="25"/>
      <c r="BJ751" s="25"/>
      <c r="BK751" s="25"/>
    </row>
    <row r="752" spans="60:63" ht="14.25" x14ac:dyDescent="0.2">
      <c r="BH752" s="25"/>
      <c r="BI752" s="25"/>
      <c r="BJ752" s="25"/>
      <c r="BK752" s="25"/>
    </row>
    <row r="753" spans="60:63" ht="14.25" x14ac:dyDescent="0.2">
      <c r="BH753" s="25"/>
      <c r="BI753" s="25"/>
      <c r="BJ753" s="25"/>
      <c r="BK753" s="25"/>
    </row>
    <row r="754" spans="60:63" ht="14.25" x14ac:dyDescent="0.2">
      <c r="BH754" s="25"/>
      <c r="BI754" s="25"/>
      <c r="BJ754" s="25"/>
      <c r="BK754" s="25"/>
    </row>
    <row r="755" spans="60:63" ht="14.25" x14ac:dyDescent="0.2">
      <c r="BH755" s="25"/>
      <c r="BI755" s="25"/>
      <c r="BJ755" s="25"/>
      <c r="BK755" s="25"/>
    </row>
    <row r="756" spans="60:63" ht="14.25" x14ac:dyDescent="0.2">
      <c r="BH756" s="25"/>
      <c r="BI756" s="25"/>
      <c r="BJ756" s="25"/>
      <c r="BK756" s="25"/>
    </row>
    <row r="757" spans="60:63" ht="14.25" x14ac:dyDescent="0.2">
      <c r="BH757" s="25"/>
      <c r="BI757" s="25"/>
      <c r="BJ757" s="25"/>
      <c r="BK757" s="25"/>
    </row>
    <row r="758" spans="60:63" ht="14.25" x14ac:dyDescent="0.2">
      <c r="BH758" s="25"/>
      <c r="BI758" s="25"/>
      <c r="BJ758" s="25"/>
      <c r="BK758" s="25"/>
    </row>
    <row r="759" spans="60:63" ht="14.25" x14ac:dyDescent="0.2">
      <c r="BH759" s="25"/>
      <c r="BI759" s="25"/>
      <c r="BJ759" s="25"/>
      <c r="BK759" s="25"/>
    </row>
    <row r="760" spans="60:63" ht="14.25" x14ac:dyDescent="0.2">
      <c r="BH760" s="25"/>
      <c r="BI760" s="25"/>
      <c r="BJ760" s="25"/>
      <c r="BK760" s="25"/>
    </row>
    <row r="761" spans="60:63" ht="14.25" x14ac:dyDescent="0.2">
      <c r="BH761" s="25"/>
      <c r="BI761" s="25"/>
      <c r="BJ761" s="25"/>
      <c r="BK761" s="25"/>
    </row>
    <row r="762" spans="60:63" ht="14.25" x14ac:dyDescent="0.2">
      <c r="BH762" s="25"/>
      <c r="BI762" s="25"/>
      <c r="BJ762" s="25"/>
      <c r="BK762" s="25"/>
    </row>
    <row r="763" spans="60:63" ht="14.25" x14ac:dyDescent="0.2">
      <c r="BH763" s="25"/>
      <c r="BI763" s="25"/>
      <c r="BJ763" s="25"/>
      <c r="BK763" s="25"/>
    </row>
    <row r="764" spans="60:63" ht="14.25" x14ac:dyDescent="0.2">
      <c r="BH764" s="25"/>
      <c r="BI764" s="25"/>
      <c r="BJ764" s="25"/>
      <c r="BK764" s="25"/>
    </row>
    <row r="765" spans="60:63" ht="14.25" x14ac:dyDescent="0.2">
      <c r="BH765" s="25"/>
      <c r="BI765" s="25"/>
      <c r="BJ765" s="25"/>
      <c r="BK765" s="25"/>
    </row>
    <row r="766" spans="60:63" ht="14.25" x14ac:dyDescent="0.2">
      <c r="BH766" s="25"/>
      <c r="BI766" s="25"/>
      <c r="BJ766" s="25"/>
      <c r="BK766" s="25"/>
    </row>
    <row r="767" spans="60:63" ht="14.25" x14ac:dyDescent="0.2">
      <c r="BH767" s="25"/>
      <c r="BI767" s="25"/>
      <c r="BJ767" s="25"/>
      <c r="BK767" s="25"/>
    </row>
    <row r="768" spans="60:63" ht="14.25" x14ac:dyDescent="0.2">
      <c r="BH768" s="25"/>
      <c r="BI768" s="25"/>
      <c r="BJ768" s="25"/>
      <c r="BK768" s="25"/>
    </row>
    <row r="769" spans="60:63" ht="14.25" x14ac:dyDescent="0.2">
      <c r="BH769" s="25"/>
      <c r="BI769" s="25"/>
      <c r="BJ769" s="25"/>
      <c r="BK769" s="25"/>
    </row>
    <row r="770" spans="60:63" ht="14.25" x14ac:dyDescent="0.2">
      <c r="BH770" s="25"/>
      <c r="BI770" s="25"/>
      <c r="BJ770" s="25"/>
      <c r="BK770" s="25"/>
    </row>
    <row r="771" spans="60:63" ht="14.25" x14ac:dyDescent="0.2">
      <c r="BH771" s="25"/>
      <c r="BI771" s="25"/>
      <c r="BJ771" s="25"/>
      <c r="BK771" s="25"/>
    </row>
    <row r="772" spans="60:63" ht="14.25" x14ac:dyDescent="0.2">
      <c r="BH772" s="25"/>
      <c r="BI772" s="25"/>
      <c r="BJ772" s="25"/>
      <c r="BK772" s="25"/>
    </row>
    <row r="773" spans="60:63" ht="14.25" x14ac:dyDescent="0.2">
      <c r="BH773" s="25"/>
      <c r="BI773" s="25"/>
      <c r="BJ773" s="25"/>
      <c r="BK773" s="25"/>
    </row>
    <row r="774" spans="60:63" ht="14.25" x14ac:dyDescent="0.2">
      <c r="BH774" s="25"/>
      <c r="BI774" s="25"/>
      <c r="BJ774" s="25"/>
      <c r="BK774" s="25"/>
    </row>
    <row r="775" spans="60:63" ht="14.25" x14ac:dyDescent="0.2">
      <c r="BH775" s="25"/>
      <c r="BI775" s="25"/>
      <c r="BJ775" s="25"/>
      <c r="BK775" s="25"/>
    </row>
    <row r="776" spans="60:63" ht="14.25" x14ac:dyDescent="0.2">
      <c r="BH776" s="25"/>
      <c r="BI776" s="25"/>
      <c r="BJ776" s="25"/>
      <c r="BK776" s="25"/>
    </row>
    <row r="777" spans="60:63" ht="14.25" x14ac:dyDescent="0.2">
      <c r="BH777" s="25"/>
      <c r="BI777" s="25"/>
      <c r="BJ777" s="25"/>
      <c r="BK777" s="25"/>
    </row>
    <row r="778" spans="60:63" ht="14.25" x14ac:dyDescent="0.2">
      <c r="BH778" s="25"/>
      <c r="BI778" s="25"/>
      <c r="BJ778" s="25"/>
      <c r="BK778" s="25"/>
    </row>
    <row r="779" spans="60:63" ht="14.25" x14ac:dyDescent="0.2">
      <c r="BH779" s="25"/>
      <c r="BI779" s="25"/>
      <c r="BJ779" s="25"/>
      <c r="BK779" s="25"/>
    </row>
    <row r="780" spans="60:63" ht="14.25" x14ac:dyDescent="0.2">
      <c r="BH780" s="25"/>
      <c r="BI780" s="25"/>
      <c r="BJ780" s="25"/>
      <c r="BK780" s="25"/>
    </row>
    <row r="781" spans="60:63" ht="14.25" x14ac:dyDescent="0.2">
      <c r="BH781" s="25"/>
      <c r="BI781" s="25"/>
      <c r="BJ781" s="25"/>
      <c r="BK781" s="25"/>
    </row>
    <row r="782" spans="60:63" ht="14.25" x14ac:dyDescent="0.2">
      <c r="BH782" s="25"/>
      <c r="BI782" s="25"/>
      <c r="BJ782" s="25"/>
      <c r="BK782" s="25"/>
    </row>
    <row r="783" spans="60:63" ht="14.25" x14ac:dyDescent="0.2">
      <c r="BH783" s="25"/>
      <c r="BI783" s="25"/>
      <c r="BJ783" s="25"/>
      <c r="BK783" s="25"/>
    </row>
    <row r="784" spans="60:63" ht="14.25" x14ac:dyDescent="0.2">
      <c r="BH784" s="25"/>
      <c r="BI784" s="25"/>
      <c r="BJ784" s="25"/>
      <c r="BK784" s="25"/>
    </row>
    <row r="785" spans="60:63" ht="14.25" x14ac:dyDescent="0.2">
      <c r="BH785" s="25"/>
      <c r="BI785" s="25"/>
      <c r="BJ785" s="25"/>
      <c r="BK785" s="25"/>
    </row>
    <row r="786" spans="60:63" ht="14.25" x14ac:dyDescent="0.2">
      <c r="BH786" s="25"/>
      <c r="BI786" s="25"/>
      <c r="BJ786" s="25"/>
      <c r="BK786" s="25"/>
    </row>
    <row r="787" spans="60:63" ht="14.25" x14ac:dyDescent="0.2">
      <c r="BH787" s="25"/>
      <c r="BI787" s="25"/>
      <c r="BJ787" s="25"/>
      <c r="BK787" s="25"/>
    </row>
    <row r="788" spans="60:63" ht="14.25" x14ac:dyDescent="0.2">
      <c r="BH788" s="25"/>
      <c r="BI788" s="25"/>
      <c r="BJ788" s="25"/>
      <c r="BK788" s="25"/>
    </row>
    <row r="789" spans="60:63" ht="14.25" x14ac:dyDescent="0.2">
      <c r="BH789" s="25"/>
      <c r="BI789" s="25"/>
      <c r="BJ789" s="25"/>
      <c r="BK789" s="25"/>
    </row>
    <row r="790" spans="60:63" ht="14.25" x14ac:dyDescent="0.2">
      <c r="BH790" s="25"/>
      <c r="BI790" s="25"/>
      <c r="BJ790" s="25"/>
      <c r="BK790" s="25"/>
    </row>
    <row r="791" spans="60:63" ht="14.25" x14ac:dyDescent="0.2">
      <c r="BH791" s="25"/>
      <c r="BI791" s="25"/>
      <c r="BJ791" s="25"/>
      <c r="BK791" s="25"/>
    </row>
    <row r="792" spans="60:63" ht="14.25" x14ac:dyDescent="0.2">
      <c r="BH792" s="25"/>
      <c r="BI792" s="25"/>
      <c r="BJ792" s="25"/>
      <c r="BK792" s="25"/>
    </row>
    <row r="793" spans="60:63" ht="14.25" x14ac:dyDescent="0.2">
      <c r="BH793" s="25"/>
      <c r="BI793" s="25"/>
      <c r="BJ793" s="25"/>
      <c r="BK793" s="25"/>
    </row>
    <row r="794" spans="60:63" ht="14.25" x14ac:dyDescent="0.2">
      <c r="BH794" s="25"/>
      <c r="BI794" s="25"/>
      <c r="BJ794" s="25"/>
      <c r="BK794" s="25"/>
    </row>
    <row r="795" spans="60:63" ht="14.25" x14ac:dyDescent="0.2">
      <c r="BH795" s="25"/>
      <c r="BI795" s="25"/>
      <c r="BJ795" s="25"/>
      <c r="BK795" s="25"/>
    </row>
    <row r="796" spans="60:63" ht="14.25" x14ac:dyDescent="0.2">
      <c r="BH796" s="25"/>
      <c r="BI796" s="25"/>
      <c r="BJ796" s="25"/>
      <c r="BK796" s="25"/>
    </row>
    <row r="797" spans="60:63" ht="14.25" x14ac:dyDescent="0.2">
      <c r="BH797" s="25"/>
      <c r="BI797" s="25"/>
      <c r="BJ797" s="25"/>
      <c r="BK797" s="25"/>
    </row>
    <row r="798" spans="60:63" ht="14.25" x14ac:dyDescent="0.2">
      <c r="BH798" s="25"/>
      <c r="BI798" s="25"/>
      <c r="BJ798" s="25"/>
      <c r="BK798" s="25"/>
    </row>
    <row r="799" spans="60:63" ht="14.25" x14ac:dyDescent="0.2">
      <c r="BH799" s="25"/>
      <c r="BI799" s="25"/>
      <c r="BJ799" s="25"/>
      <c r="BK799" s="25"/>
    </row>
    <row r="800" spans="60:63" ht="14.25" x14ac:dyDescent="0.2">
      <c r="BH800" s="25"/>
      <c r="BI800" s="25"/>
      <c r="BJ800" s="25"/>
      <c r="BK800" s="25"/>
    </row>
    <row r="801" spans="60:63" ht="14.25" x14ac:dyDescent="0.2">
      <c r="BH801" s="25"/>
      <c r="BI801" s="25"/>
      <c r="BJ801" s="25"/>
      <c r="BK801" s="25"/>
    </row>
    <row r="802" spans="60:63" ht="14.25" x14ac:dyDescent="0.2">
      <c r="BH802" s="25"/>
      <c r="BI802" s="25"/>
      <c r="BJ802" s="25"/>
      <c r="BK802" s="25"/>
    </row>
    <row r="803" spans="60:63" ht="14.25" x14ac:dyDescent="0.2">
      <c r="BH803" s="25"/>
      <c r="BI803" s="25"/>
      <c r="BJ803" s="25"/>
      <c r="BK803" s="25"/>
    </row>
    <row r="804" spans="60:63" ht="14.25" x14ac:dyDescent="0.2">
      <c r="BH804" s="25"/>
      <c r="BI804" s="25"/>
      <c r="BJ804" s="25"/>
      <c r="BK804" s="25"/>
    </row>
    <row r="805" spans="60:63" ht="14.25" x14ac:dyDescent="0.2">
      <c r="BH805" s="25"/>
      <c r="BI805" s="25"/>
      <c r="BJ805" s="25"/>
      <c r="BK805" s="25"/>
    </row>
    <row r="806" spans="60:63" ht="14.25" x14ac:dyDescent="0.2">
      <c r="BH806" s="25"/>
      <c r="BI806" s="25"/>
      <c r="BJ806" s="25"/>
      <c r="BK806" s="25"/>
    </row>
    <row r="807" spans="60:63" ht="14.25" x14ac:dyDescent="0.2">
      <c r="BH807" s="25"/>
      <c r="BI807" s="25"/>
      <c r="BJ807" s="25"/>
      <c r="BK807" s="25"/>
    </row>
    <row r="808" spans="60:63" ht="14.25" x14ac:dyDescent="0.2">
      <c r="BH808" s="25"/>
      <c r="BI808" s="25"/>
      <c r="BJ808" s="25"/>
      <c r="BK808" s="25"/>
    </row>
    <row r="809" spans="60:63" ht="14.25" x14ac:dyDescent="0.2">
      <c r="BH809" s="25"/>
      <c r="BI809" s="25"/>
      <c r="BJ809" s="25"/>
      <c r="BK809" s="25"/>
    </row>
    <row r="810" spans="60:63" ht="14.25" x14ac:dyDescent="0.2">
      <c r="BH810" s="25"/>
      <c r="BI810" s="25"/>
      <c r="BJ810" s="25"/>
      <c r="BK810" s="25"/>
    </row>
    <row r="811" spans="60:63" ht="14.25" x14ac:dyDescent="0.2">
      <c r="BH811" s="25"/>
      <c r="BI811" s="25"/>
      <c r="BJ811" s="25"/>
      <c r="BK811" s="25"/>
    </row>
    <row r="812" spans="60:63" ht="14.25" x14ac:dyDescent="0.2">
      <c r="BH812" s="25"/>
      <c r="BI812" s="25"/>
      <c r="BJ812" s="25"/>
      <c r="BK812" s="25"/>
    </row>
    <row r="813" spans="60:63" ht="14.25" x14ac:dyDescent="0.2">
      <c r="BH813" s="25"/>
      <c r="BI813" s="25"/>
      <c r="BJ813" s="25"/>
      <c r="BK813" s="25"/>
    </row>
    <row r="814" spans="60:63" ht="14.25" x14ac:dyDescent="0.2">
      <c r="BH814" s="25"/>
      <c r="BI814" s="25"/>
      <c r="BJ814" s="25"/>
      <c r="BK814" s="25"/>
    </row>
    <row r="815" spans="60:63" ht="14.25" x14ac:dyDescent="0.2">
      <c r="BH815" s="25"/>
      <c r="BI815" s="25"/>
      <c r="BJ815" s="25"/>
      <c r="BK815" s="25"/>
    </row>
    <row r="816" spans="60:63" ht="14.25" x14ac:dyDescent="0.2">
      <c r="BH816" s="25"/>
      <c r="BI816" s="25"/>
      <c r="BJ816" s="25"/>
      <c r="BK816" s="25"/>
    </row>
    <row r="817" spans="60:63" ht="14.25" x14ac:dyDescent="0.2">
      <c r="BH817" s="25"/>
      <c r="BI817" s="25"/>
      <c r="BJ817" s="25"/>
      <c r="BK817" s="25"/>
    </row>
    <row r="818" spans="60:63" ht="14.25" x14ac:dyDescent="0.2">
      <c r="BH818" s="25"/>
      <c r="BI818" s="25"/>
      <c r="BJ818" s="25"/>
      <c r="BK818" s="25"/>
    </row>
    <row r="819" spans="60:63" ht="14.25" x14ac:dyDescent="0.2">
      <c r="BH819" s="25"/>
      <c r="BI819" s="25"/>
      <c r="BJ819" s="25"/>
      <c r="BK819" s="25"/>
    </row>
    <row r="820" spans="60:63" ht="14.25" x14ac:dyDescent="0.2">
      <c r="BH820" s="25"/>
      <c r="BI820" s="25"/>
      <c r="BJ820" s="25"/>
      <c r="BK820" s="25"/>
    </row>
    <row r="821" spans="60:63" ht="14.25" x14ac:dyDescent="0.2">
      <c r="BH821" s="25"/>
      <c r="BI821" s="25"/>
      <c r="BJ821" s="25"/>
      <c r="BK821" s="25"/>
    </row>
    <row r="822" spans="60:63" ht="14.25" x14ac:dyDescent="0.2">
      <c r="BH822" s="25"/>
      <c r="BI822" s="25"/>
      <c r="BJ822" s="25"/>
      <c r="BK822" s="25"/>
    </row>
    <row r="823" spans="60:63" ht="14.25" x14ac:dyDescent="0.2">
      <c r="BH823" s="25"/>
      <c r="BI823" s="25"/>
      <c r="BJ823" s="25"/>
      <c r="BK823" s="25"/>
    </row>
    <row r="824" spans="60:63" ht="14.25" x14ac:dyDescent="0.2">
      <c r="BH824" s="25"/>
      <c r="BI824" s="25"/>
      <c r="BJ824" s="25"/>
      <c r="BK824" s="25"/>
    </row>
    <row r="825" spans="60:63" ht="14.25" x14ac:dyDescent="0.2">
      <c r="BH825" s="25"/>
      <c r="BI825" s="25"/>
      <c r="BJ825" s="25"/>
      <c r="BK825" s="25"/>
    </row>
    <row r="826" spans="60:63" ht="14.25" x14ac:dyDescent="0.2">
      <c r="BH826" s="25"/>
      <c r="BI826" s="25"/>
      <c r="BJ826" s="25"/>
      <c r="BK826" s="25"/>
    </row>
    <row r="827" spans="60:63" ht="14.25" x14ac:dyDescent="0.2">
      <c r="BH827" s="25"/>
      <c r="BI827" s="25"/>
      <c r="BJ827" s="25"/>
      <c r="BK827" s="25"/>
    </row>
    <row r="828" spans="60:63" ht="14.25" x14ac:dyDescent="0.2">
      <c r="BH828" s="25"/>
      <c r="BI828" s="25"/>
      <c r="BJ828" s="25"/>
      <c r="BK828" s="25"/>
    </row>
    <row r="829" spans="60:63" ht="14.25" x14ac:dyDescent="0.2">
      <c r="BH829" s="25"/>
      <c r="BI829" s="25"/>
      <c r="BJ829" s="25"/>
      <c r="BK829" s="25"/>
    </row>
    <row r="830" spans="60:63" ht="14.25" x14ac:dyDescent="0.2">
      <c r="BH830" s="25"/>
      <c r="BI830" s="25"/>
      <c r="BJ830" s="25"/>
      <c r="BK830" s="25"/>
    </row>
    <row r="831" spans="60:63" ht="14.25" x14ac:dyDescent="0.2">
      <c r="BH831" s="25"/>
      <c r="BI831" s="25"/>
      <c r="BJ831" s="25"/>
      <c r="BK831" s="25"/>
    </row>
    <row r="832" spans="60:63" ht="14.25" x14ac:dyDescent="0.2">
      <c r="BH832" s="25"/>
      <c r="BI832" s="25"/>
      <c r="BJ832" s="25"/>
      <c r="BK832" s="25"/>
    </row>
    <row r="833" spans="60:63" ht="14.25" x14ac:dyDescent="0.2">
      <c r="BH833" s="25"/>
      <c r="BI833" s="25"/>
      <c r="BJ833" s="25"/>
      <c r="BK833" s="25"/>
    </row>
    <row r="834" spans="60:63" ht="14.25" x14ac:dyDescent="0.2">
      <c r="BH834" s="25"/>
      <c r="BI834" s="25"/>
      <c r="BJ834" s="25"/>
      <c r="BK834" s="25"/>
    </row>
    <row r="835" spans="60:63" ht="14.25" x14ac:dyDescent="0.2">
      <c r="BH835" s="25"/>
      <c r="BI835" s="25"/>
      <c r="BJ835" s="25"/>
      <c r="BK835" s="25"/>
    </row>
    <row r="836" spans="60:63" ht="14.25" x14ac:dyDescent="0.2">
      <c r="BH836" s="25"/>
      <c r="BI836" s="25"/>
      <c r="BJ836" s="25"/>
      <c r="BK836" s="25"/>
    </row>
    <row r="837" spans="60:63" ht="14.25" x14ac:dyDescent="0.2">
      <c r="BH837" s="25"/>
      <c r="BI837" s="25"/>
      <c r="BJ837" s="25"/>
      <c r="BK837" s="25"/>
    </row>
    <row r="838" spans="60:63" ht="14.25" x14ac:dyDescent="0.2">
      <c r="BH838" s="25"/>
      <c r="BI838" s="25"/>
      <c r="BJ838" s="25"/>
      <c r="BK838" s="25"/>
    </row>
    <row r="839" spans="60:63" ht="14.25" x14ac:dyDescent="0.2">
      <c r="BH839" s="25"/>
      <c r="BI839" s="25"/>
      <c r="BJ839" s="25"/>
      <c r="BK839" s="25"/>
    </row>
    <row r="840" spans="60:63" ht="14.25" x14ac:dyDescent="0.2">
      <c r="BH840" s="25"/>
      <c r="BI840" s="25"/>
      <c r="BJ840" s="25"/>
      <c r="BK840" s="25"/>
    </row>
    <row r="841" spans="60:63" ht="14.25" x14ac:dyDescent="0.2">
      <c r="BH841" s="25"/>
      <c r="BI841" s="25"/>
      <c r="BJ841" s="25"/>
      <c r="BK841" s="25"/>
    </row>
    <row r="842" spans="60:63" ht="14.25" x14ac:dyDescent="0.2">
      <c r="BH842" s="25"/>
      <c r="BI842" s="25"/>
      <c r="BJ842" s="25"/>
      <c r="BK842" s="25"/>
    </row>
    <row r="843" spans="60:63" ht="14.25" x14ac:dyDescent="0.2">
      <c r="BH843" s="25"/>
      <c r="BI843" s="25"/>
      <c r="BJ843" s="25"/>
      <c r="BK843" s="25"/>
    </row>
    <row r="844" spans="60:63" ht="14.25" x14ac:dyDescent="0.2">
      <c r="BH844" s="25"/>
      <c r="BI844" s="25"/>
      <c r="BJ844" s="25"/>
      <c r="BK844" s="25"/>
    </row>
    <row r="845" spans="60:63" ht="14.25" x14ac:dyDescent="0.2">
      <c r="BH845" s="25"/>
      <c r="BI845" s="25"/>
      <c r="BJ845" s="25"/>
      <c r="BK845" s="25"/>
    </row>
    <row r="846" spans="60:63" ht="14.25" x14ac:dyDescent="0.2">
      <c r="BH846" s="25"/>
      <c r="BI846" s="25"/>
      <c r="BJ846" s="25"/>
      <c r="BK846" s="25"/>
    </row>
    <row r="847" spans="60:63" ht="14.25" x14ac:dyDescent="0.2">
      <c r="BH847" s="25"/>
      <c r="BI847" s="25"/>
      <c r="BJ847" s="25"/>
      <c r="BK847" s="25"/>
    </row>
    <row r="848" spans="60:63" ht="14.25" x14ac:dyDescent="0.2">
      <c r="BH848" s="25"/>
      <c r="BI848" s="25"/>
      <c r="BJ848" s="25"/>
      <c r="BK848" s="25"/>
    </row>
    <row r="849" spans="60:63" ht="14.25" x14ac:dyDescent="0.2">
      <c r="BH849" s="25"/>
      <c r="BI849" s="25"/>
      <c r="BJ849" s="25"/>
      <c r="BK849" s="25"/>
    </row>
    <row r="850" spans="60:63" ht="14.25" x14ac:dyDescent="0.2">
      <c r="BH850" s="25"/>
      <c r="BI850" s="25"/>
      <c r="BJ850" s="25"/>
      <c r="BK850" s="25"/>
    </row>
    <row r="851" spans="60:63" ht="14.25" x14ac:dyDescent="0.2">
      <c r="BH851" s="25"/>
      <c r="BI851" s="25"/>
      <c r="BJ851" s="25"/>
      <c r="BK851" s="25"/>
    </row>
    <row r="852" spans="60:63" ht="14.25" x14ac:dyDescent="0.2">
      <c r="BH852" s="25"/>
      <c r="BI852" s="25"/>
      <c r="BJ852" s="25"/>
      <c r="BK852" s="25"/>
    </row>
    <row r="853" spans="60:63" ht="14.25" x14ac:dyDescent="0.2">
      <c r="BH853" s="25"/>
      <c r="BI853" s="25"/>
      <c r="BJ853" s="25"/>
      <c r="BK853" s="25"/>
    </row>
    <row r="854" spans="60:63" ht="14.25" x14ac:dyDescent="0.2">
      <c r="BH854" s="25"/>
      <c r="BI854" s="25"/>
      <c r="BJ854" s="25"/>
      <c r="BK854" s="25"/>
    </row>
    <row r="855" spans="60:63" ht="14.25" x14ac:dyDescent="0.2">
      <c r="BH855" s="25"/>
      <c r="BI855" s="25"/>
      <c r="BJ855" s="25"/>
      <c r="BK855" s="25"/>
    </row>
    <row r="856" spans="60:63" ht="14.25" x14ac:dyDescent="0.2">
      <c r="BH856" s="25"/>
      <c r="BI856" s="25"/>
      <c r="BJ856" s="25"/>
      <c r="BK856" s="25"/>
    </row>
    <row r="857" spans="60:63" ht="14.25" x14ac:dyDescent="0.2">
      <c r="BH857" s="25"/>
      <c r="BI857" s="25"/>
      <c r="BJ857" s="25"/>
      <c r="BK857" s="25"/>
    </row>
    <row r="858" spans="60:63" ht="14.25" x14ac:dyDescent="0.2">
      <c r="BH858" s="25"/>
      <c r="BI858" s="25"/>
      <c r="BJ858" s="25"/>
      <c r="BK858" s="25"/>
    </row>
    <row r="859" spans="60:63" ht="14.25" x14ac:dyDescent="0.2">
      <c r="BH859" s="25"/>
      <c r="BI859" s="25"/>
      <c r="BJ859" s="25"/>
      <c r="BK859" s="25"/>
    </row>
    <row r="860" spans="60:63" ht="14.25" x14ac:dyDescent="0.2">
      <c r="BH860" s="25"/>
      <c r="BI860" s="25"/>
      <c r="BJ860" s="25"/>
      <c r="BK860" s="25"/>
    </row>
    <row r="861" spans="60:63" ht="14.25" x14ac:dyDescent="0.2">
      <c r="BH861" s="25"/>
      <c r="BI861" s="25"/>
      <c r="BJ861" s="25"/>
      <c r="BK861" s="25"/>
    </row>
    <row r="862" spans="60:63" ht="14.25" x14ac:dyDescent="0.2">
      <c r="BH862" s="25"/>
      <c r="BI862" s="25"/>
      <c r="BJ862" s="25"/>
      <c r="BK862" s="25"/>
    </row>
    <row r="863" spans="60:63" ht="14.25" x14ac:dyDescent="0.2">
      <c r="BH863" s="25"/>
      <c r="BI863" s="25"/>
      <c r="BJ863" s="25"/>
      <c r="BK863" s="25"/>
    </row>
    <row r="864" spans="60:63" ht="14.25" x14ac:dyDescent="0.2">
      <c r="BH864" s="25"/>
      <c r="BI864" s="25"/>
      <c r="BJ864" s="25"/>
      <c r="BK864" s="25"/>
    </row>
    <row r="865" spans="60:63" ht="14.25" x14ac:dyDescent="0.2">
      <c r="BH865" s="25"/>
      <c r="BI865" s="25"/>
      <c r="BJ865" s="25"/>
      <c r="BK865" s="25"/>
    </row>
    <row r="866" spans="60:63" ht="14.25" x14ac:dyDescent="0.2">
      <c r="BH866" s="25"/>
      <c r="BI866" s="25"/>
      <c r="BJ866" s="25"/>
      <c r="BK866" s="25"/>
    </row>
    <row r="867" spans="60:63" ht="14.25" x14ac:dyDescent="0.2">
      <c r="BH867" s="25"/>
      <c r="BI867" s="25"/>
      <c r="BJ867" s="25"/>
      <c r="BK867" s="25"/>
    </row>
    <row r="868" spans="60:63" ht="14.25" x14ac:dyDescent="0.2">
      <c r="BH868" s="25"/>
      <c r="BI868" s="25"/>
      <c r="BJ868" s="25"/>
      <c r="BK868" s="25"/>
    </row>
    <row r="869" spans="60:63" ht="14.25" x14ac:dyDescent="0.2">
      <c r="BH869" s="25"/>
      <c r="BI869" s="25"/>
      <c r="BJ869" s="25"/>
      <c r="BK869" s="25"/>
    </row>
    <row r="870" spans="60:63" ht="14.25" x14ac:dyDescent="0.2">
      <c r="BH870" s="25"/>
      <c r="BI870" s="25"/>
      <c r="BJ870" s="25"/>
      <c r="BK870" s="25"/>
    </row>
    <row r="871" spans="60:63" ht="14.25" x14ac:dyDescent="0.2">
      <c r="BH871" s="25"/>
      <c r="BI871" s="25"/>
      <c r="BJ871" s="25"/>
      <c r="BK871" s="25"/>
    </row>
    <row r="872" spans="60:63" ht="14.25" x14ac:dyDescent="0.2">
      <c r="BH872" s="25"/>
      <c r="BI872" s="25"/>
      <c r="BJ872" s="25"/>
      <c r="BK872" s="25"/>
    </row>
    <row r="873" spans="60:63" ht="14.25" x14ac:dyDescent="0.2">
      <c r="BH873" s="25"/>
      <c r="BI873" s="25"/>
      <c r="BJ873" s="25"/>
      <c r="BK873" s="25"/>
    </row>
    <row r="874" spans="60:63" ht="14.25" x14ac:dyDescent="0.2">
      <c r="BH874" s="25"/>
      <c r="BI874" s="25"/>
      <c r="BJ874" s="25"/>
      <c r="BK874" s="25"/>
    </row>
    <row r="875" spans="60:63" ht="14.25" x14ac:dyDescent="0.2">
      <c r="BH875" s="25"/>
      <c r="BI875" s="25"/>
      <c r="BJ875" s="25"/>
      <c r="BK875" s="25"/>
    </row>
    <row r="876" spans="60:63" ht="14.25" x14ac:dyDescent="0.2">
      <c r="BH876" s="25"/>
      <c r="BI876" s="25"/>
      <c r="BJ876" s="25"/>
      <c r="BK876" s="25"/>
    </row>
    <row r="877" spans="60:63" ht="14.25" x14ac:dyDescent="0.2">
      <c r="BH877" s="25"/>
      <c r="BI877" s="25"/>
      <c r="BJ877" s="25"/>
      <c r="BK877" s="25"/>
    </row>
    <row r="878" spans="60:63" ht="14.25" x14ac:dyDescent="0.2">
      <c r="BH878" s="25"/>
      <c r="BI878" s="25"/>
      <c r="BJ878" s="25"/>
      <c r="BK878" s="25"/>
    </row>
    <row r="879" spans="60:63" ht="14.25" x14ac:dyDescent="0.2">
      <c r="BH879" s="25"/>
      <c r="BI879" s="25"/>
      <c r="BJ879" s="25"/>
      <c r="BK879" s="25"/>
    </row>
    <row r="880" spans="60:63" ht="14.25" x14ac:dyDescent="0.2">
      <c r="BH880" s="25"/>
      <c r="BI880" s="25"/>
      <c r="BJ880" s="25"/>
      <c r="BK880" s="25"/>
    </row>
    <row r="881" spans="60:63" ht="14.25" x14ac:dyDescent="0.2">
      <c r="BH881" s="25"/>
      <c r="BI881" s="25"/>
      <c r="BJ881" s="25"/>
      <c r="BK881" s="25"/>
    </row>
    <row r="882" spans="60:63" ht="14.25" x14ac:dyDescent="0.2">
      <c r="BH882" s="25"/>
      <c r="BI882" s="25"/>
      <c r="BJ882" s="25"/>
      <c r="BK882" s="25"/>
    </row>
    <row r="883" spans="60:63" ht="14.25" x14ac:dyDescent="0.2">
      <c r="BH883" s="25"/>
      <c r="BI883" s="25"/>
      <c r="BJ883" s="25"/>
      <c r="BK883" s="25"/>
    </row>
    <row r="884" spans="60:63" ht="14.25" x14ac:dyDescent="0.2">
      <c r="BH884" s="25"/>
      <c r="BI884" s="25"/>
      <c r="BJ884" s="25"/>
      <c r="BK884" s="25"/>
    </row>
    <row r="885" spans="60:63" ht="14.25" x14ac:dyDescent="0.2">
      <c r="BH885" s="25"/>
      <c r="BI885" s="25"/>
      <c r="BJ885" s="25"/>
      <c r="BK885" s="25"/>
    </row>
    <row r="886" spans="60:63" ht="14.25" x14ac:dyDescent="0.2">
      <c r="BH886" s="25"/>
      <c r="BI886" s="25"/>
      <c r="BJ886" s="25"/>
      <c r="BK886" s="25"/>
    </row>
    <row r="887" spans="60:63" ht="14.25" x14ac:dyDescent="0.2">
      <c r="BH887" s="25"/>
      <c r="BI887" s="25"/>
      <c r="BJ887" s="25"/>
      <c r="BK887" s="25"/>
    </row>
    <row r="888" spans="60:63" ht="14.25" x14ac:dyDescent="0.2">
      <c r="BH888" s="25"/>
      <c r="BI888" s="25"/>
      <c r="BJ888" s="25"/>
      <c r="BK888" s="25"/>
    </row>
    <row r="889" spans="60:63" ht="14.25" x14ac:dyDescent="0.2">
      <c r="BH889" s="25"/>
      <c r="BI889" s="25"/>
      <c r="BJ889" s="25"/>
      <c r="BK889" s="25"/>
    </row>
    <row r="890" spans="60:63" ht="14.25" x14ac:dyDescent="0.2">
      <c r="BH890" s="25"/>
      <c r="BI890" s="25"/>
      <c r="BJ890" s="25"/>
      <c r="BK890" s="25"/>
    </row>
    <row r="891" spans="60:63" ht="14.25" x14ac:dyDescent="0.2">
      <c r="BH891" s="25"/>
      <c r="BI891" s="25"/>
      <c r="BJ891" s="25"/>
      <c r="BK891" s="25"/>
    </row>
    <row r="892" spans="60:63" ht="14.25" x14ac:dyDescent="0.2">
      <c r="BH892" s="25"/>
      <c r="BI892" s="25"/>
      <c r="BJ892" s="25"/>
      <c r="BK892" s="25"/>
    </row>
    <row r="893" spans="60:63" ht="14.25" x14ac:dyDescent="0.2">
      <c r="BH893" s="25"/>
      <c r="BI893" s="25"/>
      <c r="BJ893" s="25"/>
      <c r="BK893" s="25"/>
    </row>
    <row r="894" spans="60:63" ht="14.25" x14ac:dyDescent="0.2">
      <c r="BH894" s="25"/>
      <c r="BI894" s="25"/>
      <c r="BJ894" s="25"/>
      <c r="BK894" s="25"/>
    </row>
    <row r="895" spans="60:63" ht="14.25" x14ac:dyDescent="0.2">
      <c r="BH895" s="25"/>
      <c r="BI895" s="25"/>
      <c r="BJ895" s="25"/>
      <c r="BK895" s="25"/>
    </row>
    <row r="896" spans="60:63" ht="14.25" x14ac:dyDescent="0.2">
      <c r="BH896" s="25"/>
      <c r="BI896" s="25"/>
      <c r="BJ896" s="25"/>
      <c r="BK896" s="25"/>
    </row>
    <row r="897" spans="60:63" ht="14.25" x14ac:dyDescent="0.2">
      <c r="BH897" s="25"/>
      <c r="BI897" s="25"/>
      <c r="BJ897" s="25"/>
      <c r="BK897" s="25"/>
    </row>
    <row r="898" spans="60:63" ht="14.25" x14ac:dyDescent="0.2">
      <c r="BH898" s="25"/>
      <c r="BI898" s="25"/>
      <c r="BJ898" s="25"/>
      <c r="BK898" s="25"/>
    </row>
    <row r="899" spans="60:63" ht="14.25" x14ac:dyDescent="0.2">
      <c r="BH899" s="25"/>
      <c r="BI899" s="25"/>
      <c r="BJ899" s="25"/>
      <c r="BK899" s="25"/>
    </row>
    <row r="900" spans="60:63" ht="14.25" x14ac:dyDescent="0.2">
      <c r="BH900" s="25"/>
      <c r="BI900" s="25"/>
      <c r="BJ900" s="25"/>
      <c r="BK900" s="25"/>
    </row>
    <row r="901" spans="60:63" ht="14.25" x14ac:dyDescent="0.2">
      <c r="BH901" s="25"/>
      <c r="BI901" s="25"/>
      <c r="BJ901" s="25"/>
      <c r="BK901" s="25"/>
    </row>
    <row r="902" spans="60:63" ht="14.25" x14ac:dyDescent="0.2">
      <c r="BH902" s="25"/>
      <c r="BI902" s="25"/>
      <c r="BJ902" s="25"/>
      <c r="BK902" s="25"/>
    </row>
    <row r="903" spans="60:63" ht="14.25" x14ac:dyDescent="0.2">
      <c r="BH903" s="25"/>
      <c r="BI903" s="25"/>
      <c r="BJ903" s="25"/>
      <c r="BK903" s="25"/>
    </row>
    <row r="904" spans="60:63" ht="14.25" x14ac:dyDescent="0.2">
      <c r="BH904" s="25"/>
      <c r="BI904" s="25"/>
      <c r="BJ904" s="25"/>
      <c r="BK904" s="25"/>
    </row>
    <row r="905" spans="60:63" ht="14.25" x14ac:dyDescent="0.2">
      <c r="BH905" s="25"/>
      <c r="BI905" s="25"/>
      <c r="BJ905" s="25"/>
      <c r="BK905" s="25"/>
    </row>
    <row r="906" spans="60:63" ht="14.25" x14ac:dyDescent="0.2">
      <c r="BH906" s="25"/>
      <c r="BI906" s="25"/>
      <c r="BJ906" s="25"/>
      <c r="BK906" s="25"/>
    </row>
    <row r="907" spans="60:63" ht="14.25" x14ac:dyDescent="0.2">
      <c r="BH907" s="25"/>
      <c r="BI907" s="25"/>
      <c r="BJ907" s="25"/>
      <c r="BK907" s="25"/>
    </row>
    <row r="908" spans="60:63" ht="14.25" x14ac:dyDescent="0.2">
      <c r="BH908" s="25"/>
      <c r="BI908" s="25"/>
      <c r="BJ908" s="25"/>
      <c r="BK908" s="25"/>
    </row>
    <row r="909" spans="60:63" ht="14.25" x14ac:dyDescent="0.2">
      <c r="BH909" s="25"/>
      <c r="BI909" s="25"/>
      <c r="BJ909" s="25"/>
      <c r="BK909" s="25"/>
    </row>
    <row r="910" spans="60:63" ht="14.25" x14ac:dyDescent="0.2">
      <c r="BH910" s="25"/>
      <c r="BI910" s="25"/>
      <c r="BJ910" s="25"/>
      <c r="BK910" s="25"/>
    </row>
    <row r="911" spans="60:63" ht="14.25" x14ac:dyDescent="0.2">
      <c r="BH911" s="25"/>
      <c r="BI911" s="25"/>
      <c r="BJ911" s="25"/>
      <c r="BK911" s="25"/>
    </row>
    <row r="912" spans="60:63" ht="14.25" x14ac:dyDescent="0.2">
      <c r="BH912" s="25"/>
      <c r="BI912" s="25"/>
      <c r="BJ912" s="25"/>
      <c r="BK912" s="25"/>
    </row>
    <row r="913" spans="60:63" ht="14.25" x14ac:dyDescent="0.2">
      <c r="BH913" s="25"/>
      <c r="BI913" s="25"/>
      <c r="BJ913" s="25"/>
      <c r="BK913" s="25"/>
    </row>
    <row r="914" spans="60:63" ht="14.25" x14ac:dyDescent="0.2">
      <c r="BH914" s="25"/>
      <c r="BI914" s="25"/>
      <c r="BJ914" s="25"/>
      <c r="BK914" s="25"/>
    </row>
    <row r="915" spans="60:63" ht="14.25" x14ac:dyDescent="0.2">
      <c r="BH915" s="25"/>
      <c r="BI915" s="25"/>
      <c r="BJ915" s="25"/>
      <c r="BK915" s="25"/>
    </row>
    <row r="916" spans="60:63" ht="14.25" x14ac:dyDescent="0.2">
      <c r="BH916" s="25"/>
      <c r="BI916" s="25"/>
      <c r="BJ916" s="25"/>
      <c r="BK916" s="25"/>
    </row>
    <row r="917" spans="60:63" ht="14.25" x14ac:dyDescent="0.2">
      <c r="BH917" s="25"/>
      <c r="BI917" s="25"/>
      <c r="BJ917" s="25"/>
      <c r="BK917" s="25"/>
    </row>
    <row r="918" spans="60:63" ht="14.25" x14ac:dyDescent="0.2">
      <c r="BH918" s="25"/>
      <c r="BI918" s="25"/>
      <c r="BJ918" s="25"/>
      <c r="BK918" s="25"/>
    </row>
    <row r="919" spans="60:63" ht="14.25" x14ac:dyDescent="0.2">
      <c r="BH919" s="25"/>
      <c r="BI919" s="25"/>
      <c r="BJ919" s="25"/>
      <c r="BK919" s="25"/>
    </row>
    <row r="920" spans="60:63" ht="14.25" x14ac:dyDescent="0.2">
      <c r="BH920" s="25"/>
      <c r="BI920" s="25"/>
      <c r="BJ920" s="25"/>
      <c r="BK920" s="25"/>
    </row>
    <row r="921" spans="60:63" ht="14.25" x14ac:dyDescent="0.2">
      <c r="BH921" s="25"/>
      <c r="BI921" s="25"/>
      <c r="BJ921" s="25"/>
      <c r="BK921" s="25"/>
    </row>
    <row r="922" spans="60:63" ht="14.25" x14ac:dyDescent="0.2">
      <c r="BH922" s="25"/>
      <c r="BI922" s="25"/>
      <c r="BJ922" s="25"/>
      <c r="BK922" s="25"/>
    </row>
    <row r="923" spans="60:63" ht="14.25" x14ac:dyDescent="0.2">
      <c r="BH923" s="25"/>
      <c r="BI923" s="25"/>
      <c r="BJ923" s="25"/>
      <c r="BK923" s="25"/>
    </row>
    <row r="924" spans="60:63" ht="14.25" x14ac:dyDescent="0.2">
      <c r="BH924" s="25"/>
      <c r="BI924" s="25"/>
      <c r="BJ924" s="25"/>
      <c r="BK924" s="25"/>
    </row>
    <row r="925" spans="60:63" ht="14.25" x14ac:dyDescent="0.2">
      <c r="BH925" s="25"/>
      <c r="BI925" s="25"/>
      <c r="BJ925" s="25"/>
      <c r="BK925" s="25"/>
    </row>
    <row r="926" spans="60:63" ht="14.25" x14ac:dyDescent="0.2">
      <c r="BH926" s="25"/>
      <c r="BI926" s="25"/>
      <c r="BJ926" s="25"/>
      <c r="BK926" s="25"/>
    </row>
    <row r="927" spans="60:63" ht="14.25" x14ac:dyDescent="0.2">
      <c r="BH927" s="25"/>
      <c r="BI927" s="25"/>
      <c r="BJ927" s="25"/>
      <c r="BK927" s="25"/>
    </row>
    <row r="928" spans="60:63" ht="14.25" x14ac:dyDescent="0.2">
      <c r="BH928" s="25"/>
      <c r="BI928" s="25"/>
      <c r="BJ928" s="25"/>
      <c r="BK928" s="25"/>
    </row>
    <row r="929" spans="60:63" ht="14.25" x14ac:dyDescent="0.2">
      <c r="BH929" s="25"/>
      <c r="BI929" s="25"/>
      <c r="BJ929" s="25"/>
      <c r="BK929" s="25"/>
    </row>
    <row r="930" spans="60:63" ht="14.25" x14ac:dyDescent="0.2">
      <c r="BH930" s="25"/>
      <c r="BI930" s="25"/>
      <c r="BJ930" s="25"/>
      <c r="BK930" s="25"/>
    </row>
    <row r="931" spans="60:63" ht="14.25" x14ac:dyDescent="0.2">
      <c r="BH931" s="25"/>
      <c r="BI931" s="25"/>
      <c r="BJ931" s="25"/>
      <c r="BK931" s="25"/>
    </row>
    <row r="932" spans="60:63" ht="14.25" x14ac:dyDescent="0.2">
      <c r="BH932" s="25"/>
      <c r="BI932" s="25"/>
      <c r="BJ932" s="25"/>
      <c r="BK932" s="25"/>
    </row>
    <row r="933" spans="60:63" ht="14.25" x14ac:dyDescent="0.2">
      <c r="BH933" s="25"/>
      <c r="BI933" s="25"/>
      <c r="BJ933" s="25"/>
      <c r="BK933" s="25"/>
    </row>
    <row r="934" spans="60:63" ht="14.25" x14ac:dyDescent="0.2">
      <c r="BH934" s="25"/>
      <c r="BI934" s="25"/>
      <c r="BJ934" s="25"/>
      <c r="BK934" s="25"/>
    </row>
    <row r="935" spans="60:63" ht="14.25" x14ac:dyDescent="0.2">
      <c r="BH935" s="25"/>
      <c r="BI935" s="25"/>
      <c r="BJ935" s="25"/>
      <c r="BK935" s="25"/>
    </row>
    <row r="936" spans="60:63" ht="14.25" x14ac:dyDescent="0.2">
      <c r="BH936" s="25"/>
      <c r="BI936" s="25"/>
      <c r="BJ936" s="25"/>
      <c r="BK936" s="25"/>
    </row>
    <row r="937" spans="60:63" ht="14.25" x14ac:dyDescent="0.2">
      <c r="BH937" s="25"/>
      <c r="BI937" s="25"/>
      <c r="BJ937" s="25"/>
      <c r="BK937" s="25"/>
    </row>
    <row r="938" spans="60:63" ht="14.25" x14ac:dyDescent="0.2">
      <c r="BH938" s="25"/>
      <c r="BI938" s="25"/>
      <c r="BJ938" s="25"/>
      <c r="BK938" s="25"/>
    </row>
    <row r="939" spans="60:63" ht="14.25" x14ac:dyDescent="0.2">
      <c r="BH939" s="25"/>
      <c r="BI939" s="25"/>
      <c r="BJ939" s="25"/>
      <c r="BK939" s="25"/>
    </row>
    <row r="940" spans="60:63" ht="14.25" x14ac:dyDescent="0.2">
      <c r="BH940" s="25"/>
      <c r="BI940" s="25"/>
      <c r="BJ940" s="25"/>
      <c r="BK940" s="25"/>
    </row>
    <row r="941" spans="60:63" ht="14.25" x14ac:dyDescent="0.2">
      <c r="BH941" s="25"/>
      <c r="BI941" s="25"/>
      <c r="BJ941" s="25"/>
      <c r="BK941" s="25"/>
    </row>
    <row r="942" spans="60:63" ht="14.25" x14ac:dyDescent="0.2">
      <c r="BH942" s="25"/>
      <c r="BI942" s="25"/>
      <c r="BJ942" s="25"/>
      <c r="BK942" s="25"/>
    </row>
    <row r="943" spans="60:63" ht="14.25" x14ac:dyDescent="0.2">
      <c r="BH943" s="25"/>
      <c r="BI943" s="25"/>
      <c r="BJ943" s="25"/>
      <c r="BK943" s="25"/>
    </row>
    <row r="944" spans="60:63" ht="14.25" x14ac:dyDescent="0.2">
      <c r="BH944" s="25"/>
      <c r="BI944" s="25"/>
      <c r="BJ944" s="25"/>
      <c r="BK944" s="25"/>
    </row>
    <row r="945" spans="60:63" ht="14.25" x14ac:dyDescent="0.2">
      <c r="BH945" s="25"/>
      <c r="BI945" s="25"/>
      <c r="BJ945" s="25"/>
      <c r="BK945" s="25"/>
    </row>
    <row r="946" spans="60:63" ht="14.25" x14ac:dyDescent="0.2">
      <c r="BH946" s="25"/>
      <c r="BI946" s="25"/>
      <c r="BJ946" s="25"/>
      <c r="BK946" s="25"/>
    </row>
    <row r="947" spans="60:63" ht="14.25" x14ac:dyDescent="0.2">
      <c r="BH947" s="25"/>
      <c r="BI947" s="25"/>
      <c r="BJ947" s="25"/>
      <c r="BK947" s="25"/>
    </row>
    <row r="948" spans="60:63" ht="14.25" x14ac:dyDescent="0.2">
      <c r="BH948" s="25"/>
      <c r="BI948" s="25"/>
      <c r="BJ948" s="25"/>
      <c r="BK948" s="25"/>
    </row>
    <row r="949" spans="60:63" ht="14.25" x14ac:dyDescent="0.2">
      <c r="BH949" s="25"/>
      <c r="BI949" s="25"/>
      <c r="BJ949" s="25"/>
      <c r="BK949" s="25"/>
    </row>
    <row r="950" spans="60:63" ht="14.25" x14ac:dyDescent="0.2">
      <c r="BH950" s="25"/>
      <c r="BI950" s="25"/>
      <c r="BJ950" s="25"/>
      <c r="BK950" s="25"/>
    </row>
    <row r="951" spans="60:63" ht="14.25" x14ac:dyDescent="0.2">
      <c r="BH951" s="25"/>
      <c r="BI951" s="25"/>
      <c r="BJ951" s="25"/>
      <c r="BK951" s="25"/>
    </row>
    <row r="952" spans="60:63" ht="14.25" x14ac:dyDescent="0.2">
      <c r="BH952" s="25"/>
      <c r="BI952" s="25"/>
      <c r="BJ952" s="25"/>
      <c r="BK952" s="25"/>
    </row>
    <row r="953" spans="60:63" ht="14.25" x14ac:dyDescent="0.2">
      <c r="BH953" s="25"/>
      <c r="BI953" s="25"/>
      <c r="BJ953" s="25"/>
      <c r="BK953" s="25"/>
    </row>
    <row r="954" spans="60:63" ht="14.25" x14ac:dyDescent="0.2">
      <c r="BH954" s="25"/>
      <c r="BI954" s="25"/>
      <c r="BJ954" s="25"/>
      <c r="BK954" s="25"/>
    </row>
    <row r="955" spans="60:63" ht="14.25" x14ac:dyDescent="0.2">
      <c r="BH955" s="25"/>
      <c r="BI955" s="25"/>
      <c r="BJ955" s="25"/>
      <c r="BK955" s="25"/>
    </row>
    <row r="956" spans="60:63" ht="14.25" x14ac:dyDescent="0.2">
      <c r="BH956" s="25"/>
      <c r="BI956" s="25"/>
      <c r="BJ956" s="25"/>
      <c r="BK956" s="25"/>
    </row>
    <row r="957" spans="60:63" ht="14.25" x14ac:dyDescent="0.2">
      <c r="BH957" s="25"/>
      <c r="BI957" s="25"/>
      <c r="BJ957" s="25"/>
      <c r="BK957" s="25"/>
    </row>
    <row r="958" spans="60:63" ht="14.25" x14ac:dyDescent="0.2">
      <c r="BH958" s="25"/>
      <c r="BI958" s="25"/>
      <c r="BJ958" s="25"/>
      <c r="BK958" s="25"/>
    </row>
    <row r="959" spans="60:63" ht="14.25" x14ac:dyDescent="0.2">
      <c r="BH959" s="25"/>
      <c r="BI959" s="25"/>
      <c r="BJ959" s="25"/>
      <c r="BK959" s="25"/>
    </row>
    <row r="960" spans="60:63" ht="14.25" x14ac:dyDescent="0.2">
      <c r="BH960" s="25"/>
      <c r="BI960" s="25"/>
      <c r="BJ960" s="25"/>
      <c r="BK960" s="25"/>
    </row>
    <row r="961" spans="60:63" ht="14.25" x14ac:dyDescent="0.2">
      <c r="BH961" s="25"/>
      <c r="BI961" s="25"/>
      <c r="BJ961" s="25"/>
      <c r="BK961" s="25"/>
    </row>
    <row r="962" spans="60:63" ht="14.25" x14ac:dyDescent="0.2">
      <c r="BH962" s="25"/>
      <c r="BI962" s="25"/>
      <c r="BJ962" s="25"/>
      <c r="BK962" s="25"/>
    </row>
    <row r="963" spans="60:63" ht="14.25" x14ac:dyDescent="0.2">
      <c r="BH963" s="25"/>
      <c r="BI963" s="25"/>
      <c r="BJ963" s="25"/>
      <c r="BK963" s="25"/>
    </row>
    <row r="964" spans="60:63" ht="14.25" x14ac:dyDescent="0.2">
      <c r="BH964" s="25"/>
      <c r="BI964" s="25"/>
      <c r="BJ964" s="25"/>
      <c r="BK964" s="25"/>
    </row>
    <row r="965" spans="60:63" ht="14.25" x14ac:dyDescent="0.2">
      <c r="BH965" s="25"/>
      <c r="BI965" s="25"/>
      <c r="BJ965" s="25"/>
      <c r="BK965" s="25"/>
    </row>
    <row r="966" spans="60:63" ht="14.25" x14ac:dyDescent="0.2">
      <c r="BH966" s="25"/>
      <c r="BI966" s="25"/>
      <c r="BJ966" s="25"/>
      <c r="BK966" s="25"/>
    </row>
    <row r="967" spans="60:63" ht="14.25" x14ac:dyDescent="0.2">
      <c r="BH967" s="25"/>
      <c r="BI967" s="25"/>
      <c r="BJ967" s="25"/>
      <c r="BK967" s="25"/>
    </row>
    <row r="968" spans="60:63" ht="14.25" x14ac:dyDescent="0.2">
      <c r="BH968" s="25"/>
      <c r="BI968" s="25"/>
      <c r="BJ968" s="25"/>
      <c r="BK968" s="25"/>
    </row>
    <row r="969" spans="60:63" ht="14.25" x14ac:dyDescent="0.2">
      <c r="BH969" s="25"/>
      <c r="BI969" s="25"/>
      <c r="BJ969" s="25"/>
      <c r="BK969" s="25"/>
    </row>
    <row r="970" spans="60:63" ht="14.25" x14ac:dyDescent="0.2">
      <c r="BH970" s="25"/>
      <c r="BI970" s="25"/>
      <c r="BJ970" s="25"/>
      <c r="BK970" s="25"/>
    </row>
    <row r="971" spans="60:63" ht="14.25" x14ac:dyDescent="0.2">
      <c r="BH971" s="25"/>
      <c r="BI971" s="25"/>
      <c r="BJ971" s="25"/>
      <c r="BK971" s="25"/>
    </row>
    <row r="972" spans="60:63" ht="14.25" x14ac:dyDescent="0.2">
      <c r="BH972" s="25"/>
      <c r="BI972" s="25"/>
      <c r="BJ972" s="25"/>
      <c r="BK972" s="25"/>
    </row>
    <row r="973" spans="60:63" ht="14.25" x14ac:dyDescent="0.2">
      <c r="BH973" s="25"/>
      <c r="BI973" s="25"/>
      <c r="BJ973" s="25"/>
      <c r="BK973" s="25"/>
    </row>
    <row r="974" spans="60:63" ht="14.25" x14ac:dyDescent="0.2">
      <c r="BH974" s="25"/>
      <c r="BI974" s="25"/>
      <c r="BJ974" s="25"/>
      <c r="BK974" s="25"/>
    </row>
    <row r="975" spans="60:63" ht="14.25" x14ac:dyDescent="0.2">
      <c r="BH975" s="25"/>
      <c r="BI975" s="25"/>
      <c r="BJ975" s="25"/>
      <c r="BK975" s="25"/>
    </row>
    <row r="976" spans="60:63" ht="14.25" x14ac:dyDescent="0.2">
      <c r="BH976" s="25"/>
      <c r="BI976" s="25"/>
      <c r="BJ976" s="25"/>
      <c r="BK976" s="25"/>
    </row>
    <row r="977" spans="60:63" ht="14.25" x14ac:dyDescent="0.2">
      <c r="BH977" s="25"/>
      <c r="BI977" s="25"/>
      <c r="BJ977" s="25"/>
      <c r="BK977" s="25"/>
    </row>
    <row r="978" spans="60:63" ht="14.25" x14ac:dyDescent="0.2">
      <c r="BH978" s="25"/>
      <c r="BI978" s="25"/>
      <c r="BJ978" s="25"/>
      <c r="BK978" s="25"/>
    </row>
    <row r="979" spans="60:63" ht="14.25" x14ac:dyDescent="0.2">
      <c r="BH979" s="25"/>
      <c r="BI979" s="25"/>
      <c r="BJ979" s="25"/>
      <c r="BK979" s="25"/>
    </row>
    <row r="980" spans="60:63" ht="14.25" x14ac:dyDescent="0.2">
      <c r="BH980" s="25"/>
      <c r="BI980" s="25"/>
      <c r="BJ980" s="25"/>
      <c r="BK980" s="25"/>
    </row>
    <row r="981" spans="60:63" ht="14.25" x14ac:dyDescent="0.2">
      <c r="BH981" s="25"/>
      <c r="BI981" s="25"/>
      <c r="BJ981" s="25"/>
      <c r="BK981" s="25"/>
    </row>
    <row r="982" spans="60:63" ht="14.25" x14ac:dyDescent="0.2">
      <c r="BH982" s="25"/>
      <c r="BI982" s="25"/>
      <c r="BJ982" s="25"/>
      <c r="BK982" s="25"/>
    </row>
    <row r="983" spans="60:63" ht="14.25" x14ac:dyDescent="0.2">
      <c r="BH983" s="25"/>
      <c r="BI983" s="25"/>
      <c r="BJ983" s="25"/>
      <c r="BK983" s="25"/>
    </row>
    <row r="984" spans="60:63" ht="14.25" x14ac:dyDescent="0.2">
      <c r="BH984" s="25"/>
      <c r="BI984" s="25"/>
      <c r="BJ984" s="25"/>
      <c r="BK984" s="25"/>
    </row>
    <row r="985" spans="60:63" ht="14.25" x14ac:dyDescent="0.2">
      <c r="BH985" s="25"/>
      <c r="BI985" s="25"/>
      <c r="BJ985" s="25"/>
      <c r="BK985" s="25"/>
    </row>
    <row r="986" spans="60:63" ht="14.25" x14ac:dyDescent="0.2">
      <c r="BH986" s="25"/>
      <c r="BI986" s="25"/>
      <c r="BJ986" s="25"/>
      <c r="BK986" s="25"/>
    </row>
    <row r="987" spans="60:63" ht="14.25" x14ac:dyDescent="0.2">
      <c r="BH987" s="25"/>
      <c r="BI987" s="25"/>
      <c r="BJ987" s="25"/>
      <c r="BK987" s="25"/>
    </row>
    <row r="988" spans="60:63" ht="14.25" x14ac:dyDescent="0.2">
      <c r="BH988" s="25"/>
      <c r="BI988" s="25"/>
      <c r="BJ988" s="25"/>
      <c r="BK988" s="25"/>
    </row>
    <row r="989" spans="60:63" ht="14.25" x14ac:dyDescent="0.2">
      <c r="BH989" s="25"/>
      <c r="BI989" s="25"/>
      <c r="BJ989" s="25"/>
      <c r="BK989" s="25"/>
    </row>
    <row r="990" spans="60:63" ht="14.25" x14ac:dyDescent="0.2">
      <c r="BH990" s="25"/>
      <c r="BI990" s="25"/>
      <c r="BJ990" s="25"/>
      <c r="BK990" s="25"/>
    </row>
    <row r="991" spans="60:63" ht="14.25" x14ac:dyDescent="0.2">
      <c r="BH991" s="25"/>
      <c r="BI991" s="25"/>
      <c r="BJ991" s="25"/>
      <c r="BK991" s="25"/>
    </row>
    <row r="992" spans="60:63" ht="14.25" x14ac:dyDescent="0.2">
      <c r="BH992" s="25"/>
      <c r="BI992" s="25"/>
      <c r="BJ992" s="25"/>
      <c r="BK992" s="25"/>
    </row>
    <row r="993" spans="60:63" ht="14.25" x14ac:dyDescent="0.2">
      <c r="BH993" s="25"/>
      <c r="BI993" s="25"/>
      <c r="BJ993" s="25"/>
      <c r="BK993" s="25"/>
    </row>
    <row r="994" spans="60:63" ht="14.25" x14ac:dyDescent="0.2">
      <c r="BH994" s="25"/>
      <c r="BI994" s="25"/>
      <c r="BJ994" s="25"/>
      <c r="BK994" s="25"/>
    </row>
    <row r="995" spans="60:63" ht="14.25" x14ac:dyDescent="0.2">
      <c r="BH995" s="25"/>
      <c r="BI995" s="25"/>
      <c r="BJ995" s="25"/>
      <c r="BK995" s="25"/>
    </row>
    <row r="996" spans="60:63" ht="14.25" x14ac:dyDescent="0.2">
      <c r="BH996" s="25"/>
      <c r="BI996" s="25"/>
      <c r="BJ996" s="25"/>
      <c r="BK996" s="25"/>
    </row>
    <row r="997" spans="60:63" ht="14.25" x14ac:dyDescent="0.2">
      <c r="BH997" s="25"/>
      <c r="BI997" s="25"/>
      <c r="BJ997" s="25"/>
      <c r="BK997" s="25"/>
    </row>
    <row r="998" spans="60:63" ht="14.25" x14ac:dyDescent="0.2">
      <c r="BH998" s="25"/>
      <c r="BI998" s="25"/>
      <c r="BJ998" s="25"/>
      <c r="BK998" s="25"/>
    </row>
    <row r="999" spans="60:63" ht="14.25" x14ac:dyDescent="0.2">
      <c r="BH999" s="25"/>
      <c r="BI999" s="25"/>
      <c r="BJ999" s="25"/>
      <c r="BK999" s="25"/>
    </row>
    <row r="1000" spans="60:63" ht="14.25" x14ac:dyDescent="0.2">
      <c r="BH1000" s="25"/>
      <c r="BI1000" s="25"/>
      <c r="BJ1000" s="25"/>
      <c r="BK1000" s="25"/>
    </row>
    <row r="1001" spans="60:63" ht="14.25" x14ac:dyDescent="0.2">
      <c r="BH1001" s="25"/>
      <c r="BI1001" s="25"/>
      <c r="BJ1001" s="25"/>
      <c r="BK1001" s="25"/>
    </row>
    <row r="1002" spans="60:63" ht="14.25" x14ac:dyDescent="0.2">
      <c r="BH1002" s="25"/>
      <c r="BI1002" s="25"/>
      <c r="BJ1002" s="25"/>
      <c r="BK1002" s="25"/>
    </row>
    <row r="1003" spans="60:63" ht="14.25" x14ac:dyDescent="0.2">
      <c r="BH1003" s="25"/>
      <c r="BI1003" s="25"/>
      <c r="BJ1003" s="25"/>
      <c r="BK1003" s="25"/>
    </row>
    <row r="1004" spans="60:63" ht="14.25" x14ac:dyDescent="0.2">
      <c r="BH1004" s="25"/>
      <c r="BI1004" s="25"/>
      <c r="BJ1004" s="25"/>
      <c r="BK1004" s="25"/>
    </row>
    <row r="1005" spans="60:63" ht="14.25" x14ac:dyDescent="0.2">
      <c r="BH1005" s="25"/>
      <c r="BI1005" s="25"/>
      <c r="BJ1005" s="25"/>
      <c r="BK1005" s="25"/>
    </row>
    <row r="1006" spans="60:63" ht="14.25" x14ac:dyDescent="0.2">
      <c r="BH1006" s="25"/>
      <c r="BI1006" s="25"/>
      <c r="BJ1006" s="25"/>
      <c r="BK1006" s="25"/>
    </row>
    <row r="1007" spans="60:63" ht="14.25" x14ac:dyDescent="0.2">
      <c r="BH1007" s="25"/>
      <c r="BI1007" s="25"/>
      <c r="BJ1007" s="25"/>
      <c r="BK1007" s="25"/>
    </row>
    <row r="1008" spans="60:63" ht="14.25" x14ac:dyDescent="0.2">
      <c r="BH1008" s="25"/>
      <c r="BI1008" s="25"/>
      <c r="BJ1008" s="25"/>
      <c r="BK1008" s="25"/>
    </row>
    <row r="1009" spans="60:63" ht="14.25" x14ac:dyDescent="0.2">
      <c r="BH1009" s="25"/>
      <c r="BI1009" s="25"/>
      <c r="BJ1009" s="25"/>
      <c r="BK1009" s="25"/>
    </row>
    <row r="1010" spans="60:63" ht="14.25" x14ac:dyDescent="0.2">
      <c r="BH1010" s="25"/>
      <c r="BI1010" s="25"/>
      <c r="BJ1010" s="25"/>
      <c r="BK1010" s="25"/>
    </row>
    <row r="1011" spans="60:63" ht="14.25" x14ac:dyDescent="0.2">
      <c r="BH1011" s="25"/>
      <c r="BI1011" s="25"/>
      <c r="BJ1011" s="25"/>
      <c r="BK1011" s="25"/>
    </row>
    <row r="1012" spans="60:63" ht="14.25" x14ac:dyDescent="0.2">
      <c r="BH1012" s="25"/>
      <c r="BI1012" s="25"/>
      <c r="BJ1012" s="25"/>
      <c r="BK1012" s="25"/>
    </row>
    <row r="1013" spans="60:63" ht="14.25" x14ac:dyDescent="0.2">
      <c r="BH1013" s="25"/>
      <c r="BI1013" s="25"/>
      <c r="BJ1013" s="25"/>
      <c r="BK1013" s="25"/>
    </row>
    <row r="1014" spans="60:63" ht="14.25" x14ac:dyDescent="0.2">
      <c r="BH1014" s="25"/>
      <c r="BI1014" s="25"/>
      <c r="BJ1014" s="25"/>
      <c r="BK1014" s="25"/>
    </row>
    <row r="1015" spans="60:63" ht="14.25" x14ac:dyDescent="0.2">
      <c r="BH1015" s="25"/>
      <c r="BI1015" s="25"/>
      <c r="BJ1015" s="25"/>
      <c r="BK1015" s="25"/>
    </row>
    <row r="1016" spans="60:63" ht="14.25" x14ac:dyDescent="0.2">
      <c r="BH1016" s="25"/>
      <c r="BI1016" s="25"/>
      <c r="BJ1016" s="25"/>
      <c r="BK1016" s="25"/>
    </row>
    <row r="1017" spans="60:63" ht="14.25" x14ac:dyDescent="0.2">
      <c r="BH1017" s="25"/>
      <c r="BI1017" s="25"/>
      <c r="BJ1017" s="25"/>
      <c r="BK1017" s="25"/>
    </row>
    <row r="1018" spans="60:63" ht="14.25" x14ac:dyDescent="0.2">
      <c r="BH1018" s="25"/>
      <c r="BI1018" s="25"/>
      <c r="BJ1018" s="25"/>
      <c r="BK1018" s="25"/>
    </row>
    <row r="1019" spans="60:63" ht="14.25" x14ac:dyDescent="0.2">
      <c r="BH1019" s="25"/>
      <c r="BI1019" s="25"/>
      <c r="BJ1019" s="25"/>
      <c r="BK1019" s="25"/>
    </row>
    <row r="1020" spans="60:63" ht="14.25" x14ac:dyDescent="0.2">
      <c r="BH1020" s="25"/>
      <c r="BI1020" s="25"/>
      <c r="BJ1020" s="25"/>
      <c r="BK1020" s="25"/>
    </row>
    <row r="1021" spans="60:63" ht="14.25" x14ac:dyDescent="0.2">
      <c r="BH1021" s="25"/>
      <c r="BI1021" s="25"/>
      <c r="BJ1021" s="25"/>
      <c r="BK1021" s="25"/>
    </row>
    <row r="1022" spans="60:63" ht="14.25" x14ac:dyDescent="0.2">
      <c r="BH1022" s="25"/>
      <c r="BI1022" s="25"/>
      <c r="BJ1022" s="25"/>
      <c r="BK1022" s="25"/>
    </row>
    <row r="1023" spans="60:63" ht="14.25" x14ac:dyDescent="0.2">
      <c r="BH1023" s="25"/>
      <c r="BI1023" s="25"/>
      <c r="BJ1023" s="25"/>
      <c r="BK1023" s="25"/>
    </row>
    <row r="1024" spans="60:63" ht="14.25" x14ac:dyDescent="0.2">
      <c r="BH1024" s="25"/>
      <c r="BI1024" s="25"/>
      <c r="BJ1024" s="25"/>
      <c r="BK1024" s="25"/>
    </row>
    <row r="1025" spans="60:63" ht="14.25" x14ac:dyDescent="0.2">
      <c r="BH1025" s="25"/>
      <c r="BI1025" s="25"/>
      <c r="BJ1025" s="25"/>
      <c r="BK1025" s="25"/>
    </row>
    <row r="1026" spans="60:63" ht="14.25" x14ac:dyDescent="0.2">
      <c r="BH1026" s="25"/>
      <c r="BI1026" s="25"/>
      <c r="BJ1026" s="25"/>
      <c r="BK1026" s="25"/>
    </row>
    <row r="1027" spans="60:63" ht="14.25" x14ac:dyDescent="0.2">
      <c r="BH1027" s="25"/>
      <c r="BI1027" s="25"/>
      <c r="BJ1027" s="25"/>
      <c r="BK1027" s="25"/>
    </row>
    <row r="1028" spans="60:63" ht="14.25" x14ac:dyDescent="0.2">
      <c r="BH1028" s="25"/>
      <c r="BI1028" s="25"/>
      <c r="BJ1028" s="25"/>
      <c r="BK1028" s="25"/>
    </row>
    <row r="1029" spans="60:63" ht="14.25" x14ac:dyDescent="0.2">
      <c r="BH1029" s="25"/>
      <c r="BI1029" s="25"/>
      <c r="BJ1029" s="25"/>
      <c r="BK1029" s="25"/>
    </row>
    <row r="1030" spans="60:63" ht="14.25" x14ac:dyDescent="0.2">
      <c r="BH1030" s="25"/>
      <c r="BI1030" s="25"/>
      <c r="BJ1030" s="25"/>
      <c r="BK1030" s="25"/>
    </row>
    <row r="1031" spans="60:63" ht="14.25" x14ac:dyDescent="0.2">
      <c r="BH1031" s="25"/>
      <c r="BI1031" s="25"/>
      <c r="BJ1031" s="25"/>
      <c r="BK1031" s="25"/>
    </row>
    <row r="1032" spans="60:63" ht="14.25" x14ac:dyDescent="0.2">
      <c r="BH1032" s="25"/>
      <c r="BI1032" s="25"/>
      <c r="BJ1032" s="25"/>
      <c r="BK1032" s="25"/>
    </row>
    <row r="1033" spans="60:63" ht="14.25" x14ac:dyDescent="0.2">
      <c r="BH1033" s="25"/>
      <c r="BI1033" s="25"/>
      <c r="BJ1033" s="25"/>
      <c r="BK1033" s="25"/>
    </row>
    <row r="1034" spans="60:63" ht="14.25" x14ac:dyDescent="0.2">
      <c r="BH1034" s="25"/>
      <c r="BI1034" s="25"/>
      <c r="BJ1034" s="25"/>
      <c r="BK1034" s="25"/>
    </row>
    <row r="1035" spans="60:63" ht="14.25" x14ac:dyDescent="0.2">
      <c r="BH1035" s="25"/>
      <c r="BI1035" s="25"/>
      <c r="BJ1035" s="25"/>
      <c r="BK1035" s="25"/>
    </row>
    <row r="1036" spans="60:63" ht="14.25" x14ac:dyDescent="0.2">
      <c r="BH1036" s="25"/>
      <c r="BI1036" s="25"/>
      <c r="BJ1036" s="25"/>
      <c r="BK1036" s="25"/>
    </row>
    <row r="1037" spans="60:63" ht="14.25" x14ac:dyDescent="0.2">
      <c r="BH1037" s="25"/>
      <c r="BI1037" s="25"/>
      <c r="BJ1037" s="25"/>
      <c r="BK1037" s="25"/>
    </row>
    <row r="1038" spans="60:63" ht="14.25" x14ac:dyDescent="0.2">
      <c r="BH1038" s="25"/>
      <c r="BI1038" s="25"/>
      <c r="BJ1038" s="25"/>
      <c r="BK1038" s="25"/>
    </row>
    <row r="1039" spans="60:63" ht="14.25" x14ac:dyDescent="0.2">
      <c r="BH1039" s="25"/>
      <c r="BI1039" s="25"/>
      <c r="BJ1039" s="25"/>
      <c r="BK1039" s="25"/>
    </row>
    <row r="1040" spans="60:63" ht="14.25" x14ac:dyDescent="0.2">
      <c r="BH1040" s="25"/>
      <c r="BI1040" s="25"/>
      <c r="BJ1040" s="25"/>
      <c r="BK1040" s="25"/>
    </row>
    <row r="1041" spans="60:63" ht="14.25" x14ac:dyDescent="0.2">
      <c r="BH1041" s="25"/>
      <c r="BI1041" s="25"/>
      <c r="BJ1041" s="25"/>
      <c r="BK1041" s="25"/>
    </row>
    <row r="1042" spans="60:63" ht="14.25" x14ac:dyDescent="0.2">
      <c r="BH1042" s="25"/>
      <c r="BI1042" s="25"/>
      <c r="BJ1042" s="25"/>
      <c r="BK1042" s="25"/>
    </row>
    <row r="1043" spans="60:63" ht="14.25" x14ac:dyDescent="0.2">
      <c r="BH1043" s="25"/>
      <c r="BI1043" s="25"/>
      <c r="BJ1043" s="25"/>
      <c r="BK1043" s="25"/>
    </row>
    <row r="1044" spans="60:63" ht="14.25" x14ac:dyDescent="0.2">
      <c r="BH1044" s="25"/>
      <c r="BI1044" s="25"/>
      <c r="BJ1044" s="25"/>
      <c r="BK1044" s="25"/>
    </row>
    <row r="1045" spans="60:63" ht="14.25" x14ac:dyDescent="0.2">
      <c r="BH1045" s="25"/>
      <c r="BI1045" s="25"/>
      <c r="BJ1045" s="25"/>
      <c r="BK1045" s="25"/>
    </row>
    <row r="1046" spans="60:63" ht="14.25" x14ac:dyDescent="0.2">
      <c r="BH1046" s="25"/>
      <c r="BI1046" s="25"/>
      <c r="BJ1046" s="25"/>
      <c r="BK1046" s="25"/>
    </row>
    <row r="1047" spans="60:63" ht="14.25" x14ac:dyDescent="0.2">
      <c r="BH1047" s="25"/>
      <c r="BI1047" s="25"/>
      <c r="BJ1047" s="25"/>
      <c r="BK1047" s="25"/>
    </row>
    <row r="1048" spans="60:63" ht="14.25" x14ac:dyDescent="0.2">
      <c r="BH1048" s="25"/>
      <c r="BI1048" s="25"/>
      <c r="BJ1048" s="25"/>
      <c r="BK1048" s="25"/>
    </row>
    <row r="1049" spans="60:63" ht="14.25" x14ac:dyDescent="0.2">
      <c r="BH1049" s="25"/>
      <c r="BI1049" s="25"/>
      <c r="BJ1049" s="25"/>
      <c r="BK1049" s="25"/>
    </row>
    <row r="1050" spans="60:63" ht="14.25" x14ac:dyDescent="0.2">
      <c r="BH1050" s="25"/>
      <c r="BI1050" s="25"/>
      <c r="BJ1050" s="25"/>
      <c r="BK1050" s="25"/>
    </row>
    <row r="1051" spans="60:63" ht="14.25" x14ac:dyDescent="0.2">
      <c r="BH1051" s="25"/>
      <c r="BI1051" s="25"/>
      <c r="BJ1051" s="25"/>
      <c r="BK1051" s="25"/>
    </row>
    <row r="1052" spans="60:63" ht="14.25" x14ac:dyDescent="0.2">
      <c r="BH1052" s="25"/>
      <c r="BI1052" s="25"/>
      <c r="BJ1052" s="25"/>
      <c r="BK1052" s="25"/>
    </row>
    <row r="1053" spans="60:63" ht="14.25" x14ac:dyDescent="0.2">
      <c r="BH1053" s="25"/>
      <c r="BI1053" s="25"/>
      <c r="BJ1053" s="25"/>
      <c r="BK1053" s="25"/>
    </row>
    <row r="1054" spans="60:63" ht="14.25" x14ac:dyDescent="0.2">
      <c r="BH1054" s="25"/>
      <c r="BI1054" s="25"/>
      <c r="BJ1054" s="25"/>
      <c r="BK1054" s="25"/>
    </row>
    <row r="1055" spans="60:63" ht="14.25" x14ac:dyDescent="0.2">
      <c r="BH1055" s="25"/>
      <c r="BI1055" s="25"/>
      <c r="BJ1055" s="25"/>
      <c r="BK1055" s="25"/>
    </row>
    <row r="1056" spans="60:63" ht="14.25" x14ac:dyDescent="0.2">
      <c r="BH1056" s="25"/>
      <c r="BI1056" s="25"/>
      <c r="BJ1056" s="25"/>
      <c r="BK1056" s="25"/>
    </row>
    <row r="1057" spans="60:63" ht="14.25" x14ac:dyDescent="0.2">
      <c r="BH1057" s="25"/>
      <c r="BI1057" s="25"/>
      <c r="BJ1057" s="25"/>
      <c r="BK1057" s="25"/>
    </row>
    <row r="1058" spans="60:63" ht="14.25" x14ac:dyDescent="0.2">
      <c r="BH1058" s="25"/>
      <c r="BI1058" s="25"/>
      <c r="BJ1058" s="25"/>
      <c r="BK1058" s="25"/>
    </row>
    <row r="1059" spans="60:63" ht="14.25" x14ac:dyDescent="0.2">
      <c r="BH1059" s="25"/>
      <c r="BI1059" s="25"/>
      <c r="BJ1059" s="25"/>
      <c r="BK1059" s="25"/>
    </row>
    <row r="1060" spans="60:63" ht="14.25" x14ac:dyDescent="0.2">
      <c r="BH1060" s="25"/>
      <c r="BI1060" s="25"/>
      <c r="BJ1060" s="25"/>
      <c r="BK1060" s="25"/>
    </row>
    <row r="1061" spans="60:63" ht="14.25" x14ac:dyDescent="0.2">
      <c r="BH1061" s="25"/>
      <c r="BI1061" s="25"/>
      <c r="BJ1061" s="25"/>
      <c r="BK1061" s="25"/>
    </row>
    <row r="1062" spans="60:63" ht="14.25" x14ac:dyDescent="0.2">
      <c r="BH1062" s="25"/>
      <c r="BI1062" s="25"/>
      <c r="BJ1062" s="25"/>
      <c r="BK1062" s="25"/>
    </row>
    <row r="1063" spans="60:63" ht="14.25" x14ac:dyDescent="0.2">
      <c r="BH1063" s="25"/>
      <c r="BI1063" s="25"/>
      <c r="BJ1063" s="25"/>
      <c r="BK1063" s="25"/>
    </row>
    <row r="1064" spans="60:63" ht="14.25" x14ac:dyDescent="0.2">
      <c r="BH1064" s="25"/>
      <c r="BI1064" s="25"/>
      <c r="BJ1064" s="25"/>
      <c r="BK1064" s="25"/>
    </row>
    <row r="1065" spans="60:63" ht="14.25" x14ac:dyDescent="0.2">
      <c r="BH1065" s="25"/>
      <c r="BI1065" s="25"/>
      <c r="BJ1065" s="25"/>
      <c r="BK1065" s="25"/>
    </row>
    <row r="1066" spans="60:63" ht="14.25" x14ac:dyDescent="0.2">
      <c r="BH1066" s="25"/>
      <c r="BI1066" s="25"/>
      <c r="BJ1066" s="25"/>
      <c r="BK1066" s="25"/>
    </row>
    <row r="1067" spans="60:63" ht="14.25" x14ac:dyDescent="0.2">
      <c r="BH1067" s="25"/>
      <c r="BI1067" s="25"/>
      <c r="BJ1067" s="25"/>
      <c r="BK1067" s="25"/>
    </row>
    <row r="1068" spans="60:63" ht="14.25" x14ac:dyDescent="0.2">
      <c r="BH1068" s="25"/>
      <c r="BI1068" s="25"/>
      <c r="BJ1068" s="25"/>
      <c r="BK1068" s="25"/>
    </row>
    <row r="1069" spans="60:63" ht="14.25" x14ac:dyDescent="0.2">
      <c r="BH1069" s="25"/>
      <c r="BI1069" s="25"/>
      <c r="BJ1069" s="25"/>
      <c r="BK1069" s="25"/>
    </row>
    <row r="1070" spans="60:63" ht="14.25" x14ac:dyDescent="0.2">
      <c r="BH1070" s="25"/>
      <c r="BI1070" s="25"/>
      <c r="BJ1070" s="25"/>
      <c r="BK1070" s="25"/>
    </row>
    <row r="1071" spans="60:63" ht="14.25" x14ac:dyDescent="0.2">
      <c r="BH1071" s="25"/>
      <c r="BI1071" s="25"/>
      <c r="BJ1071" s="25"/>
      <c r="BK1071" s="25"/>
    </row>
    <row r="1072" spans="60:63" ht="14.25" x14ac:dyDescent="0.2">
      <c r="BH1072" s="25"/>
      <c r="BI1072" s="25"/>
      <c r="BJ1072" s="25"/>
      <c r="BK1072" s="25"/>
    </row>
    <row r="1073" spans="60:63" ht="14.25" x14ac:dyDescent="0.2">
      <c r="BH1073" s="25"/>
      <c r="BI1073" s="25"/>
      <c r="BJ1073" s="25"/>
      <c r="BK1073" s="25"/>
    </row>
    <row r="1074" spans="60:63" ht="14.25" x14ac:dyDescent="0.2">
      <c r="BH1074" s="25"/>
      <c r="BI1074" s="25"/>
      <c r="BJ1074" s="25"/>
      <c r="BK1074" s="25"/>
    </row>
    <row r="1075" spans="60:63" ht="14.25" x14ac:dyDescent="0.2">
      <c r="BH1075" s="25"/>
      <c r="BI1075" s="25"/>
      <c r="BJ1075" s="25"/>
      <c r="BK1075" s="25"/>
    </row>
    <row r="1076" spans="60:63" ht="14.25" x14ac:dyDescent="0.2">
      <c r="BH1076" s="25"/>
      <c r="BI1076" s="25"/>
      <c r="BJ1076" s="25"/>
      <c r="BK1076" s="25"/>
    </row>
    <row r="1077" spans="60:63" ht="14.25" x14ac:dyDescent="0.2">
      <c r="BH1077" s="25"/>
      <c r="BI1077" s="25"/>
      <c r="BJ1077" s="25"/>
      <c r="BK1077" s="25"/>
    </row>
    <row r="1078" spans="60:63" ht="14.25" x14ac:dyDescent="0.2">
      <c r="BH1078" s="25"/>
      <c r="BI1078" s="25"/>
      <c r="BJ1078" s="25"/>
      <c r="BK1078" s="25"/>
    </row>
    <row r="1079" spans="60:63" ht="14.25" x14ac:dyDescent="0.2">
      <c r="BH1079" s="25"/>
      <c r="BI1079" s="25"/>
      <c r="BJ1079" s="25"/>
      <c r="BK1079" s="25"/>
    </row>
    <row r="1080" spans="60:63" ht="14.25" x14ac:dyDescent="0.2">
      <c r="BH1080" s="25"/>
      <c r="BI1080" s="25"/>
      <c r="BJ1080" s="25"/>
      <c r="BK1080" s="25"/>
    </row>
    <row r="1081" spans="60:63" ht="14.25" x14ac:dyDescent="0.2">
      <c r="BH1081" s="25"/>
      <c r="BI1081" s="25"/>
      <c r="BJ1081" s="25"/>
      <c r="BK1081" s="25"/>
    </row>
    <row r="1082" spans="60:63" ht="14.25" x14ac:dyDescent="0.2">
      <c r="BH1082" s="25"/>
      <c r="BI1082" s="25"/>
      <c r="BJ1082" s="25"/>
      <c r="BK1082" s="25"/>
    </row>
    <row r="1083" spans="60:63" ht="14.25" x14ac:dyDescent="0.2">
      <c r="BH1083" s="25"/>
      <c r="BI1083" s="25"/>
      <c r="BJ1083" s="25"/>
      <c r="BK1083" s="25"/>
    </row>
    <row r="1084" spans="60:63" ht="14.25" x14ac:dyDescent="0.2">
      <c r="BH1084" s="25"/>
      <c r="BI1084" s="25"/>
      <c r="BJ1084" s="25"/>
      <c r="BK1084" s="25"/>
    </row>
    <row r="1085" spans="60:63" ht="14.25" x14ac:dyDescent="0.2">
      <c r="BH1085" s="25"/>
      <c r="BI1085" s="25"/>
      <c r="BJ1085" s="25"/>
      <c r="BK1085" s="25"/>
    </row>
    <row r="1086" spans="60:63" ht="14.25" x14ac:dyDescent="0.2">
      <c r="BH1086" s="25"/>
      <c r="BI1086" s="25"/>
      <c r="BJ1086" s="25"/>
      <c r="BK1086" s="25"/>
    </row>
    <row r="1087" spans="60:63" ht="14.25" x14ac:dyDescent="0.2">
      <c r="BH1087" s="25"/>
      <c r="BI1087" s="25"/>
      <c r="BJ1087" s="25"/>
      <c r="BK1087" s="25"/>
    </row>
    <row r="1088" spans="60:63" ht="14.25" x14ac:dyDescent="0.2">
      <c r="BH1088" s="25"/>
      <c r="BI1088" s="25"/>
      <c r="BJ1088" s="25"/>
      <c r="BK1088" s="25"/>
    </row>
    <row r="1089" spans="60:63" ht="14.25" x14ac:dyDescent="0.2">
      <c r="BH1089" s="25"/>
      <c r="BI1089" s="25"/>
      <c r="BJ1089" s="25"/>
      <c r="BK1089" s="25"/>
    </row>
    <row r="1090" spans="60:63" ht="14.25" x14ac:dyDescent="0.2">
      <c r="BH1090" s="25"/>
      <c r="BI1090" s="25"/>
      <c r="BJ1090" s="25"/>
      <c r="BK1090" s="25"/>
    </row>
    <row r="1091" spans="60:63" ht="14.25" x14ac:dyDescent="0.2">
      <c r="BH1091" s="25"/>
      <c r="BI1091" s="25"/>
      <c r="BJ1091" s="25"/>
      <c r="BK1091" s="25"/>
    </row>
    <row r="1092" spans="60:63" ht="14.25" x14ac:dyDescent="0.2">
      <c r="BH1092" s="25"/>
      <c r="BI1092" s="25"/>
      <c r="BJ1092" s="25"/>
      <c r="BK1092" s="25"/>
    </row>
    <row r="1093" spans="60:63" ht="14.25" x14ac:dyDescent="0.2">
      <c r="BH1093" s="25"/>
      <c r="BI1093" s="25"/>
      <c r="BJ1093" s="25"/>
      <c r="BK1093" s="25"/>
    </row>
    <row r="1094" spans="60:63" ht="14.25" x14ac:dyDescent="0.2">
      <c r="BH1094" s="25"/>
      <c r="BI1094" s="25"/>
      <c r="BJ1094" s="25"/>
      <c r="BK1094" s="25"/>
    </row>
    <row r="1095" spans="60:63" ht="14.25" x14ac:dyDescent="0.2">
      <c r="BH1095" s="25"/>
      <c r="BI1095" s="25"/>
      <c r="BJ1095" s="25"/>
      <c r="BK1095" s="25"/>
    </row>
    <row r="1096" spans="60:63" ht="14.25" x14ac:dyDescent="0.2">
      <c r="BH1096" s="25"/>
      <c r="BI1096" s="25"/>
      <c r="BJ1096" s="25"/>
      <c r="BK1096" s="25"/>
    </row>
    <row r="1097" spans="60:63" ht="14.25" x14ac:dyDescent="0.2">
      <c r="BH1097" s="25"/>
      <c r="BI1097" s="25"/>
      <c r="BJ1097" s="25"/>
      <c r="BK1097" s="25"/>
    </row>
    <row r="1098" spans="60:63" ht="14.25" x14ac:dyDescent="0.2">
      <c r="BH1098" s="25"/>
      <c r="BI1098" s="25"/>
      <c r="BJ1098" s="25"/>
      <c r="BK1098" s="25"/>
    </row>
    <row r="1099" spans="60:63" ht="14.25" x14ac:dyDescent="0.2">
      <c r="BH1099" s="25"/>
      <c r="BI1099" s="25"/>
      <c r="BJ1099" s="25"/>
      <c r="BK1099" s="25"/>
    </row>
    <row r="1100" spans="60:63" ht="14.25" x14ac:dyDescent="0.2">
      <c r="BH1100" s="25"/>
      <c r="BI1100" s="25"/>
      <c r="BJ1100" s="25"/>
      <c r="BK1100" s="25"/>
    </row>
    <row r="1101" spans="60:63" ht="14.25" x14ac:dyDescent="0.2">
      <c r="BH1101" s="25"/>
      <c r="BI1101" s="25"/>
      <c r="BJ1101" s="25"/>
      <c r="BK1101" s="25"/>
    </row>
    <row r="1102" spans="60:63" ht="14.25" x14ac:dyDescent="0.2">
      <c r="BH1102" s="25"/>
      <c r="BI1102" s="25"/>
      <c r="BJ1102" s="25"/>
      <c r="BK1102" s="25"/>
    </row>
    <row r="1103" spans="60:63" ht="14.25" x14ac:dyDescent="0.2">
      <c r="BH1103" s="25"/>
      <c r="BI1103" s="25"/>
      <c r="BJ1103" s="25"/>
      <c r="BK1103" s="25"/>
    </row>
    <row r="1104" spans="60:63" ht="14.25" x14ac:dyDescent="0.2">
      <c r="BH1104" s="25"/>
      <c r="BI1104" s="25"/>
      <c r="BJ1104" s="25"/>
      <c r="BK1104" s="25"/>
    </row>
    <row r="1105" spans="60:63" ht="14.25" x14ac:dyDescent="0.2">
      <c r="BH1105" s="25"/>
      <c r="BI1105" s="25"/>
      <c r="BJ1105" s="25"/>
      <c r="BK1105" s="25"/>
    </row>
    <row r="1106" spans="60:63" ht="14.25" x14ac:dyDescent="0.2">
      <c r="BH1106" s="25"/>
      <c r="BI1106" s="25"/>
      <c r="BJ1106" s="25"/>
      <c r="BK1106" s="25"/>
    </row>
    <row r="1107" spans="60:63" ht="14.25" x14ac:dyDescent="0.2">
      <c r="BH1107" s="25"/>
      <c r="BI1107" s="25"/>
      <c r="BJ1107" s="25"/>
      <c r="BK1107" s="25"/>
    </row>
    <row r="1108" spans="60:63" ht="14.25" x14ac:dyDescent="0.2">
      <c r="BH1108" s="25"/>
      <c r="BI1108" s="25"/>
      <c r="BJ1108" s="25"/>
      <c r="BK1108" s="25"/>
    </row>
    <row r="1109" spans="60:63" ht="14.25" x14ac:dyDescent="0.2">
      <c r="BH1109" s="25"/>
      <c r="BI1109" s="25"/>
      <c r="BJ1109" s="25"/>
      <c r="BK1109" s="25"/>
    </row>
    <row r="1110" spans="60:63" ht="14.25" x14ac:dyDescent="0.2">
      <c r="BH1110" s="25"/>
      <c r="BI1110" s="25"/>
      <c r="BJ1110" s="25"/>
      <c r="BK1110" s="25"/>
    </row>
    <row r="1111" spans="60:63" ht="14.25" x14ac:dyDescent="0.2">
      <c r="BH1111" s="25"/>
      <c r="BI1111" s="25"/>
      <c r="BJ1111" s="25"/>
      <c r="BK1111" s="25"/>
    </row>
    <row r="1112" spans="60:63" ht="14.25" x14ac:dyDescent="0.2">
      <c r="BH1112" s="25"/>
      <c r="BI1112" s="25"/>
      <c r="BJ1112" s="25"/>
      <c r="BK1112" s="25"/>
    </row>
    <row r="1113" spans="60:63" ht="14.25" x14ac:dyDescent="0.2">
      <c r="BH1113" s="25"/>
      <c r="BI1113" s="25"/>
      <c r="BJ1113" s="25"/>
      <c r="BK1113" s="25"/>
    </row>
    <row r="1114" spans="60:63" ht="14.25" x14ac:dyDescent="0.2">
      <c r="BH1114" s="25"/>
      <c r="BI1114" s="25"/>
      <c r="BJ1114" s="25"/>
      <c r="BK1114" s="25"/>
    </row>
    <row r="1115" spans="60:63" ht="14.25" x14ac:dyDescent="0.2">
      <c r="BH1115" s="25"/>
      <c r="BI1115" s="25"/>
      <c r="BJ1115" s="25"/>
      <c r="BK1115" s="25"/>
    </row>
    <row r="1116" spans="60:63" ht="14.25" x14ac:dyDescent="0.2">
      <c r="BH1116" s="25"/>
      <c r="BI1116" s="25"/>
      <c r="BJ1116" s="25"/>
      <c r="BK1116" s="25"/>
    </row>
    <row r="1117" spans="60:63" ht="14.25" x14ac:dyDescent="0.2">
      <c r="BH1117" s="25"/>
      <c r="BI1117" s="25"/>
      <c r="BJ1117" s="25"/>
      <c r="BK1117" s="25"/>
    </row>
    <row r="1118" spans="60:63" ht="14.25" x14ac:dyDescent="0.2">
      <c r="BH1118" s="25"/>
      <c r="BI1118" s="25"/>
      <c r="BJ1118" s="25"/>
      <c r="BK1118" s="25"/>
    </row>
    <row r="1119" spans="60:63" ht="14.25" x14ac:dyDescent="0.2">
      <c r="BH1119" s="25"/>
      <c r="BI1119" s="25"/>
      <c r="BJ1119" s="25"/>
      <c r="BK1119" s="25"/>
    </row>
    <row r="1120" spans="60:63" ht="14.25" x14ac:dyDescent="0.2">
      <c r="BH1120" s="25"/>
      <c r="BI1120" s="25"/>
      <c r="BJ1120" s="25"/>
      <c r="BK1120" s="25"/>
    </row>
    <row r="1121" spans="60:63" ht="14.25" x14ac:dyDescent="0.2">
      <c r="BH1121" s="25"/>
      <c r="BI1121" s="25"/>
      <c r="BJ1121" s="25"/>
      <c r="BK1121" s="25"/>
    </row>
    <row r="1122" spans="60:63" ht="14.25" x14ac:dyDescent="0.2">
      <c r="BH1122" s="25"/>
      <c r="BI1122" s="25"/>
      <c r="BJ1122" s="25"/>
      <c r="BK1122" s="25"/>
    </row>
    <row r="1123" spans="60:63" ht="14.25" x14ac:dyDescent="0.2">
      <c r="BH1123" s="25"/>
      <c r="BI1123" s="25"/>
      <c r="BJ1123" s="25"/>
      <c r="BK1123" s="25"/>
    </row>
    <row r="1124" spans="60:63" ht="14.25" x14ac:dyDescent="0.2">
      <c r="BH1124" s="25"/>
      <c r="BI1124" s="25"/>
      <c r="BJ1124" s="25"/>
      <c r="BK1124" s="25"/>
    </row>
    <row r="1125" spans="60:63" ht="14.25" x14ac:dyDescent="0.2">
      <c r="BH1125" s="25"/>
      <c r="BI1125" s="25"/>
      <c r="BJ1125" s="25"/>
      <c r="BK1125" s="25"/>
    </row>
    <row r="1126" spans="60:63" ht="14.25" x14ac:dyDescent="0.2">
      <c r="BH1126" s="25"/>
      <c r="BI1126" s="25"/>
      <c r="BJ1126" s="25"/>
      <c r="BK1126" s="25"/>
    </row>
    <row r="1127" spans="60:63" ht="14.25" x14ac:dyDescent="0.2">
      <c r="BH1127" s="25"/>
      <c r="BI1127" s="25"/>
      <c r="BJ1127" s="25"/>
      <c r="BK1127" s="25"/>
    </row>
    <row r="1128" spans="60:63" ht="14.25" x14ac:dyDescent="0.2">
      <c r="BH1128" s="25"/>
      <c r="BI1128" s="25"/>
      <c r="BJ1128" s="25"/>
      <c r="BK1128" s="25"/>
    </row>
    <row r="1129" spans="60:63" ht="14.25" x14ac:dyDescent="0.2">
      <c r="BH1129" s="25"/>
      <c r="BI1129" s="25"/>
      <c r="BJ1129" s="25"/>
      <c r="BK1129" s="25"/>
    </row>
    <row r="1130" spans="60:63" ht="14.25" x14ac:dyDescent="0.2">
      <c r="BH1130" s="25"/>
      <c r="BI1130" s="25"/>
      <c r="BJ1130" s="25"/>
      <c r="BK1130" s="25"/>
    </row>
    <row r="1131" spans="60:63" ht="14.25" x14ac:dyDescent="0.2">
      <c r="BH1131" s="25"/>
      <c r="BI1131" s="25"/>
      <c r="BJ1131" s="25"/>
      <c r="BK1131" s="25"/>
    </row>
    <row r="1132" spans="60:63" ht="14.25" x14ac:dyDescent="0.2">
      <c r="BH1132" s="25"/>
      <c r="BI1132" s="25"/>
      <c r="BJ1132" s="25"/>
      <c r="BK1132" s="25"/>
    </row>
    <row r="1133" spans="60:63" ht="14.25" x14ac:dyDescent="0.2">
      <c r="BH1133" s="25"/>
      <c r="BI1133" s="25"/>
      <c r="BJ1133" s="25"/>
      <c r="BK1133" s="25"/>
    </row>
    <row r="1134" spans="60:63" ht="14.25" x14ac:dyDescent="0.2">
      <c r="BH1134" s="25"/>
      <c r="BI1134" s="25"/>
      <c r="BJ1134" s="25"/>
      <c r="BK1134" s="25"/>
    </row>
    <row r="1135" spans="60:63" ht="14.25" x14ac:dyDescent="0.2">
      <c r="BH1135" s="25"/>
      <c r="BI1135" s="25"/>
      <c r="BJ1135" s="25"/>
      <c r="BK1135" s="25"/>
    </row>
    <row r="1136" spans="60:63" ht="14.25" x14ac:dyDescent="0.2">
      <c r="BH1136" s="25"/>
      <c r="BI1136" s="25"/>
      <c r="BJ1136" s="25"/>
      <c r="BK1136" s="25"/>
    </row>
    <row r="1137" spans="60:63" ht="14.25" x14ac:dyDescent="0.2">
      <c r="BH1137" s="25"/>
      <c r="BI1137" s="25"/>
      <c r="BJ1137" s="25"/>
      <c r="BK1137" s="25"/>
    </row>
    <row r="1138" spans="60:63" ht="14.25" x14ac:dyDescent="0.2">
      <c r="BH1138" s="25"/>
      <c r="BI1138" s="25"/>
      <c r="BJ1138" s="25"/>
      <c r="BK1138" s="25"/>
    </row>
    <row r="1139" spans="60:63" ht="14.25" x14ac:dyDescent="0.2">
      <c r="BH1139" s="25"/>
      <c r="BI1139" s="25"/>
      <c r="BJ1139" s="25"/>
      <c r="BK1139" s="25"/>
    </row>
    <row r="1140" spans="60:63" ht="14.25" x14ac:dyDescent="0.2">
      <c r="BH1140" s="25"/>
      <c r="BI1140" s="25"/>
      <c r="BJ1140" s="25"/>
      <c r="BK1140" s="25"/>
    </row>
    <row r="1141" spans="60:63" ht="14.25" x14ac:dyDescent="0.2">
      <c r="BH1141" s="25"/>
      <c r="BI1141" s="25"/>
      <c r="BJ1141" s="25"/>
      <c r="BK1141" s="25"/>
    </row>
    <row r="1142" spans="60:63" ht="14.25" x14ac:dyDescent="0.2">
      <c r="BH1142" s="25"/>
      <c r="BI1142" s="25"/>
      <c r="BJ1142" s="25"/>
      <c r="BK1142" s="25"/>
    </row>
    <row r="1143" spans="60:63" ht="14.25" x14ac:dyDescent="0.2">
      <c r="BH1143" s="25"/>
      <c r="BI1143" s="25"/>
      <c r="BJ1143" s="25"/>
      <c r="BK1143" s="25"/>
    </row>
    <row r="1144" spans="60:63" ht="14.25" x14ac:dyDescent="0.2">
      <c r="BH1144" s="25"/>
      <c r="BI1144" s="25"/>
      <c r="BJ1144" s="25"/>
      <c r="BK1144" s="25"/>
    </row>
    <row r="1145" spans="60:63" ht="14.25" x14ac:dyDescent="0.2">
      <c r="BH1145" s="25"/>
      <c r="BI1145" s="25"/>
      <c r="BJ1145" s="25"/>
      <c r="BK1145" s="25"/>
    </row>
    <row r="1146" spans="60:63" ht="14.25" x14ac:dyDescent="0.2">
      <c r="BH1146" s="25"/>
      <c r="BI1146" s="25"/>
      <c r="BJ1146" s="25"/>
      <c r="BK1146" s="25"/>
    </row>
    <row r="1147" spans="60:63" ht="14.25" x14ac:dyDescent="0.2">
      <c r="BH1147" s="25"/>
      <c r="BI1147" s="25"/>
      <c r="BJ1147" s="25"/>
      <c r="BK1147" s="25"/>
    </row>
    <row r="1148" spans="60:63" ht="14.25" x14ac:dyDescent="0.2">
      <c r="BH1148" s="25"/>
      <c r="BI1148" s="25"/>
      <c r="BJ1148" s="25"/>
      <c r="BK1148" s="25"/>
    </row>
    <row r="1149" spans="60:63" ht="14.25" x14ac:dyDescent="0.2">
      <c r="BH1149" s="25"/>
      <c r="BI1149" s="25"/>
      <c r="BJ1149" s="25"/>
      <c r="BK1149" s="25"/>
    </row>
    <row r="1150" spans="60:63" ht="14.25" x14ac:dyDescent="0.2">
      <c r="BH1150" s="25"/>
      <c r="BI1150" s="25"/>
      <c r="BJ1150" s="25"/>
      <c r="BK1150" s="25"/>
    </row>
    <row r="1151" spans="60:63" ht="14.25" x14ac:dyDescent="0.2">
      <c r="BH1151" s="25"/>
      <c r="BI1151" s="25"/>
      <c r="BJ1151" s="25"/>
      <c r="BK1151" s="25"/>
    </row>
    <row r="1152" spans="60:63" ht="14.25" x14ac:dyDescent="0.2">
      <c r="BH1152" s="25"/>
      <c r="BI1152" s="25"/>
      <c r="BJ1152" s="25"/>
      <c r="BK1152" s="25"/>
    </row>
    <row r="1153" spans="60:63" ht="14.25" x14ac:dyDescent="0.2">
      <c r="BH1153" s="25"/>
      <c r="BI1153" s="25"/>
      <c r="BJ1153" s="25"/>
      <c r="BK1153" s="25"/>
    </row>
    <row r="1154" spans="60:63" ht="14.25" x14ac:dyDescent="0.2">
      <c r="BH1154" s="25"/>
      <c r="BI1154" s="25"/>
      <c r="BJ1154" s="25"/>
      <c r="BK1154" s="25"/>
    </row>
    <row r="1155" spans="60:63" ht="14.25" x14ac:dyDescent="0.2">
      <c r="BH1155" s="25"/>
      <c r="BI1155" s="25"/>
      <c r="BJ1155" s="25"/>
      <c r="BK1155" s="25"/>
    </row>
    <row r="1156" spans="60:63" ht="14.25" x14ac:dyDescent="0.2">
      <c r="BH1156" s="25"/>
      <c r="BI1156" s="25"/>
      <c r="BJ1156" s="25"/>
      <c r="BK1156" s="25"/>
    </row>
    <row r="1157" spans="60:63" ht="14.25" x14ac:dyDescent="0.2">
      <c r="BH1157" s="25"/>
      <c r="BI1157" s="25"/>
      <c r="BJ1157" s="25"/>
      <c r="BK1157" s="25"/>
    </row>
    <row r="1158" spans="60:63" ht="14.25" x14ac:dyDescent="0.2">
      <c r="BH1158" s="25"/>
      <c r="BI1158" s="25"/>
      <c r="BJ1158" s="25"/>
      <c r="BK1158" s="25"/>
    </row>
    <row r="1159" spans="60:63" ht="14.25" x14ac:dyDescent="0.2">
      <c r="BH1159" s="25"/>
      <c r="BI1159" s="25"/>
      <c r="BJ1159" s="25"/>
      <c r="BK1159" s="25"/>
    </row>
    <row r="1160" spans="60:63" ht="14.25" x14ac:dyDescent="0.2">
      <c r="BH1160" s="25"/>
      <c r="BI1160" s="25"/>
      <c r="BJ1160" s="25"/>
      <c r="BK1160" s="25"/>
    </row>
    <row r="1161" spans="60:63" ht="14.25" x14ac:dyDescent="0.2">
      <c r="BH1161" s="25"/>
      <c r="BI1161" s="25"/>
      <c r="BJ1161" s="25"/>
      <c r="BK1161" s="25"/>
    </row>
    <row r="1162" spans="60:63" ht="14.25" x14ac:dyDescent="0.2">
      <c r="BH1162" s="25"/>
      <c r="BI1162" s="25"/>
      <c r="BJ1162" s="25"/>
      <c r="BK1162" s="25"/>
    </row>
    <row r="1163" spans="60:63" ht="14.25" x14ac:dyDescent="0.2">
      <c r="BH1163" s="25"/>
      <c r="BI1163" s="25"/>
      <c r="BJ1163" s="25"/>
      <c r="BK1163" s="25"/>
    </row>
    <row r="1164" spans="60:63" ht="14.25" x14ac:dyDescent="0.2">
      <c r="BH1164" s="25"/>
      <c r="BI1164" s="25"/>
      <c r="BJ1164" s="25"/>
      <c r="BK1164" s="25"/>
    </row>
    <row r="1165" spans="60:63" ht="14.25" x14ac:dyDescent="0.2">
      <c r="BH1165" s="25"/>
      <c r="BI1165" s="25"/>
      <c r="BJ1165" s="25"/>
      <c r="BK1165" s="25"/>
    </row>
    <row r="1166" spans="60:63" ht="14.25" x14ac:dyDescent="0.2">
      <c r="BH1166" s="25"/>
      <c r="BI1166" s="25"/>
      <c r="BJ1166" s="25"/>
      <c r="BK1166" s="25"/>
    </row>
    <row r="1167" spans="60:63" ht="14.25" x14ac:dyDescent="0.2">
      <c r="BH1167" s="25"/>
      <c r="BI1167" s="25"/>
      <c r="BJ1167" s="25"/>
      <c r="BK1167" s="25"/>
    </row>
    <row r="1168" spans="60:63" ht="14.25" x14ac:dyDescent="0.2">
      <c r="BH1168" s="25"/>
      <c r="BI1168" s="25"/>
      <c r="BJ1168" s="25"/>
      <c r="BK1168" s="25"/>
    </row>
    <row r="1169" spans="60:63" ht="14.25" x14ac:dyDescent="0.2">
      <c r="BH1169" s="25"/>
      <c r="BI1169" s="25"/>
      <c r="BJ1169" s="25"/>
      <c r="BK1169" s="25"/>
    </row>
    <row r="1170" spans="60:63" ht="14.25" x14ac:dyDescent="0.2">
      <c r="BH1170" s="25"/>
      <c r="BI1170" s="25"/>
      <c r="BJ1170" s="25"/>
      <c r="BK1170" s="25"/>
    </row>
    <row r="1171" spans="60:63" ht="14.25" x14ac:dyDescent="0.2">
      <c r="BH1171" s="25"/>
      <c r="BI1171" s="25"/>
      <c r="BJ1171" s="25"/>
      <c r="BK1171" s="25"/>
    </row>
    <row r="1172" spans="60:63" ht="14.25" x14ac:dyDescent="0.2">
      <c r="BH1172" s="25"/>
      <c r="BI1172" s="25"/>
      <c r="BJ1172" s="25"/>
      <c r="BK1172" s="25"/>
    </row>
    <row r="1173" spans="60:63" ht="14.25" x14ac:dyDescent="0.2">
      <c r="BH1173" s="25"/>
      <c r="BI1173" s="25"/>
      <c r="BJ1173" s="25"/>
      <c r="BK1173" s="25"/>
    </row>
    <row r="1174" spans="60:63" ht="14.25" x14ac:dyDescent="0.2">
      <c r="BH1174" s="25"/>
      <c r="BI1174" s="25"/>
      <c r="BJ1174" s="25"/>
      <c r="BK1174" s="25"/>
    </row>
    <row r="1175" spans="60:63" ht="14.25" x14ac:dyDescent="0.2">
      <c r="BH1175" s="25"/>
      <c r="BI1175" s="25"/>
      <c r="BJ1175" s="25"/>
      <c r="BK1175" s="25"/>
    </row>
    <row r="1176" spans="60:63" ht="14.25" x14ac:dyDescent="0.2">
      <c r="BH1176" s="25"/>
      <c r="BI1176" s="25"/>
      <c r="BJ1176" s="25"/>
      <c r="BK1176" s="25"/>
    </row>
    <row r="1177" spans="60:63" ht="14.25" x14ac:dyDescent="0.2">
      <c r="BH1177" s="25"/>
      <c r="BI1177" s="25"/>
      <c r="BJ1177" s="25"/>
      <c r="BK1177" s="25"/>
    </row>
    <row r="1178" spans="60:63" ht="14.25" x14ac:dyDescent="0.2">
      <c r="BH1178" s="25"/>
      <c r="BI1178" s="25"/>
      <c r="BJ1178" s="25"/>
      <c r="BK1178" s="25"/>
    </row>
    <row r="1179" spans="60:63" ht="14.25" x14ac:dyDescent="0.2">
      <c r="BH1179" s="25"/>
      <c r="BI1179" s="25"/>
      <c r="BJ1179" s="25"/>
      <c r="BK1179" s="25"/>
    </row>
    <row r="1180" spans="60:63" ht="14.25" x14ac:dyDescent="0.2">
      <c r="BH1180" s="25"/>
      <c r="BI1180" s="25"/>
      <c r="BJ1180" s="25"/>
      <c r="BK1180" s="25"/>
    </row>
    <row r="1181" spans="60:63" ht="14.25" x14ac:dyDescent="0.2">
      <c r="BH1181" s="25"/>
      <c r="BI1181" s="25"/>
      <c r="BJ1181" s="25"/>
      <c r="BK1181" s="25"/>
    </row>
    <row r="1182" spans="60:63" ht="14.25" x14ac:dyDescent="0.2">
      <c r="BH1182" s="25"/>
      <c r="BI1182" s="25"/>
      <c r="BJ1182" s="25"/>
      <c r="BK1182" s="25"/>
    </row>
    <row r="1183" spans="60:63" ht="14.25" x14ac:dyDescent="0.2">
      <c r="BH1183" s="25"/>
      <c r="BI1183" s="25"/>
      <c r="BJ1183" s="25"/>
      <c r="BK1183" s="25"/>
    </row>
    <row r="1184" spans="60:63" ht="14.25" x14ac:dyDescent="0.2">
      <c r="BH1184" s="25"/>
      <c r="BI1184" s="25"/>
      <c r="BJ1184" s="25"/>
      <c r="BK1184" s="25"/>
    </row>
    <row r="1185" spans="60:63" ht="14.25" x14ac:dyDescent="0.2">
      <c r="BH1185" s="25"/>
      <c r="BI1185" s="25"/>
      <c r="BJ1185" s="25"/>
      <c r="BK1185" s="25"/>
    </row>
    <row r="1186" spans="60:63" ht="14.25" x14ac:dyDescent="0.2">
      <c r="BH1186" s="25"/>
      <c r="BI1186" s="25"/>
      <c r="BJ1186" s="25"/>
      <c r="BK1186" s="25"/>
    </row>
    <row r="1187" spans="60:63" ht="14.25" x14ac:dyDescent="0.2">
      <c r="BH1187" s="25"/>
      <c r="BI1187" s="25"/>
      <c r="BJ1187" s="25"/>
      <c r="BK1187" s="25"/>
    </row>
    <row r="1188" spans="60:63" ht="14.25" x14ac:dyDescent="0.2">
      <c r="BH1188" s="25"/>
      <c r="BI1188" s="25"/>
      <c r="BJ1188" s="25"/>
      <c r="BK1188" s="25"/>
    </row>
    <row r="1189" spans="60:63" ht="14.25" x14ac:dyDescent="0.2">
      <c r="BH1189" s="25"/>
      <c r="BI1189" s="25"/>
      <c r="BJ1189" s="25"/>
      <c r="BK1189" s="25"/>
    </row>
    <row r="1190" spans="60:63" ht="14.25" x14ac:dyDescent="0.2">
      <c r="BH1190" s="25"/>
      <c r="BI1190" s="25"/>
      <c r="BJ1190" s="25"/>
      <c r="BK1190" s="25"/>
    </row>
    <row r="1191" spans="60:63" ht="14.25" x14ac:dyDescent="0.2">
      <c r="BH1191" s="25"/>
      <c r="BI1191" s="25"/>
      <c r="BJ1191" s="25"/>
      <c r="BK1191" s="25"/>
    </row>
    <row r="1192" spans="60:63" ht="14.25" x14ac:dyDescent="0.2">
      <c r="BH1192" s="25"/>
      <c r="BI1192" s="25"/>
      <c r="BJ1192" s="25"/>
      <c r="BK1192" s="25"/>
    </row>
    <row r="1193" spans="60:63" ht="14.25" x14ac:dyDescent="0.2">
      <c r="BH1193" s="25"/>
      <c r="BI1193" s="25"/>
      <c r="BJ1193" s="25"/>
      <c r="BK1193" s="25"/>
    </row>
    <row r="1194" spans="60:63" ht="14.25" x14ac:dyDescent="0.2">
      <c r="BH1194" s="25"/>
      <c r="BI1194" s="25"/>
      <c r="BJ1194" s="25"/>
      <c r="BK1194" s="25"/>
    </row>
    <row r="1195" spans="60:63" ht="14.25" x14ac:dyDescent="0.2">
      <c r="BH1195" s="25"/>
      <c r="BI1195" s="25"/>
      <c r="BJ1195" s="25"/>
      <c r="BK1195" s="25"/>
    </row>
    <row r="1196" spans="60:63" ht="14.25" x14ac:dyDescent="0.2">
      <c r="BH1196" s="25"/>
      <c r="BI1196" s="25"/>
      <c r="BJ1196" s="25"/>
      <c r="BK1196" s="25"/>
    </row>
    <row r="1197" spans="60:63" ht="14.25" x14ac:dyDescent="0.2">
      <c r="BH1197" s="25"/>
      <c r="BI1197" s="25"/>
      <c r="BJ1197" s="25"/>
      <c r="BK1197" s="25"/>
    </row>
    <row r="1198" spans="60:63" ht="14.25" x14ac:dyDescent="0.2">
      <c r="BH1198" s="25"/>
      <c r="BI1198" s="25"/>
      <c r="BJ1198" s="25"/>
      <c r="BK1198" s="25"/>
    </row>
    <row r="1199" spans="60:63" ht="14.25" x14ac:dyDescent="0.2">
      <c r="BH1199" s="25"/>
      <c r="BI1199" s="25"/>
      <c r="BJ1199" s="25"/>
      <c r="BK1199" s="25"/>
    </row>
    <row r="1200" spans="60:63" ht="14.25" x14ac:dyDescent="0.2">
      <c r="BH1200" s="25"/>
      <c r="BI1200" s="25"/>
      <c r="BJ1200" s="25"/>
      <c r="BK1200" s="25"/>
    </row>
    <row r="1201" spans="60:63" ht="14.25" x14ac:dyDescent="0.2">
      <c r="BH1201" s="25"/>
      <c r="BI1201" s="25"/>
      <c r="BJ1201" s="25"/>
      <c r="BK1201" s="25"/>
    </row>
    <row r="1202" spans="60:63" ht="14.25" x14ac:dyDescent="0.2">
      <c r="BH1202" s="25"/>
      <c r="BI1202" s="25"/>
      <c r="BJ1202" s="25"/>
      <c r="BK1202" s="25"/>
    </row>
    <row r="1203" spans="60:63" ht="14.25" x14ac:dyDescent="0.2">
      <c r="BH1203" s="25"/>
      <c r="BI1203" s="25"/>
      <c r="BJ1203" s="25"/>
      <c r="BK1203" s="25"/>
    </row>
    <row r="1204" spans="60:63" ht="14.25" x14ac:dyDescent="0.2">
      <c r="BH1204" s="25"/>
      <c r="BI1204" s="25"/>
      <c r="BJ1204" s="25"/>
      <c r="BK1204" s="25"/>
    </row>
    <row r="1205" spans="60:63" ht="14.25" x14ac:dyDescent="0.2">
      <c r="BH1205" s="25"/>
      <c r="BI1205" s="25"/>
      <c r="BJ1205" s="25"/>
      <c r="BK1205" s="25"/>
    </row>
    <row r="1206" spans="60:63" ht="14.25" x14ac:dyDescent="0.2">
      <c r="BH1206" s="25"/>
      <c r="BI1206" s="25"/>
      <c r="BJ1206" s="25"/>
      <c r="BK1206" s="25"/>
    </row>
    <row r="1207" spans="60:63" ht="14.25" x14ac:dyDescent="0.2">
      <c r="BH1207" s="25"/>
      <c r="BI1207" s="25"/>
      <c r="BJ1207" s="25"/>
      <c r="BK1207" s="25"/>
    </row>
    <row r="1208" spans="60:63" ht="14.25" x14ac:dyDescent="0.2">
      <c r="BH1208" s="25"/>
      <c r="BI1208" s="25"/>
      <c r="BJ1208" s="25"/>
      <c r="BK1208" s="25"/>
    </row>
    <row r="1209" spans="60:63" ht="14.25" x14ac:dyDescent="0.2">
      <c r="BH1209" s="25"/>
      <c r="BI1209" s="25"/>
      <c r="BJ1209" s="25"/>
      <c r="BK1209" s="25"/>
    </row>
    <row r="1210" spans="60:63" ht="14.25" x14ac:dyDescent="0.2">
      <c r="BH1210" s="25"/>
      <c r="BI1210" s="25"/>
      <c r="BJ1210" s="25"/>
      <c r="BK1210" s="25"/>
    </row>
    <row r="1211" spans="60:63" ht="14.25" x14ac:dyDescent="0.2">
      <c r="BH1211" s="25"/>
      <c r="BI1211" s="25"/>
      <c r="BJ1211" s="25"/>
      <c r="BK1211" s="25"/>
    </row>
    <row r="1212" spans="60:63" ht="14.25" x14ac:dyDescent="0.2">
      <c r="BH1212" s="25"/>
      <c r="BI1212" s="25"/>
      <c r="BJ1212" s="25"/>
      <c r="BK1212" s="25"/>
    </row>
    <row r="1213" spans="60:63" ht="14.25" x14ac:dyDescent="0.2">
      <c r="BH1213" s="25"/>
      <c r="BI1213" s="25"/>
      <c r="BJ1213" s="25"/>
      <c r="BK1213" s="25"/>
    </row>
    <row r="1214" spans="60:63" ht="14.25" x14ac:dyDescent="0.2">
      <c r="BH1214" s="25"/>
      <c r="BI1214" s="25"/>
      <c r="BJ1214" s="25"/>
      <c r="BK1214" s="25"/>
    </row>
    <row r="1215" spans="60:63" ht="14.25" x14ac:dyDescent="0.2">
      <c r="BH1215" s="25"/>
      <c r="BI1215" s="25"/>
      <c r="BJ1215" s="25"/>
      <c r="BK1215" s="25"/>
    </row>
    <row r="1216" spans="60:63" ht="14.25" x14ac:dyDescent="0.2">
      <c r="BH1216" s="25"/>
      <c r="BI1216" s="25"/>
      <c r="BJ1216" s="25"/>
      <c r="BK1216" s="25"/>
    </row>
    <row r="1217" spans="60:63" ht="14.25" x14ac:dyDescent="0.2">
      <c r="BH1217" s="25"/>
      <c r="BI1217" s="25"/>
      <c r="BJ1217" s="25"/>
      <c r="BK1217" s="25"/>
    </row>
    <row r="1218" spans="60:63" ht="14.25" x14ac:dyDescent="0.2">
      <c r="BH1218" s="25"/>
      <c r="BI1218" s="25"/>
      <c r="BJ1218" s="25"/>
      <c r="BK1218" s="25"/>
    </row>
    <row r="1219" spans="60:63" ht="14.25" x14ac:dyDescent="0.2">
      <c r="BH1219" s="25"/>
      <c r="BI1219" s="25"/>
      <c r="BJ1219" s="25"/>
      <c r="BK1219" s="25"/>
    </row>
    <row r="1220" spans="60:63" ht="14.25" x14ac:dyDescent="0.2">
      <c r="BH1220" s="25"/>
      <c r="BI1220" s="25"/>
      <c r="BJ1220" s="25"/>
      <c r="BK1220" s="25"/>
    </row>
    <row r="1221" spans="60:63" ht="14.25" x14ac:dyDescent="0.2">
      <c r="BH1221" s="25"/>
      <c r="BI1221" s="25"/>
      <c r="BJ1221" s="25"/>
      <c r="BK1221" s="25"/>
    </row>
    <row r="1222" spans="60:63" ht="14.25" x14ac:dyDescent="0.2">
      <c r="BH1222" s="25"/>
      <c r="BI1222" s="25"/>
      <c r="BJ1222" s="25"/>
      <c r="BK1222" s="25"/>
    </row>
    <row r="1223" spans="60:63" ht="14.25" x14ac:dyDescent="0.2">
      <c r="BH1223" s="25"/>
      <c r="BI1223" s="25"/>
      <c r="BJ1223" s="25"/>
      <c r="BK1223" s="25"/>
    </row>
    <row r="1224" spans="60:63" ht="14.25" x14ac:dyDescent="0.2">
      <c r="BH1224" s="25"/>
      <c r="BI1224" s="25"/>
      <c r="BJ1224" s="25"/>
      <c r="BK1224" s="25"/>
    </row>
    <row r="1225" spans="60:63" ht="14.25" x14ac:dyDescent="0.2">
      <c r="BH1225" s="25"/>
      <c r="BI1225" s="25"/>
      <c r="BJ1225" s="25"/>
      <c r="BK1225" s="25"/>
    </row>
    <row r="1226" spans="60:63" ht="14.25" x14ac:dyDescent="0.2">
      <c r="BH1226" s="25"/>
      <c r="BI1226" s="25"/>
      <c r="BJ1226" s="25"/>
      <c r="BK1226" s="25"/>
    </row>
    <row r="1227" spans="60:63" ht="14.25" x14ac:dyDescent="0.2">
      <c r="BH1227" s="25"/>
      <c r="BI1227" s="25"/>
      <c r="BJ1227" s="25"/>
      <c r="BK1227" s="25"/>
    </row>
    <row r="1228" spans="60:63" ht="14.25" x14ac:dyDescent="0.2">
      <c r="BH1228" s="25"/>
      <c r="BI1228" s="25"/>
      <c r="BJ1228" s="25"/>
      <c r="BK1228" s="25"/>
    </row>
    <row r="1229" spans="60:63" ht="14.25" x14ac:dyDescent="0.2">
      <c r="BH1229" s="25"/>
      <c r="BI1229" s="25"/>
      <c r="BJ1229" s="25"/>
      <c r="BK1229" s="25"/>
    </row>
    <row r="1230" spans="60:63" ht="14.25" x14ac:dyDescent="0.2">
      <c r="BH1230" s="25"/>
      <c r="BI1230" s="25"/>
      <c r="BJ1230" s="25"/>
      <c r="BK1230" s="25"/>
    </row>
    <row r="1231" spans="60:63" ht="14.25" x14ac:dyDescent="0.2">
      <c r="BH1231" s="25"/>
      <c r="BI1231" s="25"/>
      <c r="BJ1231" s="25"/>
      <c r="BK1231" s="25"/>
    </row>
    <row r="1232" spans="60:63" ht="14.25" x14ac:dyDescent="0.2">
      <c r="BH1232" s="25"/>
      <c r="BI1232" s="25"/>
      <c r="BJ1232" s="25"/>
      <c r="BK1232" s="25"/>
    </row>
    <row r="1233" spans="60:63" ht="14.25" x14ac:dyDescent="0.2">
      <c r="BH1233" s="25"/>
      <c r="BI1233" s="25"/>
      <c r="BJ1233" s="25"/>
      <c r="BK1233" s="25"/>
    </row>
    <row r="1234" spans="60:63" ht="14.25" x14ac:dyDescent="0.2">
      <c r="BH1234" s="25"/>
      <c r="BI1234" s="25"/>
      <c r="BJ1234" s="25"/>
      <c r="BK1234" s="25"/>
    </row>
    <row r="1235" spans="60:63" ht="14.25" x14ac:dyDescent="0.2">
      <c r="BH1235" s="25"/>
      <c r="BI1235" s="25"/>
      <c r="BJ1235" s="25"/>
      <c r="BK1235" s="25"/>
    </row>
    <row r="1236" spans="60:63" ht="14.25" x14ac:dyDescent="0.2">
      <c r="BH1236" s="25"/>
      <c r="BI1236" s="25"/>
      <c r="BJ1236" s="25"/>
      <c r="BK1236" s="25"/>
    </row>
    <row r="1237" spans="60:63" ht="14.25" x14ac:dyDescent="0.2">
      <c r="BH1237" s="25"/>
      <c r="BI1237" s="25"/>
      <c r="BJ1237" s="25"/>
      <c r="BK1237" s="25"/>
    </row>
    <row r="1238" spans="60:63" ht="14.25" x14ac:dyDescent="0.2">
      <c r="BH1238" s="25"/>
      <c r="BI1238" s="25"/>
      <c r="BJ1238" s="25"/>
      <c r="BK1238" s="25"/>
    </row>
    <row r="1239" spans="60:63" ht="14.25" x14ac:dyDescent="0.2">
      <c r="BH1239" s="25"/>
      <c r="BI1239" s="25"/>
      <c r="BJ1239" s="25"/>
      <c r="BK1239" s="25"/>
    </row>
    <row r="1240" spans="60:63" ht="14.25" x14ac:dyDescent="0.2">
      <c r="BH1240" s="25"/>
      <c r="BI1240" s="25"/>
      <c r="BJ1240" s="25"/>
      <c r="BK1240" s="25"/>
    </row>
    <row r="1241" spans="60:63" ht="14.25" x14ac:dyDescent="0.2">
      <c r="BH1241" s="25"/>
      <c r="BI1241" s="25"/>
      <c r="BJ1241" s="25"/>
      <c r="BK1241" s="25"/>
    </row>
    <row r="1242" spans="60:63" ht="14.25" x14ac:dyDescent="0.2">
      <c r="BH1242" s="25"/>
      <c r="BI1242" s="25"/>
      <c r="BJ1242" s="25"/>
      <c r="BK1242" s="25"/>
    </row>
    <row r="1243" spans="60:63" ht="14.25" x14ac:dyDescent="0.2">
      <c r="BH1243" s="25"/>
      <c r="BI1243" s="25"/>
      <c r="BJ1243" s="25"/>
      <c r="BK1243" s="25"/>
    </row>
    <row r="1244" spans="60:63" ht="14.25" x14ac:dyDescent="0.2">
      <c r="BH1244" s="25"/>
      <c r="BI1244" s="25"/>
      <c r="BJ1244" s="25"/>
      <c r="BK1244" s="25"/>
    </row>
    <row r="1245" spans="60:63" ht="14.25" x14ac:dyDescent="0.2">
      <c r="BH1245" s="25"/>
      <c r="BI1245" s="25"/>
      <c r="BJ1245" s="25"/>
      <c r="BK1245" s="25"/>
    </row>
    <row r="1246" spans="60:63" ht="14.25" x14ac:dyDescent="0.2">
      <c r="BH1246" s="25"/>
      <c r="BI1246" s="25"/>
      <c r="BJ1246" s="25"/>
      <c r="BK1246" s="25"/>
    </row>
    <row r="1247" spans="60:63" ht="14.25" x14ac:dyDescent="0.2">
      <c r="BH1247" s="25"/>
      <c r="BI1247" s="25"/>
      <c r="BJ1247" s="25"/>
      <c r="BK1247" s="25"/>
    </row>
    <row r="1248" spans="60:63" ht="14.25" x14ac:dyDescent="0.2">
      <c r="BH1248" s="25"/>
      <c r="BI1248" s="25"/>
      <c r="BJ1248" s="25"/>
      <c r="BK1248" s="25"/>
    </row>
    <row r="1249" spans="60:63" ht="14.25" x14ac:dyDescent="0.2">
      <c r="BH1249" s="25"/>
      <c r="BI1249" s="25"/>
      <c r="BJ1249" s="25"/>
      <c r="BK1249" s="25"/>
    </row>
    <row r="1250" spans="60:63" ht="14.25" x14ac:dyDescent="0.2">
      <c r="BH1250" s="25"/>
      <c r="BI1250" s="25"/>
      <c r="BJ1250" s="25"/>
      <c r="BK1250" s="25"/>
    </row>
    <row r="1251" spans="60:63" ht="14.25" x14ac:dyDescent="0.2">
      <c r="BH1251" s="25"/>
      <c r="BI1251" s="25"/>
      <c r="BJ1251" s="25"/>
      <c r="BK1251" s="25"/>
    </row>
    <row r="1252" spans="60:63" ht="14.25" x14ac:dyDescent="0.2">
      <c r="BH1252" s="25"/>
      <c r="BI1252" s="25"/>
      <c r="BJ1252" s="25"/>
      <c r="BK1252" s="25"/>
    </row>
    <row r="1253" spans="60:63" ht="14.25" x14ac:dyDescent="0.2">
      <c r="BH1253" s="25"/>
      <c r="BI1253" s="25"/>
      <c r="BJ1253" s="25"/>
      <c r="BK1253" s="25"/>
    </row>
    <row r="1254" spans="60:63" ht="14.25" x14ac:dyDescent="0.2">
      <c r="BH1254" s="25"/>
      <c r="BI1254" s="25"/>
      <c r="BJ1254" s="25"/>
      <c r="BK1254" s="25"/>
    </row>
    <row r="1255" spans="60:63" ht="14.25" x14ac:dyDescent="0.2">
      <c r="BH1255" s="25"/>
      <c r="BI1255" s="25"/>
      <c r="BJ1255" s="25"/>
      <c r="BK1255" s="25"/>
    </row>
    <row r="1256" spans="60:63" ht="14.25" x14ac:dyDescent="0.2">
      <c r="BH1256" s="25"/>
      <c r="BI1256" s="25"/>
      <c r="BJ1256" s="25"/>
      <c r="BK1256" s="25"/>
    </row>
    <row r="1257" spans="60:63" ht="14.25" x14ac:dyDescent="0.2">
      <c r="BH1257" s="25"/>
      <c r="BI1257" s="25"/>
      <c r="BJ1257" s="25"/>
      <c r="BK1257" s="25"/>
    </row>
    <row r="1258" spans="60:63" ht="14.25" x14ac:dyDescent="0.2">
      <c r="BH1258" s="25"/>
      <c r="BI1258" s="25"/>
      <c r="BJ1258" s="25"/>
      <c r="BK1258" s="25"/>
    </row>
    <row r="1259" spans="60:63" ht="14.25" x14ac:dyDescent="0.2">
      <c r="BH1259" s="25"/>
      <c r="BI1259" s="25"/>
      <c r="BJ1259" s="25"/>
      <c r="BK1259" s="25"/>
    </row>
    <row r="1260" spans="60:63" ht="14.25" x14ac:dyDescent="0.2">
      <c r="BH1260" s="25"/>
      <c r="BI1260" s="25"/>
      <c r="BJ1260" s="25"/>
      <c r="BK1260" s="25"/>
    </row>
    <row r="1261" spans="60:63" ht="14.25" x14ac:dyDescent="0.2">
      <c r="BH1261" s="25"/>
      <c r="BI1261" s="25"/>
      <c r="BJ1261" s="25"/>
      <c r="BK1261" s="25"/>
    </row>
    <row r="1262" spans="60:63" ht="14.25" x14ac:dyDescent="0.2">
      <c r="BH1262" s="25"/>
      <c r="BI1262" s="25"/>
      <c r="BJ1262" s="25"/>
      <c r="BK1262" s="25"/>
    </row>
    <row r="1263" spans="60:63" ht="14.25" x14ac:dyDescent="0.2">
      <c r="BH1263" s="25"/>
      <c r="BI1263" s="25"/>
      <c r="BJ1263" s="25"/>
      <c r="BK1263" s="25"/>
    </row>
    <row r="1264" spans="60:63" ht="14.25" x14ac:dyDescent="0.2">
      <c r="BH1264" s="25"/>
      <c r="BI1264" s="25"/>
      <c r="BJ1264" s="25"/>
      <c r="BK1264" s="25"/>
    </row>
    <row r="1265" spans="60:63" ht="14.25" x14ac:dyDescent="0.2">
      <c r="BH1265" s="25"/>
      <c r="BI1265" s="25"/>
      <c r="BJ1265" s="25"/>
      <c r="BK1265" s="25"/>
    </row>
    <row r="1266" spans="60:63" ht="14.25" x14ac:dyDescent="0.2">
      <c r="BH1266" s="25"/>
      <c r="BI1266" s="25"/>
      <c r="BJ1266" s="25"/>
      <c r="BK1266" s="25"/>
    </row>
    <row r="1267" spans="60:63" ht="14.25" x14ac:dyDescent="0.2">
      <c r="BH1267" s="25"/>
      <c r="BI1267" s="25"/>
      <c r="BJ1267" s="25"/>
      <c r="BK1267" s="25"/>
    </row>
    <row r="1268" spans="60:63" ht="14.25" x14ac:dyDescent="0.2">
      <c r="BH1268" s="25"/>
      <c r="BI1268" s="25"/>
      <c r="BJ1268" s="25"/>
      <c r="BK1268" s="25"/>
    </row>
    <row r="1269" spans="60:63" ht="14.25" x14ac:dyDescent="0.2">
      <c r="BH1269" s="25"/>
      <c r="BI1269" s="25"/>
      <c r="BJ1269" s="25"/>
      <c r="BK1269" s="25"/>
    </row>
    <row r="1270" spans="60:63" ht="14.25" x14ac:dyDescent="0.2">
      <c r="BH1270" s="25"/>
      <c r="BI1270" s="25"/>
      <c r="BJ1270" s="25"/>
      <c r="BK1270" s="25"/>
    </row>
    <row r="1271" spans="60:63" ht="14.25" x14ac:dyDescent="0.2">
      <c r="BH1271" s="25"/>
      <c r="BI1271" s="25"/>
      <c r="BJ1271" s="25"/>
      <c r="BK1271" s="25"/>
    </row>
    <row r="1272" spans="60:63" ht="14.25" x14ac:dyDescent="0.2">
      <c r="BH1272" s="25"/>
      <c r="BI1272" s="25"/>
      <c r="BJ1272" s="25"/>
      <c r="BK1272" s="25"/>
    </row>
    <row r="1273" spans="60:63" ht="14.25" x14ac:dyDescent="0.2">
      <c r="BH1273" s="25"/>
      <c r="BI1273" s="25"/>
      <c r="BJ1273" s="25"/>
      <c r="BK1273" s="25"/>
    </row>
    <row r="1274" spans="60:63" ht="14.25" x14ac:dyDescent="0.2">
      <c r="BH1274" s="25"/>
      <c r="BI1274" s="25"/>
      <c r="BJ1274" s="25"/>
      <c r="BK1274" s="25"/>
    </row>
    <row r="1275" spans="60:63" ht="14.25" x14ac:dyDescent="0.2">
      <c r="BH1275" s="25"/>
      <c r="BI1275" s="25"/>
      <c r="BJ1275" s="25"/>
      <c r="BK1275" s="25"/>
    </row>
    <row r="1276" spans="60:63" ht="14.25" x14ac:dyDescent="0.2">
      <c r="BH1276" s="25"/>
      <c r="BI1276" s="25"/>
      <c r="BJ1276" s="25"/>
      <c r="BK1276" s="25"/>
    </row>
    <row r="1277" spans="60:63" ht="14.25" x14ac:dyDescent="0.2">
      <c r="BH1277" s="25"/>
      <c r="BI1277" s="25"/>
      <c r="BJ1277" s="25"/>
      <c r="BK1277" s="25"/>
    </row>
    <row r="1278" spans="60:63" ht="14.25" x14ac:dyDescent="0.2">
      <c r="BH1278" s="25"/>
      <c r="BI1278" s="25"/>
      <c r="BJ1278" s="25"/>
      <c r="BK1278" s="25"/>
    </row>
    <row r="1279" spans="60:63" ht="14.25" x14ac:dyDescent="0.2">
      <c r="BH1279" s="25"/>
      <c r="BI1279" s="25"/>
      <c r="BJ1279" s="25"/>
      <c r="BK1279" s="25"/>
    </row>
    <row r="1280" spans="60:63" ht="14.25" x14ac:dyDescent="0.2">
      <c r="BH1280" s="25"/>
      <c r="BI1280" s="25"/>
      <c r="BJ1280" s="25"/>
      <c r="BK1280" s="25"/>
    </row>
    <row r="1281" spans="60:63" ht="14.25" x14ac:dyDescent="0.2">
      <c r="BH1281" s="25"/>
      <c r="BI1281" s="25"/>
      <c r="BJ1281" s="25"/>
      <c r="BK1281" s="25"/>
    </row>
    <row r="1282" spans="60:63" ht="14.25" x14ac:dyDescent="0.2">
      <c r="BH1282" s="25"/>
      <c r="BI1282" s="25"/>
      <c r="BJ1282" s="25"/>
      <c r="BK1282" s="25"/>
    </row>
    <row r="1283" spans="60:63" ht="14.25" x14ac:dyDescent="0.2">
      <c r="BH1283" s="25"/>
      <c r="BI1283" s="25"/>
      <c r="BJ1283" s="25"/>
      <c r="BK1283" s="25"/>
    </row>
    <row r="1284" spans="60:63" ht="14.25" x14ac:dyDescent="0.2">
      <c r="BH1284" s="25"/>
      <c r="BI1284" s="25"/>
      <c r="BJ1284" s="25"/>
      <c r="BK1284" s="25"/>
    </row>
    <row r="1285" spans="60:63" ht="14.25" x14ac:dyDescent="0.2">
      <c r="BH1285" s="25"/>
      <c r="BI1285" s="25"/>
      <c r="BJ1285" s="25"/>
      <c r="BK1285" s="25"/>
    </row>
    <row r="1286" spans="60:63" ht="14.25" x14ac:dyDescent="0.2">
      <c r="BH1286" s="25"/>
      <c r="BI1286" s="25"/>
      <c r="BJ1286" s="25"/>
      <c r="BK1286" s="25"/>
    </row>
    <row r="1287" spans="60:63" ht="14.25" x14ac:dyDescent="0.2">
      <c r="BH1287" s="25"/>
      <c r="BI1287" s="25"/>
      <c r="BJ1287" s="25"/>
      <c r="BK1287" s="25"/>
    </row>
    <row r="1288" spans="60:63" ht="14.25" x14ac:dyDescent="0.2">
      <c r="BH1288" s="25"/>
      <c r="BI1288" s="25"/>
      <c r="BJ1288" s="25"/>
      <c r="BK1288" s="25"/>
    </row>
    <row r="1289" spans="60:63" ht="14.25" x14ac:dyDescent="0.2">
      <c r="BH1289" s="25"/>
      <c r="BI1289" s="25"/>
      <c r="BJ1289" s="25"/>
      <c r="BK1289" s="25"/>
    </row>
    <row r="1290" spans="60:63" ht="14.25" x14ac:dyDescent="0.2">
      <c r="BH1290" s="25"/>
      <c r="BI1290" s="25"/>
      <c r="BJ1290" s="25"/>
      <c r="BK1290" s="25"/>
    </row>
    <row r="1291" spans="60:63" ht="14.25" x14ac:dyDescent="0.2">
      <c r="BH1291" s="25"/>
      <c r="BI1291" s="25"/>
      <c r="BJ1291" s="25"/>
      <c r="BK1291" s="25"/>
    </row>
    <row r="1292" spans="60:63" ht="14.25" x14ac:dyDescent="0.2">
      <c r="BH1292" s="25"/>
      <c r="BI1292" s="25"/>
      <c r="BJ1292" s="25"/>
      <c r="BK1292" s="25"/>
    </row>
    <row r="1293" spans="60:63" ht="14.25" x14ac:dyDescent="0.2">
      <c r="BH1293" s="25"/>
      <c r="BI1293" s="25"/>
      <c r="BJ1293" s="25"/>
      <c r="BK1293" s="25"/>
    </row>
    <row r="1294" spans="60:63" ht="14.25" x14ac:dyDescent="0.2">
      <c r="BH1294" s="25"/>
      <c r="BI1294" s="25"/>
      <c r="BJ1294" s="25"/>
      <c r="BK1294" s="25"/>
    </row>
    <row r="1295" spans="60:63" ht="14.25" x14ac:dyDescent="0.2">
      <c r="BH1295" s="25"/>
      <c r="BI1295" s="25"/>
      <c r="BJ1295" s="25"/>
      <c r="BK1295" s="25"/>
    </row>
    <row r="1296" spans="60:63" ht="14.25" x14ac:dyDescent="0.2">
      <c r="BH1296" s="25"/>
      <c r="BI1296" s="25"/>
      <c r="BJ1296" s="25"/>
      <c r="BK1296" s="25"/>
    </row>
    <row r="1297" spans="60:63" ht="14.25" x14ac:dyDescent="0.2">
      <c r="BH1297" s="25"/>
      <c r="BI1297" s="25"/>
      <c r="BJ1297" s="25"/>
      <c r="BK1297" s="25"/>
    </row>
    <row r="1298" spans="60:63" ht="14.25" x14ac:dyDescent="0.2">
      <c r="BH1298" s="25"/>
      <c r="BI1298" s="25"/>
      <c r="BJ1298" s="25"/>
      <c r="BK1298" s="25"/>
    </row>
    <row r="1299" spans="60:63" ht="14.25" x14ac:dyDescent="0.2">
      <c r="BH1299" s="25"/>
      <c r="BI1299" s="25"/>
      <c r="BJ1299" s="25"/>
      <c r="BK1299" s="25"/>
    </row>
    <row r="1300" spans="60:63" ht="14.25" x14ac:dyDescent="0.2">
      <c r="BH1300" s="25"/>
      <c r="BI1300" s="25"/>
      <c r="BJ1300" s="25"/>
      <c r="BK1300" s="25"/>
    </row>
    <row r="1301" spans="60:63" ht="14.25" x14ac:dyDescent="0.2">
      <c r="BH1301" s="25"/>
      <c r="BI1301" s="25"/>
      <c r="BJ1301" s="25"/>
      <c r="BK1301" s="25"/>
    </row>
    <row r="1302" spans="60:63" ht="14.25" x14ac:dyDescent="0.2">
      <c r="BH1302" s="25"/>
      <c r="BI1302" s="25"/>
      <c r="BJ1302" s="25"/>
      <c r="BK1302" s="25"/>
    </row>
    <row r="1303" spans="60:63" ht="14.25" x14ac:dyDescent="0.2">
      <c r="BH1303" s="25"/>
      <c r="BI1303" s="25"/>
      <c r="BJ1303" s="25"/>
      <c r="BK1303" s="25"/>
    </row>
    <row r="1304" spans="60:63" ht="14.25" x14ac:dyDescent="0.2">
      <c r="BH1304" s="25"/>
      <c r="BI1304" s="25"/>
      <c r="BJ1304" s="25"/>
      <c r="BK1304" s="25"/>
    </row>
    <row r="1305" spans="60:63" ht="14.25" x14ac:dyDescent="0.2">
      <c r="BH1305" s="25"/>
      <c r="BI1305" s="25"/>
      <c r="BJ1305" s="25"/>
      <c r="BK1305" s="25"/>
    </row>
    <row r="1306" spans="60:63" ht="14.25" x14ac:dyDescent="0.2">
      <c r="BH1306" s="25"/>
      <c r="BI1306" s="25"/>
      <c r="BJ1306" s="25"/>
      <c r="BK1306" s="25"/>
    </row>
    <row r="1307" spans="60:63" ht="14.25" x14ac:dyDescent="0.2">
      <c r="BH1307" s="25"/>
      <c r="BI1307" s="25"/>
      <c r="BJ1307" s="25"/>
      <c r="BK1307" s="25"/>
    </row>
    <row r="1308" spans="60:63" ht="14.25" x14ac:dyDescent="0.2">
      <c r="BH1308" s="25"/>
      <c r="BI1308" s="25"/>
      <c r="BJ1308" s="25"/>
      <c r="BK1308" s="25"/>
    </row>
    <row r="1309" spans="60:63" ht="14.25" x14ac:dyDescent="0.2">
      <c r="BH1309" s="25"/>
      <c r="BI1309" s="25"/>
      <c r="BJ1309" s="25"/>
      <c r="BK1309" s="25"/>
    </row>
    <row r="1310" spans="60:63" ht="14.25" x14ac:dyDescent="0.2">
      <c r="BH1310" s="25"/>
      <c r="BI1310" s="25"/>
      <c r="BJ1310" s="25"/>
      <c r="BK1310" s="25"/>
    </row>
    <row r="1311" spans="60:63" ht="14.25" x14ac:dyDescent="0.2">
      <c r="BH1311" s="25"/>
      <c r="BI1311" s="25"/>
      <c r="BJ1311" s="25"/>
      <c r="BK1311" s="25"/>
    </row>
    <row r="1312" spans="60:63" ht="14.25" x14ac:dyDescent="0.2">
      <c r="BH1312" s="25"/>
      <c r="BI1312" s="25"/>
      <c r="BJ1312" s="25"/>
      <c r="BK1312" s="25"/>
    </row>
    <row r="1313" spans="60:63" ht="14.25" x14ac:dyDescent="0.2">
      <c r="BH1313" s="25"/>
      <c r="BI1313" s="25"/>
      <c r="BJ1313" s="25"/>
      <c r="BK1313" s="25"/>
    </row>
    <row r="1314" spans="60:63" ht="14.25" x14ac:dyDescent="0.2">
      <c r="BH1314" s="25"/>
      <c r="BI1314" s="25"/>
      <c r="BJ1314" s="25"/>
      <c r="BK1314" s="25"/>
    </row>
    <row r="1315" spans="60:63" ht="14.25" x14ac:dyDescent="0.2">
      <c r="BH1315" s="25"/>
      <c r="BI1315" s="25"/>
      <c r="BJ1315" s="25"/>
      <c r="BK1315" s="25"/>
    </row>
    <row r="1316" spans="60:63" ht="14.25" x14ac:dyDescent="0.2">
      <c r="BH1316" s="25"/>
      <c r="BI1316" s="25"/>
      <c r="BJ1316" s="25"/>
      <c r="BK1316" s="25"/>
    </row>
    <row r="1317" spans="60:63" ht="14.25" x14ac:dyDescent="0.2">
      <c r="BH1317" s="25"/>
      <c r="BI1317" s="25"/>
      <c r="BJ1317" s="25"/>
      <c r="BK1317" s="25"/>
    </row>
    <row r="1318" spans="60:63" ht="14.25" x14ac:dyDescent="0.2">
      <c r="BH1318" s="25"/>
      <c r="BI1318" s="25"/>
      <c r="BJ1318" s="25"/>
      <c r="BK1318" s="25"/>
    </row>
    <row r="1319" spans="60:63" ht="14.25" x14ac:dyDescent="0.2">
      <c r="BH1319" s="25"/>
      <c r="BI1319" s="25"/>
      <c r="BJ1319" s="25"/>
      <c r="BK1319" s="25"/>
    </row>
    <row r="1320" spans="60:63" ht="14.25" x14ac:dyDescent="0.2">
      <c r="BH1320" s="25"/>
      <c r="BI1320" s="25"/>
      <c r="BJ1320" s="25"/>
      <c r="BK1320" s="25"/>
    </row>
    <row r="1321" spans="60:63" ht="14.25" x14ac:dyDescent="0.2">
      <c r="BH1321" s="25"/>
      <c r="BI1321" s="25"/>
      <c r="BJ1321" s="25"/>
      <c r="BK1321" s="25"/>
    </row>
    <row r="1322" spans="60:63" ht="14.25" x14ac:dyDescent="0.2">
      <c r="BH1322" s="25"/>
      <c r="BI1322" s="25"/>
      <c r="BJ1322" s="25"/>
      <c r="BK1322" s="25"/>
    </row>
    <row r="1323" spans="60:63" ht="14.25" x14ac:dyDescent="0.2">
      <c r="BH1323" s="25"/>
      <c r="BI1323" s="25"/>
      <c r="BJ1323" s="25"/>
      <c r="BK1323" s="25"/>
    </row>
    <row r="1324" spans="60:63" ht="14.25" x14ac:dyDescent="0.2">
      <c r="BH1324" s="25"/>
      <c r="BI1324" s="25"/>
      <c r="BJ1324" s="25"/>
      <c r="BK1324" s="25"/>
    </row>
    <row r="1325" spans="60:63" ht="14.25" x14ac:dyDescent="0.2">
      <c r="BH1325" s="25"/>
      <c r="BI1325" s="25"/>
      <c r="BJ1325" s="25"/>
      <c r="BK1325" s="25"/>
    </row>
    <row r="1326" spans="60:63" ht="14.25" x14ac:dyDescent="0.2">
      <c r="BH1326" s="25"/>
      <c r="BI1326" s="25"/>
      <c r="BJ1326" s="25"/>
      <c r="BK1326" s="25"/>
    </row>
    <row r="1327" spans="60:63" ht="14.25" x14ac:dyDescent="0.2">
      <c r="BH1327" s="25"/>
      <c r="BI1327" s="25"/>
      <c r="BJ1327" s="25"/>
      <c r="BK1327" s="25"/>
    </row>
    <row r="1328" spans="60:63" ht="14.25" x14ac:dyDescent="0.2">
      <c r="BH1328" s="25"/>
      <c r="BI1328" s="25"/>
      <c r="BJ1328" s="25"/>
      <c r="BK1328" s="25"/>
    </row>
    <row r="1329" spans="60:63" ht="14.25" x14ac:dyDescent="0.2">
      <c r="BH1329" s="25"/>
      <c r="BI1329" s="25"/>
      <c r="BJ1329" s="25"/>
      <c r="BK1329" s="25"/>
    </row>
    <row r="1330" spans="60:63" ht="14.25" x14ac:dyDescent="0.2">
      <c r="BH1330" s="25"/>
      <c r="BI1330" s="25"/>
      <c r="BJ1330" s="25"/>
      <c r="BK1330" s="25"/>
    </row>
    <row r="1331" spans="60:63" ht="14.25" x14ac:dyDescent="0.2">
      <c r="BH1331" s="25"/>
      <c r="BI1331" s="25"/>
      <c r="BJ1331" s="25"/>
      <c r="BK1331" s="25"/>
    </row>
    <row r="1332" spans="60:63" ht="14.25" x14ac:dyDescent="0.2">
      <c r="BH1332" s="25"/>
      <c r="BI1332" s="25"/>
      <c r="BJ1332" s="25"/>
      <c r="BK1332" s="25"/>
    </row>
    <row r="1333" spans="60:63" ht="14.25" x14ac:dyDescent="0.2">
      <c r="BH1333" s="25"/>
      <c r="BI1333" s="25"/>
      <c r="BJ1333" s="25"/>
      <c r="BK1333" s="25"/>
    </row>
    <row r="1334" spans="60:63" ht="14.25" x14ac:dyDescent="0.2">
      <c r="BH1334" s="25"/>
      <c r="BI1334" s="25"/>
      <c r="BJ1334" s="25"/>
      <c r="BK1334" s="25"/>
    </row>
    <row r="1335" spans="60:63" ht="14.25" x14ac:dyDescent="0.2">
      <c r="BH1335" s="25"/>
      <c r="BI1335" s="25"/>
      <c r="BJ1335" s="25"/>
      <c r="BK1335" s="25"/>
    </row>
    <row r="1336" spans="60:63" ht="14.25" x14ac:dyDescent="0.2">
      <c r="BH1336" s="25"/>
      <c r="BI1336" s="25"/>
      <c r="BJ1336" s="25"/>
      <c r="BK1336" s="25"/>
    </row>
    <row r="1337" spans="60:63" ht="14.25" x14ac:dyDescent="0.2">
      <c r="BH1337" s="25"/>
      <c r="BI1337" s="25"/>
      <c r="BJ1337" s="25"/>
      <c r="BK1337" s="25"/>
    </row>
    <row r="1338" spans="60:63" ht="14.25" x14ac:dyDescent="0.2">
      <c r="BH1338" s="25"/>
      <c r="BI1338" s="25"/>
      <c r="BJ1338" s="25"/>
      <c r="BK1338" s="25"/>
    </row>
    <row r="1339" spans="60:63" ht="14.25" x14ac:dyDescent="0.2">
      <c r="BH1339" s="25"/>
      <c r="BI1339" s="25"/>
      <c r="BJ1339" s="25"/>
      <c r="BK1339" s="25"/>
    </row>
    <row r="1340" spans="60:63" ht="14.25" x14ac:dyDescent="0.2">
      <c r="BH1340" s="25"/>
      <c r="BI1340" s="25"/>
      <c r="BJ1340" s="25"/>
      <c r="BK1340" s="25"/>
    </row>
    <row r="1341" spans="60:63" ht="14.25" x14ac:dyDescent="0.2">
      <c r="BH1341" s="25"/>
      <c r="BI1341" s="25"/>
      <c r="BJ1341" s="25"/>
      <c r="BK1341" s="25"/>
    </row>
    <row r="1342" spans="60:63" ht="14.25" x14ac:dyDescent="0.2">
      <c r="BH1342" s="25"/>
      <c r="BI1342" s="25"/>
      <c r="BJ1342" s="25"/>
      <c r="BK1342" s="25"/>
    </row>
    <row r="1343" spans="60:63" ht="14.25" x14ac:dyDescent="0.2">
      <c r="BH1343" s="25"/>
      <c r="BI1343" s="25"/>
      <c r="BJ1343" s="25"/>
      <c r="BK1343" s="25"/>
    </row>
    <row r="1344" spans="60:63" ht="14.25" x14ac:dyDescent="0.2">
      <c r="BH1344" s="25"/>
      <c r="BI1344" s="25"/>
      <c r="BJ1344" s="25"/>
      <c r="BK1344" s="25"/>
    </row>
    <row r="1345" spans="60:63" ht="14.25" x14ac:dyDescent="0.2">
      <c r="BH1345" s="25"/>
      <c r="BI1345" s="25"/>
      <c r="BJ1345" s="25"/>
      <c r="BK1345" s="25"/>
    </row>
    <row r="1346" spans="60:63" ht="14.25" x14ac:dyDescent="0.2">
      <c r="BH1346" s="25"/>
      <c r="BI1346" s="25"/>
      <c r="BJ1346" s="25"/>
      <c r="BK1346" s="25"/>
    </row>
    <row r="1347" spans="60:63" ht="14.25" x14ac:dyDescent="0.2">
      <c r="BH1347" s="25"/>
      <c r="BI1347" s="25"/>
      <c r="BJ1347" s="25"/>
      <c r="BK1347" s="25"/>
    </row>
    <row r="1348" spans="60:63" ht="14.25" x14ac:dyDescent="0.2">
      <c r="BH1348" s="25"/>
      <c r="BI1348" s="25"/>
      <c r="BJ1348" s="25"/>
      <c r="BK1348" s="25"/>
    </row>
    <row r="1349" spans="60:63" ht="14.25" x14ac:dyDescent="0.2">
      <c r="BH1349" s="25"/>
      <c r="BI1349" s="25"/>
      <c r="BJ1349" s="25"/>
      <c r="BK1349" s="25"/>
    </row>
    <row r="1350" spans="60:63" ht="14.25" x14ac:dyDescent="0.2">
      <c r="BH1350" s="25"/>
      <c r="BI1350" s="25"/>
      <c r="BJ1350" s="25"/>
      <c r="BK1350" s="25"/>
    </row>
    <row r="1351" spans="60:63" ht="14.25" x14ac:dyDescent="0.2">
      <c r="BH1351" s="25"/>
      <c r="BI1351" s="25"/>
      <c r="BJ1351" s="25"/>
      <c r="BK1351" s="25"/>
    </row>
    <row r="1352" spans="60:63" ht="14.25" x14ac:dyDescent="0.2">
      <c r="BH1352" s="25"/>
      <c r="BI1352" s="25"/>
      <c r="BJ1352" s="25"/>
      <c r="BK1352" s="25"/>
    </row>
    <row r="1353" spans="60:63" ht="14.25" x14ac:dyDescent="0.2">
      <c r="BH1353" s="25"/>
      <c r="BI1353" s="25"/>
      <c r="BJ1353" s="25"/>
      <c r="BK1353" s="25"/>
    </row>
    <row r="1354" spans="60:63" ht="14.25" x14ac:dyDescent="0.2">
      <c r="BH1354" s="25"/>
      <c r="BI1354" s="25"/>
      <c r="BJ1354" s="25"/>
      <c r="BK1354" s="25"/>
    </row>
    <row r="1355" spans="60:63" ht="14.25" x14ac:dyDescent="0.2">
      <c r="BH1355" s="25"/>
      <c r="BI1355" s="25"/>
      <c r="BJ1355" s="25"/>
      <c r="BK1355" s="25"/>
    </row>
    <row r="1356" spans="60:63" ht="14.25" x14ac:dyDescent="0.2">
      <c r="BH1356" s="25"/>
      <c r="BI1356" s="25"/>
      <c r="BJ1356" s="25"/>
      <c r="BK1356" s="25"/>
    </row>
    <row r="1357" spans="60:63" ht="14.25" x14ac:dyDescent="0.2">
      <c r="BH1357" s="25"/>
      <c r="BI1357" s="25"/>
      <c r="BJ1357" s="25"/>
      <c r="BK1357" s="25"/>
    </row>
    <row r="1358" spans="60:63" ht="14.25" x14ac:dyDescent="0.2">
      <c r="BH1358" s="25"/>
      <c r="BI1358" s="25"/>
      <c r="BJ1358" s="25"/>
      <c r="BK1358" s="25"/>
    </row>
    <row r="1359" spans="60:63" ht="14.25" x14ac:dyDescent="0.2">
      <c r="BH1359" s="25"/>
      <c r="BI1359" s="25"/>
      <c r="BJ1359" s="25"/>
      <c r="BK1359" s="25"/>
    </row>
    <row r="1360" spans="60:63" ht="14.25" x14ac:dyDescent="0.2">
      <c r="BH1360" s="25"/>
      <c r="BI1360" s="25"/>
      <c r="BJ1360" s="25"/>
      <c r="BK1360" s="25"/>
    </row>
    <row r="1361" spans="60:63" ht="14.25" x14ac:dyDescent="0.2">
      <c r="BH1361" s="25"/>
      <c r="BI1361" s="25"/>
      <c r="BJ1361" s="25"/>
      <c r="BK1361" s="25"/>
    </row>
    <row r="1362" spans="60:63" ht="14.25" x14ac:dyDescent="0.2">
      <c r="BH1362" s="25"/>
      <c r="BI1362" s="25"/>
      <c r="BJ1362" s="25"/>
      <c r="BK1362" s="25"/>
    </row>
    <row r="1363" spans="60:63" ht="14.25" x14ac:dyDescent="0.2">
      <c r="BH1363" s="25"/>
      <c r="BI1363" s="25"/>
      <c r="BJ1363" s="25"/>
      <c r="BK1363" s="25"/>
    </row>
    <row r="1364" spans="60:63" ht="14.25" x14ac:dyDescent="0.2">
      <c r="BH1364" s="25"/>
      <c r="BI1364" s="25"/>
      <c r="BJ1364" s="25"/>
      <c r="BK1364" s="25"/>
    </row>
    <row r="1365" spans="60:63" ht="14.25" x14ac:dyDescent="0.2">
      <c r="BH1365" s="25"/>
      <c r="BI1365" s="25"/>
      <c r="BJ1365" s="25"/>
      <c r="BK1365" s="25"/>
    </row>
    <row r="1366" spans="60:63" ht="14.25" x14ac:dyDescent="0.2">
      <c r="BH1366" s="25"/>
      <c r="BI1366" s="25"/>
      <c r="BJ1366" s="25"/>
      <c r="BK1366" s="25"/>
    </row>
    <row r="1367" spans="60:63" ht="14.25" x14ac:dyDescent="0.2">
      <c r="BH1367" s="25"/>
      <c r="BI1367" s="25"/>
      <c r="BJ1367" s="25"/>
      <c r="BK1367" s="25"/>
    </row>
    <row r="1368" spans="60:63" ht="14.25" x14ac:dyDescent="0.2">
      <c r="BH1368" s="25"/>
      <c r="BI1368" s="25"/>
      <c r="BJ1368" s="25"/>
      <c r="BK1368" s="25"/>
    </row>
    <row r="1369" spans="60:63" ht="14.25" x14ac:dyDescent="0.2">
      <c r="BH1369" s="25"/>
      <c r="BI1369" s="25"/>
      <c r="BJ1369" s="25"/>
      <c r="BK1369" s="25"/>
    </row>
    <row r="1370" spans="60:63" ht="14.25" x14ac:dyDescent="0.2">
      <c r="BH1370" s="25"/>
      <c r="BI1370" s="25"/>
      <c r="BJ1370" s="25"/>
      <c r="BK1370" s="25"/>
    </row>
    <row r="1371" spans="60:63" ht="14.25" x14ac:dyDescent="0.2">
      <c r="BH1371" s="25"/>
      <c r="BI1371" s="25"/>
      <c r="BJ1371" s="25"/>
      <c r="BK1371" s="25"/>
    </row>
    <row r="1372" spans="60:63" ht="14.25" x14ac:dyDescent="0.2">
      <c r="BH1372" s="25"/>
      <c r="BI1372" s="25"/>
      <c r="BJ1372" s="25"/>
      <c r="BK1372" s="25"/>
    </row>
    <row r="1373" spans="60:63" ht="14.25" x14ac:dyDescent="0.2">
      <c r="BH1373" s="25"/>
      <c r="BI1373" s="25"/>
      <c r="BJ1373" s="25"/>
      <c r="BK1373" s="25"/>
    </row>
    <row r="1374" spans="60:63" ht="14.25" x14ac:dyDescent="0.2">
      <c r="BH1374" s="25"/>
      <c r="BI1374" s="25"/>
      <c r="BJ1374" s="25"/>
      <c r="BK1374" s="25"/>
    </row>
    <row r="1375" spans="60:63" ht="14.25" x14ac:dyDescent="0.2">
      <c r="BH1375" s="25"/>
      <c r="BI1375" s="25"/>
      <c r="BJ1375" s="25"/>
      <c r="BK1375" s="25"/>
    </row>
    <row r="1376" spans="60:63" ht="14.25" x14ac:dyDescent="0.2">
      <c r="BH1376" s="25"/>
      <c r="BI1376" s="25"/>
      <c r="BJ1376" s="25"/>
      <c r="BK1376" s="25"/>
    </row>
    <row r="1377" spans="60:63" ht="14.25" x14ac:dyDescent="0.2">
      <c r="BH1377" s="25"/>
      <c r="BI1377" s="25"/>
      <c r="BJ1377" s="25"/>
      <c r="BK1377" s="25"/>
    </row>
    <row r="1378" spans="60:63" ht="14.25" x14ac:dyDescent="0.2">
      <c r="BH1378" s="25"/>
      <c r="BI1378" s="25"/>
      <c r="BJ1378" s="25"/>
      <c r="BK1378" s="25"/>
    </row>
    <row r="1379" spans="60:63" ht="14.25" x14ac:dyDescent="0.2">
      <c r="BH1379" s="25"/>
      <c r="BI1379" s="25"/>
      <c r="BJ1379" s="25"/>
      <c r="BK1379" s="25"/>
    </row>
    <row r="1380" spans="60:63" ht="14.25" x14ac:dyDescent="0.2">
      <c r="BH1380" s="25"/>
      <c r="BI1380" s="25"/>
      <c r="BJ1380" s="25"/>
      <c r="BK1380" s="25"/>
    </row>
    <row r="1381" spans="60:63" ht="14.25" x14ac:dyDescent="0.2">
      <c r="BH1381" s="25"/>
      <c r="BI1381" s="25"/>
      <c r="BJ1381" s="25"/>
      <c r="BK1381" s="25"/>
    </row>
    <row r="1382" spans="60:63" ht="14.25" x14ac:dyDescent="0.2">
      <c r="BH1382" s="25"/>
      <c r="BI1382" s="25"/>
      <c r="BJ1382" s="25"/>
      <c r="BK1382" s="25"/>
    </row>
    <row r="1383" spans="60:63" ht="14.25" x14ac:dyDescent="0.2">
      <c r="BH1383" s="25"/>
      <c r="BI1383" s="25"/>
      <c r="BJ1383" s="25"/>
      <c r="BK1383" s="25"/>
    </row>
    <row r="1384" spans="60:63" ht="14.25" x14ac:dyDescent="0.2">
      <c r="BH1384" s="25"/>
      <c r="BI1384" s="25"/>
      <c r="BJ1384" s="25"/>
      <c r="BK1384" s="25"/>
    </row>
    <row r="1385" spans="60:63" ht="14.25" x14ac:dyDescent="0.2">
      <c r="BH1385" s="25"/>
      <c r="BI1385" s="25"/>
      <c r="BJ1385" s="25"/>
      <c r="BK1385" s="25"/>
    </row>
    <row r="1386" spans="60:63" ht="14.25" x14ac:dyDescent="0.2">
      <c r="BH1386" s="25"/>
      <c r="BI1386" s="25"/>
      <c r="BJ1386" s="25"/>
      <c r="BK1386" s="25"/>
    </row>
    <row r="1387" spans="60:63" ht="14.25" x14ac:dyDescent="0.2">
      <c r="BH1387" s="25"/>
      <c r="BI1387" s="25"/>
      <c r="BJ1387" s="25"/>
      <c r="BK1387" s="25"/>
    </row>
    <row r="1388" spans="60:63" ht="14.25" x14ac:dyDescent="0.2">
      <c r="BH1388" s="25"/>
      <c r="BI1388" s="25"/>
      <c r="BJ1388" s="25"/>
      <c r="BK1388" s="25"/>
    </row>
    <row r="1389" spans="60:63" ht="14.25" x14ac:dyDescent="0.2">
      <c r="BH1389" s="25"/>
      <c r="BI1389" s="25"/>
      <c r="BJ1389" s="25"/>
      <c r="BK1389" s="25"/>
    </row>
    <row r="1390" spans="60:63" ht="14.25" x14ac:dyDescent="0.2">
      <c r="BH1390" s="25"/>
      <c r="BI1390" s="25"/>
      <c r="BJ1390" s="25"/>
      <c r="BK1390" s="25"/>
    </row>
    <row r="1391" spans="60:63" ht="14.25" x14ac:dyDescent="0.2">
      <c r="BH1391" s="25"/>
      <c r="BI1391" s="25"/>
      <c r="BJ1391" s="25"/>
      <c r="BK1391" s="25"/>
    </row>
    <row r="1392" spans="60:63" ht="14.25" x14ac:dyDescent="0.2">
      <c r="BH1392" s="25"/>
      <c r="BI1392" s="25"/>
      <c r="BJ1392" s="25"/>
      <c r="BK1392" s="25"/>
    </row>
    <row r="1393" spans="60:63" ht="14.25" x14ac:dyDescent="0.2">
      <c r="BH1393" s="25"/>
      <c r="BI1393" s="25"/>
      <c r="BJ1393" s="25"/>
      <c r="BK1393" s="25"/>
    </row>
    <row r="1394" spans="60:63" ht="14.25" x14ac:dyDescent="0.2">
      <c r="BH1394" s="25"/>
      <c r="BI1394" s="25"/>
      <c r="BJ1394" s="25"/>
      <c r="BK1394" s="25"/>
    </row>
    <row r="1395" spans="60:63" ht="14.25" x14ac:dyDescent="0.2">
      <c r="BH1395" s="25"/>
      <c r="BI1395" s="25"/>
      <c r="BJ1395" s="25"/>
      <c r="BK1395" s="25"/>
    </row>
    <row r="1396" spans="60:63" ht="14.25" x14ac:dyDescent="0.2">
      <c r="BH1396" s="25"/>
      <c r="BI1396" s="25"/>
      <c r="BJ1396" s="25"/>
      <c r="BK1396" s="25"/>
    </row>
    <row r="1397" spans="60:63" ht="14.25" x14ac:dyDescent="0.2">
      <c r="BH1397" s="25"/>
      <c r="BI1397" s="25"/>
      <c r="BJ1397" s="25"/>
      <c r="BK1397" s="25"/>
    </row>
    <row r="1398" spans="60:63" ht="14.25" x14ac:dyDescent="0.2">
      <c r="BH1398" s="25"/>
      <c r="BI1398" s="25"/>
      <c r="BJ1398" s="25"/>
      <c r="BK1398" s="25"/>
    </row>
    <row r="1399" spans="60:63" ht="14.25" x14ac:dyDescent="0.2">
      <c r="BH1399" s="25"/>
      <c r="BI1399" s="25"/>
      <c r="BJ1399" s="25"/>
      <c r="BK1399" s="25"/>
    </row>
    <row r="1400" spans="60:63" ht="14.25" x14ac:dyDescent="0.2">
      <c r="BH1400" s="25"/>
      <c r="BI1400" s="25"/>
      <c r="BJ1400" s="25"/>
      <c r="BK1400" s="25"/>
    </row>
    <row r="1401" spans="60:63" ht="14.25" x14ac:dyDescent="0.2">
      <c r="BH1401" s="25"/>
      <c r="BI1401" s="25"/>
      <c r="BJ1401" s="25"/>
      <c r="BK1401" s="25"/>
    </row>
    <row r="1402" spans="60:63" ht="14.25" x14ac:dyDescent="0.2">
      <c r="BH1402" s="25"/>
      <c r="BI1402" s="25"/>
      <c r="BJ1402" s="25"/>
      <c r="BK1402" s="25"/>
    </row>
    <row r="1403" spans="60:63" ht="14.25" x14ac:dyDescent="0.2">
      <c r="BH1403" s="25"/>
      <c r="BI1403" s="25"/>
      <c r="BJ1403" s="25"/>
      <c r="BK1403" s="25"/>
    </row>
    <row r="1404" spans="60:63" ht="14.25" x14ac:dyDescent="0.2">
      <c r="BH1404" s="25"/>
      <c r="BI1404" s="25"/>
      <c r="BJ1404" s="25"/>
      <c r="BK1404" s="25"/>
    </row>
    <row r="1405" spans="60:63" ht="14.25" x14ac:dyDescent="0.2">
      <c r="BH1405" s="25"/>
      <c r="BI1405" s="25"/>
      <c r="BJ1405" s="25"/>
      <c r="BK1405" s="25"/>
    </row>
    <row r="1406" spans="60:63" ht="14.25" x14ac:dyDescent="0.2">
      <c r="BH1406" s="25"/>
      <c r="BI1406" s="25"/>
      <c r="BJ1406" s="25"/>
      <c r="BK1406" s="25"/>
    </row>
    <row r="1407" spans="60:63" ht="14.25" x14ac:dyDescent="0.2">
      <c r="BH1407" s="25"/>
      <c r="BI1407" s="25"/>
      <c r="BJ1407" s="25"/>
      <c r="BK1407" s="25"/>
    </row>
    <row r="1408" spans="60:63" ht="14.25" x14ac:dyDescent="0.2">
      <c r="BH1408" s="25"/>
      <c r="BI1408" s="25"/>
      <c r="BJ1408" s="25"/>
      <c r="BK1408" s="25"/>
    </row>
    <row r="1409" spans="60:63" ht="14.25" x14ac:dyDescent="0.2">
      <c r="BH1409" s="25"/>
      <c r="BI1409" s="25"/>
      <c r="BJ1409" s="25"/>
      <c r="BK1409" s="25"/>
    </row>
    <row r="1410" spans="60:63" ht="14.25" x14ac:dyDescent="0.2">
      <c r="BH1410" s="25"/>
      <c r="BI1410" s="25"/>
      <c r="BJ1410" s="25"/>
      <c r="BK1410" s="25"/>
    </row>
    <row r="1411" spans="60:63" ht="14.25" x14ac:dyDescent="0.2">
      <c r="BH1411" s="25"/>
      <c r="BI1411" s="25"/>
      <c r="BJ1411" s="25"/>
      <c r="BK1411" s="25"/>
    </row>
    <row r="1412" spans="60:63" ht="14.25" x14ac:dyDescent="0.2">
      <c r="BH1412" s="25"/>
      <c r="BI1412" s="25"/>
      <c r="BJ1412" s="25"/>
      <c r="BK1412" s="25"/>
    </row>
    <row r="1413" spans="60:63" ht="14.25" x14ac:dyDescent="0.2">
      <c r="BH1413" s="25"/>
      <c r="BI1413" s="25"/>
      <c r="BJ1413" s="25"/>
      <c r="BK1413" s="25"/>
    </row>
    <row r="1414" spans="60:63" ht="14.25" x14ac:dyDescent="0.2">
      <c r="BH1414" s="25"/>
      <c r="BI1414" s="25"/>
      <c r="BJ1414" s="25"/>
      <c r="BK1414" s="25"/>
    </row>
    <row r="1415" spans="60:63" ht="14.25" x14ac:dyDescent="0.2">
      <c r="BH1415" s="25"/>
      <c r="BI1415" s="25"/>
      <c r="BJ1415" s="25"/>
      <c r="BK1415" s="25"/>
    </row>
    <row r="1416" spans="60:63" ht="14.25" x14ac:dyDescent="0.2">
      <c r="BH1416" s="25"/>
      <c r="BI1416" s="25"/>
      <c r="BJ1416" s="25"/>
      <c r="BK1416" s="25"/>
    </row>
    <row r="1417" spans="60:63" ht="14.25" x14ac:dyDescent="0.2">
      <c r="BH1417" s="25"/>
      <c r="BI1417" s="25"/>
      <c r="BJ1417" s="25"/>
      <c r="BK1417" s="25"/>
    </row>
    <row r="1418" spans="60:63" ht="14.25" x14ac:dyDescent="0.2">
      <c r="BH1418" s="25"/>
      <c r="BI1418" s="25"/>
      <c r="BJ1418" s="25"/>
      <c r="BK1418" s="25"/>
    </row>
    <row r="1419" spans="60:63" ht="14.25" x14ac:dyDescent="0.2">
      <c r="BH1419" s="25"/>
      <c r="BI1419" s="25"/>
      <c r="BJ1419" s="25"/>
      <c r="BK1419" s="25"/>
    </row>
    <row r="1420" spans="60:63" ht="14.25" x14ac:dyDescent="0.2">
      <c r="BH1420" s="25"/>
      <c r="BI1420" s="25"/>
      <c r="BJ1420" s="25"/>
      <c r="BK1420" s="25"/>
    </row>
    <row r="1421" spans="60:63" ht="14.25" x14ac:dyDescent="0.2">
      <c r="BH1421" s="25"/>
      <c r="BI1421" s="25"/>
      <c r="BJ1421" s="25"/>
      <c r="BK1421" s="25"/>
    </row>
    <row r="1422" spans="60:63" ht="14.25" x14ac:dyDescent="0.2">
      <c r="BH1422" s="25"/>
      <c r="BI1422" s="25"/>
      <c r="BJ1422" s="25"/>
      <c r="BK1422" s="25"/>
    </row>
    <row r="1423" spans="60:63" ht="14.25" x14ac:dyDescent="0.2">
      <c r="BH1423" s="25"/>
      <c r="BI1423" s="25"/>
      <c r="BJ1423" s="25"/>
      <c r="BK1423" s="25"/>
    </row>
    <row r="1424" spans="60:63" ht="14.25" x14ac:dyDescent="0.2">
      <c r="BH1424" s="25"/>
      <c r="BI1424" s="25"/>
      <c r="BJ1424" s="25"/>
      <c r="BK1424" s="25"/>
    </row>
    <row r="1425" spans="60:63" ht="14.25" x14ac:dyDescent="0.2">
      <c r="BH1425" s="25"/>
      <c r="BI1425" s="25"/>
      <c r="BJ1425" s="25"/>
      <c r="BK1425" s="25"/>
    </row>
    <row r="1426" spans="60:63" ht="14.25" x14ac:dyDescent="0.2">
      <c r="BH1426" s="25"/>
      <c r="BI1426" s="25"/>
      <c r="BJ1426" s="25"/>
      <c r="BK1426" s="25"/>
    </row>
    <row r="1427" spans="60:63" ht="14.25" x14ac:dyDescent="0.2">
      <c r="BH1427" s="25"/>
      <c r="BI1427" s="25"/>
      <c r="BJ1427" s="25"/>
      <c r="BK1427" s="25"/>
    </row>
    <row r="1428" spans="60:63" ht="14.25" x14ac:dyDescent="0.2">
      <c r="BH1428" s="25"/>
      <c r="BI1428" s="25"/>
      <c r="BJ1428" s="25"/>
      <c r="BK1428" s="25"/>
    </row>
    <row r="1429" spans="60:63" ht="14.25" x14ac:dyDescent="0.2">
      <c r="BH1429" s="25"/>
      <c r="BI1429" s="25"/>
      <c r="BJ1429" s="25"/>
      <c r="BK1429" s="25"/>
    </row>
    <row r="1430" spans="60:63" ht="14.25" x14ac:dyDescent="0.2">
      <c r="BH1430" s="25"/>
      <c r="BI1430" s="25"/>
      <c r="BJ1430" s="25"/>
      <c r="BK1430" s="25"/>
    </row>
    <row r="1431" spans="60:63" ht="14.25" x14ac:dyDescent="0.2">
      <c r="BH1431" s="25"/>
      <c r="BI1431" s="25"/>
      <c r="BJ1431" s="25"/>
      <c r="BK1431" s="25"/>
    </row>
    <row r="1432" spans="60:63" ht="14.25" x14ac:dyDescent="0.2">
      <c r="BH1432" s="25"/>
      <c r="BI1432" s="25"/>
      <c r="BJ1432" s="25"/>
      <c r="BK1432" s="25"/>
    </row>
    <row r="1433" spans="60:63" ht="14.25" x14ac:dyDescent="0.2">
      <c r="BH1433" s="25"/>
      <c r="BI1433" s="25"/>
      <c r="BJ1433" s="25"/>
      <c r="BK1433" s="25"/>
    </row>
    <row r="1434" spans="60:63" ht="14.25" x14ac:dyDescent="0.2">
      <c r="BH1434" s="25"/>
      <c r="BI1434" s="25"/>
      <c r="BJ1434" s="25"/>
      <c r="BK1434" s="25"/>
    </row>
    <row r="1435" spans="60:63" ht="14.25" x14ac:dyDescent="0.2">
      <c r="BH1435" s="25"/>
      <c r="BI1435" s="25"/>
      <c r="BJ1435" s="25"/>
      <c r="BK1435" s="25"/>
    </row>
    <row r="1436" spans="60:63" ht="14.25" x14ac:dyDescent="0.2">
      <c r="BH1436" s="25"/>
      <c r="BI1436" s="25"/>
      <c r="BJ1436" s="25"/>
      <c r="BK1436" s="25"/>
    </row>
    <row r="1437" spans="60:63" ht="14.25" x14ac:dyDescent="0.2">
      <c r="BH1437" s="25"/>
      <c r="BI1437" s="25"/>
      <c r="BJ1437" s="25"/>
      <c r="BK1437" s="25"/>
    </row>
    <row r="1438" spans="60:63" ht="14.25" x14ac:dyDescent="0.2">
      <c r="BH1438" s="25"/>
      <c r="BI1438" s="25"/>
      <c r="BJ1438" s="25"/>
      <c r="BK1438" s="25"/>
    </row>
    <row r="1439" spans="60:63" ht="14.25" x14ac:dyDescent="0.2">
      <c r="BH1439" s="25"/>
      <c r="BI1439" s="25"/>
      <c r="BJ1439" s="25"/>
      <c r="BK1439" s="25"/>
    </row>
    <row r="1440" spans="60:63" ht="14.25" x14ac:dyDescent="0.2">
      <c r="BH1440" s="25"/>
      <c r="BI1440" s="25"/>
      <c r="BJ1440" s="25"/>
      <c r="BK1440" s="25"/>
    </row>
    <row r="1441" spans="60:63" ht="14.25" x14ac:dyDescent="0.2">
      <c r="BH1441" s="25"/>
      <c r="BI1441" s="25"/>
      <c r="BJ1441" s="25"/>
      <c r="BK1441" s="25"/>
    </row>
    <row r="1442" spans="60:63" ht="14.25" x14ac:dyDescent="0.2">
      <c r="BH1442" s="25"/>
      <c r="BI1442" s="25"/>
      <c r="BJ1442" s="25"/>
      <c r="BK1442" s="25"/>
    </row>
    <row r="1443" spans="60:63" ht="14.25" x14ac:dyDescent="0.2">
      <c r="BH1443" s="25"/>
      <c r="BI1443" s="25"/>
      <c r="BJ1443" s="25"/>
      <c r="BK1443" s="25"/>
    </row>
    <row r="1444" spans="60:63" ht="14.25" x14ac:dyDescent="0.2">
      <c r="BH1444" s="25"/>
      <c r="BI1444" s="25"/>
      <c r="BJ1444" s="25"/>
      <c r="BK1444" s="25"/>
    </row>
    <row r="1445" spans="60:63" ht="14.25" x14ac:dyDescent="0.2">
      <c r="BH1445" s="25"/>
      <c r="BI1445" s="25"/>
      <c r="BJ1445" s="25"/>
      <c r="BK1445" s="25"/>
    </row>
    <row r="1446" spans="60:63" ht="14.25" x14ac:dyDescent="0.2">
      <c r="BH1446" s="25"/>
      <c r="BI1446" s="25"/>
      <c r="BJ1446" s="25"/>
      <c r="BK1446" s="25"/>
    </row>
    <row r="1447" spans="60:63" ht="14.25" x14ac:dyDescent="0.2">
      <c r="BH1447" s="25"/>
      <c r="BI1447" s="25"/>
      <c r="BJ1447" s="25"/>
      <c r="BK1447" s="25"/>
    </row>
    <row r="1448" spans="60:63" ht="14.25" x14ac:dyDescent="0.2">
      <c r="BH1448" s="25"/>
      <c r="BI1448" s="25"/>
      <c r="BJ1448" s="25"/>
      <c r="BK1448" s="25"/>
    </row>
    <row r="1449" spans="60:63" ht="14.25" x14ac:dyDescent="0.2">
      <c r="BH1449" s="25"/>
      <c r="BI1449" s="25"/>
      <c r="BJ1449" s="25"/>
      <c r="BK1449" s="25"/>
    </row>
    <row r="1450" spans="60:63" ht="14.25" x14ac:dyDescent="0.2">
      <c r="BH1450" s="25"/>
      <c r="BI1450" s="25"/>
      <c r="BJ1450" s="25"/>
      <c r="BK1450" s="25"/>
    </row>
    <row r="1451" spans="60:63" ht="14.25" x14ac:dyDescent="0.2">
      <c r="BH1451" s="25"/>
      <c r="BI1451" s="25"/>
      <c r="BJ1451" s="25"/>
      <c r="BK1451" s="25"/>
    </row>
    <row r="1452" spans="60:63" ht="14.25" x14ac:dyDescent="0.2">
      <c r="BH1452" s="25"/>
      <c r="BI1452" s="25"/>
      <c r="BJ1452" s="25"/>
      <c r="BK1452" s="25"/>
    </row>
    <row r="1453" spans="60:63" ht="14.25" x14ac:dyDescent="0.2">
      <c r="BH1453" s="25"/>
      <c r="BI1453" s="25"/>
      <c r="BJ1453" s="25"/>
      <c r="BK1453" s="25"/>
    </row>
    <row r="1454" spans="60:63" ht="14.25" x14ac:dyDescent="0.2">
      <c r="BH1454" s="25"/>
      <c r="BI1454" s="25"/>
      <c r="BJ1454" s="25"/>
      <c r="BK1454" s="25"/>
    </row>
    <row r="1455" spans="60:63" ht="14.25" x14ac:dyDescent="0.2">
      <c r="BH1455" s="25"/>
      <c r="BI1455" s="25"/>
      <c r="BJ1455" s="25"/>
      <c r="BK1455" s="25"/>
    </row>
    <row r="1456" spans="60:63" ht="14.25" x14ac:dyDescent="0.2">
      <c r="BH1456" s="25"/>
      <c r="BI1456" s="25"/>
      <c r="BJ1456" s="25"/>
      <c r="BK1456" s="25"/>
    </row>
    <row r="1457" spans="60:63" ht="14.25" x14ac:dyDescent="0.2">
      <c r="BH1457" s="25"/>
      <c r="BI1457" s="25"/>
      <c r="BJ1457" s="25"/>
      <c r="BK1457" s="25"/>
    </row>
    <row r="1458" spans="60:63" ht="14.25" x14ac:dyDescent="0.2">
      <c r="BH1458" s="25"/>
      <c r="BI1458" s="25"/>
      <c r="BJ1458" s="25"/>
      <c r="BK1458" s="25"/>
    </row>
    <row r="1459" spans="60:63" ht="14.25" x14ac:dyDescent="0.2">
      <c r="BH1459" s="25"/>
      <c r="BI1459" s="25"/>
      <c r="BJ1459" s="25"/>
      <c r="BK1459" s="25"/>
    </row>
    <row r="1460" spans="60:63" ht="14.25" x14ac:dyDescent="0.2">
      <c r="BH1460" s="25"/>
      <c r="BI1460" s="25"/>
      <c r="BJ1460" s="25"/>
      <c r="BK1460" s="25"/>
    </row>
    <row r="1461" spans="60:63" ht="14.25" x14ac:dyDescent="0.2">
      <c r="BH1461" s="25"/>
      <c r="BI1461" s="25"/>
      <c r="BJ1461" s="25"/>
      <c r="BK1461" s="25"/>
    </row>
    <row r="1462" spans="60:63" ht="14.25" x14ac:dyDescent="0.2">
      <c r="BH1462" s="25"/>
      <c r="BI1462" s="25"/>
      <c r="BJ1462" s="25"/>
      <c r="BK1462" s="25"/>
    </row>
    <row r="1463" spans="60:63" ht="14.25" x14ac:dyDescent="0.2">
      <c r="BH1463" s="25"/>
      <c r="BI1463" s="25"/>
      <c r="BJ1463" s="25"/>
      <c r="BK1463" s="25"/>
    </row>
    <row r="1464" spans="60:63" ht="14.25" x14ac:dyDescent="0.2">
      <c r="BH1464" s="25"/>
      <c r="BI1464" s="25"/>
      <c r="BJ1464" s="25"/>
      <c r="BK1464" s="25"/>
    </row>
    <row r="1465" spans="60:63" ht="14.25" x14ac:dyDescent="0.2">
      <c r="BH1465" s="25"/>
      <c r="BI1465" s="25"/>
      <c r="BJ1465" s="25"/>
      <c r="BK1465" s="25"/>
    </row>
    <row r="1466" spans="60:63" ht="14.25" x14ac:dyDescent="0.2">
      <c r="BH1466" s="25"/>
      <c r="BI1466" s="25"/>
      <c r="BJ1466" s="25"/>
      <c r="BK1466" s="25"/>
    </row>
    <row r="1467" spans="60:63" ht="14.25" x14ac:dyDescent="0.2">
      <c r="BH1467" s="25"/>
      <c r="BI1467" s="25"/>
      <c r="BJ1467" s="25"/>
      <c r="BK1467" s="25"/>
    </row>
    <row r="1468" spans="60:63" ht="14.25" x14ac:dyDescent="0.2">
      <c r="BH1468" s="25"/>
      <c r="BI1468" s="25"/>
      <c r="BJ1468" s="25"/>
      <c r="BK1468" s="25"/>
    </row>
    <row r="1469" spans="60:63" ht="14.25" x14ac:dyDescent="0.2">
      <c r="BH1469" s="25"/>
      <c r="BI1469" s="25"/>
      <c r="BJ1469" s="25"/>
      <c r="BK1469" s="25"/>
    </row>
    <row r="1470" spans="60:63" ht="14.25" x14ac:dyDescent="0.2">
      <c r="BH1470" s="25"/>
      <c r="BI1470" s="25"/>
      <c r="BJ1470" s="25"/>
      <c r="BK1470" s="25"/>
    </row>
    <row r="1471" spans="60:63" ht="14.25" x14ac:dyDescent="0.2">
      <c r="BH1471" s="25"/>
      <c r="BI1471" s="25"/>
      <c r="BJ1471" s="25"/>
      <c r="BK1471" s="25"/>
    </row>
    <row r="1472" spans="60:63" ht="14.25" x14ac:dyDescent="0.2">
      <c r="BH1472" s="25"/>
      <c r="BI1472" s="25"/>
      <c r="BJ1472" s="25"/>
      <c r="BK1472" s="25"/>
    </row>
    <row r="1473" spans="60:63" ht="14.25" x14ac:dyDescent="0.2">
      <c r="BH1473" s="25"/>
      <c r="BI1473" s="25"/>
      <c r="BJ1473" s="25"/>
      <c r="BK1473" s="25"/>
    </row>
    <row r="1474" spans="60:63" ht="14.25" x14ac:dyDescent="0.2">
      <c r="BH1474" s="25"/>
      <c r="BI1474" s="25"/>
      <c r="BJ1474" s="25"/>
      <c r="BK1474" s="25"/>
    </row>
    <row r="1475" spans="60:63" ht="14.25" x14ac:dyDescent="0.2">
      <c r="BH1475" s="25"/>
      <c r="BI1475" s="25"/>
      <c r="BJ1475" s="25"/>
      <c r="BK1475" s="25"/>
    </row>
    <row r="1476" spans="60:63" ht="14.25" x14ac:dyDescent="0.2">
      <c r="BH1476" s="25"/>
      <c r="BI1476" s="25"/>
      <c r="BJ1476" s="25"/>
      <c r="BK1476" s="25"/>
    </row>
    <row r="1477" spans="60:63" ht="14.25" x14ac:dyDescent="0.2">
      <c r="BH1477" s="25"/>
      <c r="BI1477" s="25"/>
      <c r="BJ1477" s="25"/>
      <c r="BK1477" s="25"/>
    </row>
    <row r="1478" spans="60:63" ht="14.25" x14ac:dyDescent="0.2">
      <c r="BH1478" s="25"/>
      <c r="BI1478" s="25"/>
      <c r="BJ1478" s="25"/>
      <c r="BK1478" s="25"/>
    </row>
    <row r="1479" spans="60:63" ht="14.25" x14ac:dyDescent="0.2">
      <c r="BH1479" s="25"/>
      <c r="BI1479" s="25"/>
      <c r="BJ1479" s="25"/>
      <c r="BK1479" s="25"/>
    </row>
    <row r="1480" spans="60:63" ht="14.25" x14ac:dyDescent="0.2">
      <c r="BH1480" s="25"/>
      <c r="BI1480" s="25"/>
      <c r="BJ1480" s="25"/>
      <c r="BK1480" s="25"/>
    </row>
    <row r="1481" spans="60:63" ht="14.25" x14ac:dyDescent="0.2">
      <c r="BH1481" s="25"/>
      <c r="BI1481" s="25"/>
      <c r="BJ1481" s="25"/>
      <c r="BK1481" s="25"/>
    </row>
    <row r="1482" spans="60:63" ht="14.25" x14ac:dyDescent="0.2">
      <c r="BH1482" s="25"/>
      <c r="BI1482" s="25"/>
      <c r="BJ1482" s="25"/>
      <c r="BK1482" s="25"/>
    </row>
    <row r="1483" spans="60:63" ht="14.25" x14ac:dyDescent="0.2">
      <c r="BH1483" s="25"/>
      <c r="BI1483" s="25"/>
      <c r="BJ1483" s="25"/>
      <c r="BK1483" s="25"/>
    </row>
    <row r="1484" spans="60:63" ht="14.25" x14ac:dyDescent="0.2">
      <c r="BH1484" s="25"/>
      <c r="BI1484" s="25"/>
      <c r="BJ1484" s="25"/>
      <c r="BK1484" s="25"/>
    </row>
    <row r="1485" spans="60:63" ht="14.25" x14ac:dyDescent="0.2">
      <c r="BH1485" s="25"/>
      <c r="BI1485" s="25"/>
      <c r="BJ1485" s="25"/>
      <c r="BK1485" s="25"/>
    </row>
    <row r="1486" spans="60:63" ht="14.25" x14ac:dyDescent="0.2">
      <c r="BH1486" s="25"/>
      <c r="BI1486" s="25"/>
      <c r="BJ1486" s="25"/>
      <c r="BK1486" s="25"/>
    </row>
    <row r="1487" spans="60:63" ht="14.25" x14ac:dyDescent="0.2">
      <c r="BH1487" s="25"/>
      <c r="BI1487" s="25"/>
      <c r="BJ1487" s="25"/>
      <c r="BK1487" s="25"/>
    </row>
    <row r="1488" spans="60:63" ht="14.25" x14ac:dyDescent="0.2">
      <c r="BH1488" s="25"/>
      <c r="BI1488" s="25"/>
      <c r="BJ1488" s="25"/>
      <c r="BK1488" s="25"/>
    </row>
    <row r="1489" spans="60:63" ht="14.25" x14ac:dyDescent="0.2">
      <c r="BH1489" s="25"/>
      <c r="BI1489" s="25"/>
      <c r="BJ1489" s="25"/>
      <c r="BK1489" s="25"/>
    </row>
    <row r="1490" spans="60:63" ht="14.25" x14ac:dyDescent="0.2">
      <c r="BH1490" s="25"/>
      <c r="BI1490" s="25"/>
      <c r="BJ1490" s="25"/>
      <c r="BK1490" s="25"/>
    </row>
    <row r="1491" spans="60:63" ht="14.25" x14ac:dyDescent="0.2">
      <c r="BH1491" s="25"/>
      <c r="BI1491" s="25"/>
      <c r="BJ1491" s="25"/>
      <c r="BK1491" s="25"/>
    </row>
    <row r="1492" spans="60:63" ht="14.25" x14ac:dyDescent="0.2">
      <c r="BH1492" s="25"/>
      <c r="BI1492" s="25"/>
      <c r="BJ1492" s="25"/>
      <c r="BK1492" s="25"/>
    </row>
    <row r="1493" spans="60:63" ht="14.25" x14ac:dyDescent="0.2">
      <c r="BH1493" s="25"/>
      <c r="BI1493" s="25"/>
      <c r="BJ1493" s="25"/>
      <c r="BK1493" s="25"/>
    </row>
    <row r="1494" spans="60:63" ht="14.25" x14ac:dyDescent="0.2">
      <c r="BH1494" s="25"/>
      <c r="BI1494" s="25"/>
      <c r="BJ1494" s="25"/>
      <c r="BK1494" s="25"/>
    </row>
    <row r="1495" spans="60:63" ht="14.25" x14ac:dyDescent="0.2">
      <c r="BH1495" s="25"/>
      <c r="BI1495" s="25"/>
      <c r="BJ1495" s="25"/>
      <c r="BK1495" s="25"/>
    </row>
    <row r="1496" spans="60:63" ht="14.25" x14ac:dyDescent="0.2">
      <c r="BH1496" s="25"/>
      <c r="BI1496" s="25"/>
      <c r="BJ1496" s="25"/>
      <c r="BK1496" s="25"/>
    </row>
    <row r="1497" spans="60:63" ht="14.25" x14ac:dyDescent="0.2">
      <c r="BH1497" s="25"/>
      <c r="BI1497" s="25"/>
      <c r="BJ1497" s="25"/>
      <c r="BK1497" s="25"/>
    </row>
    <row r="1498" spans="60:63" ht="14.25" x14ac:dyDescent="0.2">
      <c r="BH1498" s="25"/>
      <c r="BI1498" s="25"/>
      <c r="BJ1498" s="25"/>
      <c r="BK1498" s="25"/>
    </row>
    <row r="1499" spans="60:63" ht="14.25" x14ac:dyDescent="0.2">
      <c r="BH1499" s="25"/>
      <c r="BI1499" s="25"/>
      <c r="BJ1499" s="25"/>
      <c r="BK1499" s="25"/>
    </row>
    <row r="1500" spans="60:63" ht="14.25" x14ac:dyDescent="0.2">
      <c r="BH1500" s="25"/>
      <c r="BI1500" s="25"/>
      <c r="BJ1500" s="25"/>
      <c r="BK1500" s="25"/>
    </row>
    <row r="1501" spans="60:63" ht="14.25" x14ac:dyDescent="0.2">
      <c r="BH1501" s="25"/>
      <c r="BI1501" s="25"/>
      <c r="BJ1501" s="25"/>
      <c r="BK1501" s="25"/>
    </row>
    <row r="1502" spans="60:63" ht="14.25" x14ac:dyDescent="0.2">
      <c r="BH1502" s="25"/>
      <c r="BI1502" s="25"/>
      <c r="BJ1502" s="25"/>
      <c r="BK1502" s="25"/>
    </row>
    <row r="1503" spans="60:63" ht="14.25" x14ac:dyDescent="0.2">
      <c r="BH1503" s="25"/>
      <c r="BI1503" s="25"/>
      <c r="BJ1503" s="25"/>
      <c r="BK1503" s="25"/>
    </row>
    <row r="1504" spans="60:63" ht="14.25" x14ac:dyDescent="0.2">
      <c r="BH1504" s="25"/>
      <c r="BI1504" s="25"/>
      <c r="BJ1504" s="25"/>
      <c r="BK1504" s="25"/>
    </row>
    <row r="1505" spans="60:63" ht="14.25" x14ac:dyDescent="0.2">
      <c r="BH1505" s="25"/>
      <c r="BI1505" s="25"/>
      <c r="BJ1505" s="25"/>
      <c r="BK1505" s="25"/>
    </row>
    <row r="1506" spans="60:63" ht="14.25" x14ac:dyDescent="0.2">
      <c r="BH1506" s="25"/>
      <c r="BI1506" s="25"/>
      <c r="BJ1506" s="25"/>
      <c r="BK1506" s="25"/>
    </row>
    <row r="1507" spans="60:63" ht="14.25" x14ac:dyDescent="0.2">
      <c r="BH1507" s="25"/>
      <c r="BI1507" s="25"/>
      <c r="BJ1507" s="25"/>
      <c r="BK1507" s="25"/>
    </row>
    <row r="1508" spans="60:63" ht="14.25" x14ac:dyDescent="0.2">
      <c r="BH1508" s="25"/>
      <c r="BI1508" s="25"/>
      <c r="BJ1508" s="25"/>
      <c r="BK1508" s="25"/>
    </row>
    <row r="1509" spans="60:63" ht="14.25" x14ac:dyDescent="0.2">
      <c r="BH1509" s="25"/>
      <c r="BI1509" s="25"/>
      <c r="BJ1509" s="25"/>
      <c r="BK1509" s="25"/>
    </row>
    <row r="1510" spans="60:63" ht="14.25" x14ac:dyDescent="0.2">
      <c r="BH1510" s="25"/>
      <c r="BI1510" s="25"/>
      <c r="BJ1510" s="25"/>
      <c r="BK1510" s="25"/>
    </row>
    <row r="1511" spans="60:63" ht="14.25" x14ac:dyDescent="0.2">
      <c r="BH1511" s="25"/>
      <c r="BI1511" s="25"/>
      <c r="BJ1511" s="25"/>
      <c r="BK1511" s="25"/>
    </row>
    <row r="1512" spans="60:63" ht="14.25" x14ac:dyDescent="0.2">
      <c r="BH1512" s="25"/>
      <c r="BI1512" s="25"/>
      <c r="BJ1512" s="25"/>
      <c r="BK1512" s="25"/>
    </row>
    <row r="1513" spans="60:63" ht="14.25" x14ac:dyDescent="0.2">
      <c r="BH1513" s="25"/>
      <c r="BI1513" s="25"/>
      <c r="BJ1513" s="25"/>
      <c r="BK1513" s="25"/>
    </row>
    <row r="1514" spans="60:63" ht="14.25" x14ac:dyDescent="0.2">
      <c r="BH1514" s="25"/>
      <c r="BI1514" s="25"/>
      <c r="BJ1514" s="25"/>
      <c r="BK1514" s="25"/>
    </row>
    <row r="1515" spans="60:63" ht="14.25" x14ac:dyDescent="0.2">
      <c r="BH1515" s="25"/>
      <c r="BI1515" s="25"/>
      <c r="BJ1515" s="25"/>
      <c r="BK1515" s="25"/>
    </row>
    <row r="1516" spans="60:63" ht="14.25" x14ac:dyDescent="0.2">
      <c r="BH1516" s="25"/>
      <c r="BI1516" s="25"/>
      <c r="BJ1516" s="25"/>
      <c r="BK1516" s="25"/>
    </row>
    <row r="1517" spans="60:63" ht="14.25" x14ac:dyDescent="0.2">
      <c r="BH1517" s="25"/>
      <c r="BI1517" s="25"/>
      <c r="BJ1517" s="25"/>
      <c r="BK1517" s="25"/>
    </row>
    <row r="1518" spans="60:63" ht="14.25" x14ac:dyDescent="0.2">
      <c r="BH1518" s="25"/>
      <c r="BI1518" s="25"/>
      <c r="BJ1518" s="25"/>
      <c r="BK1518" s="25"/>
    </row>
    <row r="1519" spans="60:63" ht="14.25" x14ac:dyDescent="0.2">
      <c r="BH1519" s="25"/>
      <c r="BI1519" s="25"/>
      <c r="BJ1519" s="25"/>
      <c r="BK1519" s="25"/>
    </row>
    <row r="1520" spans="60:63" ht="14.25" x14ac:dyDescent="0.2">
      <c r="BH1520" s="25"/>
      <c r="BI1520" s="25"/>
      <c r="BJ1520" s="25"/>
      <c r="BK1520" s="25"/>
    </row>
    <row r="1521" spans="60:63" ht="14.25" x14ac:dyDescent="0.2">
      <c r="BH1521" s="25"/>
      <c r="BI1521" s="25"/>
      <c r="BJ1521" s="25"/>
      <c r="BK1521" s="25"/>
    </row>
    <row r="1522" spans="60:63" ht="14.25" x14ac:dyDescent="0.2">
      <c r="BH1522" s="25"/>
      <c r="BI1522" s="25"/>
      <c r="BJ1522" s="25"/>
      <c r="BK1522" s="25"/>
    </row>
    <row r="1523" spans="60:63" ht="14.25" x14ac:dyDescent="0.2">
      <c r="BH1523" s="25"/>
      <c r="BI1523" s="25"/>
      <c r="BJ1523" s="25"/>
      <c r="BK1523" s="25"/>
    </row>
    <row r="1524" spans="60:63" ht="14.25" x14ac:dyDescent="0.2">
      <c r="BH1524" s="25"/>
      <c r="BI1524" s="25"/>
      <c r="BJ1524" s="25"/>
      <c r="BK1524" s="25"/>
    </row>
    <row r="1525" spans="60:63" ht="14.25" x14ac:dyDescent="0.2">
      <c r="BH1525" s="25"/>
      <c r="BI1525" s="25"/>
      <c r="BJ1525" s="25"/>
      <c r="BK1525" s="25"/>
    </row>
    <row r="1526" spans="60:63" ht="14.25" x14ac:dyDescent="0.2">
      <c r="BH1526" s="25"/>
      <c r="BI1526" s="25"/>
      <c r="BJ1526" s="25"/>
      <c r="BK1526" s="25"/>
    </row>
    <row r="1527" spans="60:63" ht="14.25" x14ac:dyDescent="0.2">
      <c r="BH1527" s="25"/>
      <c r="BI1527" s="25"/>
      <c r="BJ1527" s="25"/>
      <c r="BK1527" s="25"/>
    </row>
    <row r="1528" spans="60:63" ht="14.25" x14ac:dyDescent="0.2">
      <c r="BH1528" s="25"/>
      <c r="BI1528" s="25"/>
      <c r="BJ1528" s="25"/>
      <c r="BK1528" s="25"/>
    </row>
    <row r="1529" spans="60:63" ht="14.25" x14ac:dyDescent="0.2">
      <c r="BH1529" s="25"/>
      <c r="BI1529" s="25"/>
      <c r="BJ1529" s="25"/>
      <c r="BK1529" s="25"/>
    </row>
    <row r="1530" spans="60:63" ht="14.25" x14ac:dyDescent="0.2">
      <c r="BH1530" s="25"/>
      <c r="BI1530" s="25"/>
      <c r="BJ1530" s="25"/>
      <c r="BK1530" s="25"/>
    </row>
    <row r="1531" spans="60:63" ht="14.25" x14ac:dyDescent="0.2">
      <c r="BH1531" s="25"/>
      <c r="BI1531" s="25"/>
      <c r="BJ1531" s="25"/>
      <c r="BK1531" s="25"/>
    </row>
    <row r="1532" spans="60:63" ht="14.25" x14ac:dyDescent="0.2">
      <c r="BH1532" s="25"/>
      <c r="BI1532" s="25"/>
      <c r="BJ1532" s="25"/>
      <c r="BK1532" s="25"/>
    </row>
    <row r="1533" spans="60:63" ht="14.25" x14ac:dyDescent="0.2">
      <c r="BH1533" s="25"/>
      <c r="BI1533" s="25"/>
      <c r="BJ1533" s="25"/>
      <c r="BK1533" s="25"/>
    </row>
    <row r="1534" spans="60:63" ht="14.25" x14ac:dyDescent="0.2">
      <c r="BH1534" s="25"/>
      <c r="BI1534" s="25"/>
      <c r="BJ1534" s="25"/>
      <c r="BK1534" s="25"/>
    </row>
    <row r="1535" spans="60:63" ht="14.25" x14ac:dyDescent="0.2">
      <c r="BH1535" s="25"/>
      <c r="BI1535" s="25"/>
      <c r="BJ1535" s="25"/>
      <c r="BK1535" s="25"/>
    </row>
    <row r="1536" spans="60:63" ht="14.25" x14ac:dyDescent="0.2">
      <c r="BH1536" s="25"/>
      <c r="BI1536" s="25"/>
      <c r="BJ1536" s="25"/>
      <c r="BK1536" s="25"/>
    </row>
    <row r="1537" spans="60:63" ht="14.25" x14ac:dyDescent="0.2">
      <c r="BH1537" s="25"/>
      <c r="BI1537" s="25"/>
      <c r="BJ1537" s="25"/>
      <c r="BK1537" s="25"/>
    </row>
    <row r="1538" spans="60:63" ht="14.25" x14ac:dyDescent="0.2">
      <c r="BH1538" s="25"/>
      <c r="BI1538" s="25"/>
      <c r="BJ1538" s="25"/>
      <c r="BK1538" s="25"/>
    </row>
    <row r="1539" spans="60:63" ht="14.25" x14ac:dyDescent="0.2">
      <c r="BH1539" s="25"/>
      <c r="BI1539" s="25"/>
      <c r="BJ1539" s="25"/>
      <c r="BK1539" s="25"/>
    </row>
    <row r="1540" spans="60:63" ht="14.25" x14ac:dyDescent="0.2">
      <c r="BH1540" s="25"/>
      <c r="BI1540" s="25"/>
      <c r="BJ1540" s="25"/>
      <c r="BK1540" s="25"/>
    </row>
    <row r="1541" spans="60:63" ht="14.25" x14ac:dyDescent="0.2">
      <c r="BH1541" s="25"/>
      <c r="BI1541" s="25"/>
      <c r="BJ1541" s="25"/>
      <c r="BK1541" s="25"/>
    </row>
    <row r="1542" spans="60:63" ht="14.25" x14ac:dyDescent="0.2">
      <c r="BH1542" s="25"/>
      <c r="BI1542" s="25"/>
      <c r="BJ1542" s="25"/>
      <c r="BK1542" s="25"/>
    </row>
    <row r="1543" spans="60:63" ht="14.25" x14ac:dyDescent="0.2">
      <c r="BH1543" s="25"/>
      <c r="BI1543" s="25"/>
      <c r="BJ1543" s="25"/>
      <c r="BK1543" s="25"/>
    </row>
    <row r="1544" spans="60:63" ht="14.25" x14ac:dyDescent="0.2">
      <c r="BH1544" s="25"/>
      <c r="BI1544" s="25"/>
      <c r="BJ1544" s="25"/>
      <c r="BK1544" s="25"/>
    </row>
    <row r="1545" spans="60:63" ht="14.25" x14ac:dyDescent="0.2">
      <c r="BH1545" s="25"/>
      <c r="BI1545" s="25"/>
      <c r="BJ1545" s="25"/>
      <c r="BK1545" s="25"/>
    </row>
    <row r="1546" spans="60:63" ht="14.25" x14ac:dyDescent="0.2">
      <c r="BH1546" s="25"/>
      <c r="BI1546" s="25"/>
      <c r="BJ1546" s="25"/>
      <c r="BK1546" s="25"/>
    </row>
    <row r="1547" spans="60:63" ht="14.25" x14ac:dyDescent="0.2">
      <c r="BH1547" s="25"/>
      <c r="BI1547" s="25"/>
      <c r="BJ1547" s="25"/>
      <c r="BK1547" s="25"/>
    </row>
    <row r="1548" spans="60:63" ht="14.25" x14ac:dyDescent="0.2">
      <c r="BH1548" s="25"/>
      <c r="BI1548" s="25"/>
      <c r="BJ1548" s="25"/>
      <c r="BK1548" s="25"/>
    </row>
    <row r="1549" spans="60:63" ht="14.25" x14ac:dyDescent="0.2">
      <c r="BH1549" s="25"/>
      <c r="BI1549" s="25"/>
      <c r="BJ1549" s="25"/>
      <c r="BK1549" s="25"/>
    </row>
    <row r="1550" spans="60:63" ht="14.25" x14ac:dyDescent="0.2">
      <c r="BH1550" s="25"/>
      <c r="BI1550" s="25"/>
      <c r="BJ1550" s="25"/>
      <c r="BK1550" s="25"/>
    </row>
    <row r="1551" spans="60:63" ht="14.25" x14ac:dyDescent="0.2">
      <c r="BH1551" s="25"/>
      <c r="BI1551" s="25"/>
      <c r="BJ1551" s="25"/>
      <c r="BK1551" s="25"/>
    </row>
    <row r="1552" spans="60:63" ht="14.25" x14ac:dyDescent="0.2">
      <c r="BH1552" s="25"/>
      <c r="BI1552" s="25"/>
      <c r="BJ1552" s="25"/>
      <c r="BK1552" s="25"/>
    </row>
    <row r="1553" spans="60:63" ht="14.25" x14ac:dyDescent="0.2">
      <c r="BH1553" s="25"/>
      <c r="BI1553" s="25"/>
      <c r="BJ1553" s="25"/>
      <c r="BK1553" s="25"/>
    </row>
    <row r="1554" spans="60:63" ht="14.25" x14ac:dyDescent="0.2">
      <c r="BH1554" s="25"/>
      <c r="BI1554" s="25"/>
      <c r="BJ1554" s="25"/>
      <c r="BK1554" s="25"/>
    </row>
    <row r="1555" spans="60:63" ht="14.25" x14ac:dyDescent="0.2">
      <c r="BH1555" s="25"/>
      <c r="BI1555" s="25"/>
      <c r="BJ1555" s="25"/>
      <c r="BK1555" s="25"/>
    </row>
    <row r="1556" spans="60:63" ht="14.25" x14ac:dyDescent="0.2">
      <c r="BH1556" s="25"/>
      <c r="BI1556" s="25"/>
      <c r="BJ1556" s="25"/>
      <c r="BK1556" s="25"/>
    </row>
    <row r="1557" spans="60:63" ht="14.25" x14ac:dyDescent="0.2">
      <c r="BH1557" s="25"/>
      <c r="BI1557" s="25"/>
      <c r="BJ1557" s="25"/>
      <c r="BK1557" s="25"/>
    </row>
    <row r="1558" spans="60:63" ht="14.25" x14ac:dyDescent="0.2">
      <c r="BH1558" s="25"/>
      <c r="BI1558" s="25"/>
      <c r="BJ1558" s="25"/>
      <c r="BK1558" s="25"/>
    </row>
    <row r="1559" spans="60:63" ht="14.25" x14ac:dyDescent="0.2">
      <c r="BH1559" s="25"/>
      <c r="BI1559" s="25"/>
      <c r="BJ1559" s="25"/>
      <c r="BK1559" s="25"/>
    </row>
    <row r="1560" spans="60:63" ht="14.25" x14ac:dyDescent="0.2">
      <c r="BH1560" s="25"/>
      <c r="BI1560" s="25"/>
      <c r="BJ1560" s="25"/>
      <c r="BK1560" s="25"/>
    </row>
    <row r="1561" spans="60:63" ht="14.25" x14ac:dyDescent="0.2">
      <c r="BH1561" s="25"/>
      <c r="BI1561" s="25"/>
      <c r="BJ1561" s="25"/>
      <c r="BK1561" s="25"/>
    </row>
    <row r="1562" spans="60:63" ht="14.25" x14ac:dyDescent="0.2">
      <c r="BH1562" s="25"/>
      <c r="BI1562" s="25"/>
      <c r="BJ1562" s="25"/>
      <c r="BK1562" s="25"/>
    </row>
    <row r="1563" spans="60:63" ht="14.25" x14ac:dyDescent="0.2">
      <c r="BH1563" s="25"/>
      <c r="BI1563" s="25"/>
      <c r="BJ1563" s="25"/>
      <c r="BK1563" s="25"/>
    </row>
    <row r="1564" spans="60:63" ht="14.25" x14ac:dyDescent="0.2">
      <c r="BH1564" s="25"/>
      <c r="BI1564" s="25"/>
      <c r="BJ1564" s="25"/>
      <c r="BK1564" s="25"/>
    </row>
    <row r="1565" spans="60:63" ht="14.25" x14ac:dyDescent="0.2">
      <c r="BH1565" s="25"/>
      <c r="BI1565" s="25"/>
      <c r="BJ1565" s="25"/>
      <c r="BK1565" s="25"/>
    </row>
    <row r="1566" spans="60:63" ht="14.25" x14ac:dyDescent="0.2">
      <c r="BH1566" s="25"/>
      <c r="BI1566" s="25"/>
      <c r="BJ1566" s="25"/>
      <c r="BK1566" s="25"/>
    </row>
    <row r="1567" spans="60:63" ht="14.25" x14ac:dyDescent="0.2">
      <c r="BH1567" s="25"/>
      <c r="BI1567" s="25"/>
      <c r="BJ1567" s="25"/>
      <c r="BK1567" s="25"/>
    </row>
    <row r="1568" spans="60:63" ht="14.25" x14ac:dyDescent="0.2">
      <c r="BH1568" s="25"/>
      <c r="BI1568" s="25"/>
      <c r="BJ1568" s="25"/>
      <c r="BK1568" s="25"/>
    </row>
    <row r="1569" spans="60:63" ht="14.25" x14ac:dyDescent="0.2">
      <c r="BH1569" s="25"/>
      <c r="BI1569" s="25"/>
      <c r="BJ1569" s="25"/>
      <c r="BK1569" s="25"/>
    </row>
    <row r="1570" spans="60:63" ht="14.25" x14ac:dyDescent="0.2">
      <c r="BH1570" s="25"/>
      <c r="BI1570" s="25"/>
      <c r="BJ1570" s="25"/>
      <c r="BK1570" s="25"/>
    </row>
    <row r="1571" spans="60:63" ht="14.25" x14ac:dyDescent="0.2">
      <c r="BH1571" s="25"/>
      <c r="BI1571" s="25"/>
      <c r="BJ1571" s="25"/>
      <c r="BK1571" s="25"/>
    </row>
    <row r="1572" spans="60:63" ht="14.25" x14ac:dyDescent="0.2">
      <c r="BH1572" s="25"/>
      <c r="BI1572" s="25"/>
      <c r="BJ1572" s="25"/>
      <c r="BK1572" s="25"/>
    </row>
    <row r="1573" spans="60:63" ht="14.25" x14ac:dyDescent="0.2">
      <c r="BH1573" s="25"/>
      <c r="BI1573" s="25"/>
      <c r="BJ1573" s="25"/>
      <c r="BK1573" s="25"/>
    </row>
    <row r="1574" spans="60:63" ht="14.25" x14ac:dyDescent="0.2">
      <c r="BH1574" s="25"/>
      <c r="BI1574" s="25"/>
      <c r="BJ1574" s="25"/>
      <c r="BK1574" s="25"/>
    </row>
    <row r="1575" spans="60:63" ht="14.25" x14ac:dyDescent="0.2">
      <c r="BH1575" s="25"/>
      <c r="BI1575" s="25"/>
      <c r="BJ1575" s="25"/>
      <c r="BK1575" s="25"/>
    </row>
    <row r="1576" spans="60:63" ht="14.25" x14ac:dyDescent="0.2">
      <c r="BH1576" s="25"/>
      <c r="BI1576" s="25"/>
      <c r="BJ1576" s="25"/>
      <c r="BK1576" s="25"/>
    </row>
    <row r="1577" spans="60:63" ht="14.25" x14ac:dyDescent="0.2">
      <c r="BH1577" s="25"/>
      <c r="BI1577" s="25"/>
      <c r="BJ1577" s="25"/>
      <c r="BK1577" s="25"/>
    </row>
    <row r="1578" spans="60:63" ht="14.25" x14ac:dyDescent="0.2">
      <c r="BH1578" s="25"/>
      <c r="BI1578" s="25"/>
      <c r="BJ1578" s="25"/>
      <c r="BK1578" s="25"/>
    </row>
    <row r="1579" spans="60:63" ht="14.25" x14ac:dyDescent="0.2">
      <c r="BH1579" s="25"/>
      <c r="BI1579" s="25"/>
      <c r="BJ1579" s="25"/>
      <c r="BK1579" s="25"/>
    </row>
    <row r="1580" spans="60:63" ht="14.25" x14ac:dyDescent="0.2">
      <c r="BH1580" s="25"/>
      <c r="BI1580" s="25"/>
      <c r="BJ1580" s="25"/>
      <c r="BK1580" s="25"/>
    </row>
    <row r="1581" spans="60:63" ht="14.25" x14ac:dyDescent="0.2">
      <c r="BH1581" s="25"/>
      <c r="BI1581" s="25"/>
      <c r="BJ1581" s="25"/>
      <c r="BK1581" s="25"/>
    </row>
    <row r="1582" spans="60:63" ht="14.25" x14ac:dyDescent="0.2">
      <c r="BH1582" s="25"/>
      <c r="BI1582" s="25"/>
      <c r="BJ1582" s="25"/>
      <c r="BK1582" s="25"/>
    </row>
    <row r="1583" spans="60:63" ht="14.25" x14ac:dyDescent="0.2">
      <c r="BH1583" s="25"/>
      <c r="BI1583" s="25"/>
      <c r="BJ1583" s="25"/>
      <c r="BK1583" s="25"/>
    </row>
    <row r="1584" spans="60:63" ht="14.25" x14ac:dyDescent="0.2">
      <c r="BH1584" s="25"/>
      <c r="BI1584" s="25"/>
      <c r="BJ1584" s="25"/>
      <c r="BK1584" s="25"/>
    </row>
    <row r="1585" spans="60:63" ht="14.25" x14ac:dyDescent="0.2">
      <c r="BH1585" s="25"/>
      <c r="BI1585" s="25"/>
      <c r="BJ1585" s="25"/>
      <c r="BK1585" s="25"/>
    </row>
    <row r="1586" spans="60:63" ht="14.25" x14ac:dyDescent="0.2">
      <c r="BH1586" s="25"/>
      <c r="BI1586" s="25"/>
      <c r="BJ1586" s="25"/>
      <c r="BK1586" s="25"/>
    </row>
    <row r="1587" spans="60:63" ht="14.25" x14ac:dyDescent="0.2">
      <c r="BH1587" s="25"/>
      <c r="BI1587" s="25"/>
      <c r="BJ1587" s="25"/>
      <c r="BK1587" s="25"/>
    </row>
    <row r="1588" spans="60:63" ht="14.25" x14ac:dyDescent="0.2">
      <c r="BH1588" s="25"/>
      <c r="BI1588" s="25"/>
      <c r="BJ1588" s="25"/>
      <c r="BK1588" s="25"/>
    </row>
    <row r="1589" spans="60:63" ht="14.25" x14ac:dyDescent="0.2">
      <c r="BH1589" s="25"/>
      <c r="BI1589" s="25"/>
      <c r="BJ1589" s="25"/>
      <c r="BK1589" s="25"/>
    </row>
    <row r="1590" spans="60:63" ht="14.25" x14ac:dyDescent="0.2">
      <c r="BH1590" s="25"/>
      <c r="BI1590" s="25"/>
      <c r="BJ1590" s="25"/>
      <c r="BK1590" s="25"/>
    </row>
    <row r="1591" spans="60:63" ht="14.25" x14ac:dyDescent="0.2">
      <c r="BH1591" s="25"/>
      <c r="BI1591" s="25"/>
      <c r="BJ1591" s="25"/>
      <c r="BK1591" s="25"/>
    </row>
    <row r="1592" spans="60:63" ht="14.25" x14ac:dyDescent="0.2">
      <c r="BH1592" s="25"/>
      <c r="BI1592" s="25"/>
      <c r="BJ1592" s="25"/>
      <c r="BK1592" s="25"/>
    </row>
    <row r="1593" spans="60:63" ht="14.25" x14ac:dyDescent="0.2">
      <c r="BH1593" s="25"/>
      <c r="BI1593" s="25"/>
      <c r="BJ1593" s="25"/>
      <c r="BK1593" s="25"/>
    </row>
    <row r="1594" spans="60:63" ht="14.25" x14ac:dyDescent="0.2">
      <c r="BH1594" s="25"/>
      <c r="BI1594" s="25"/>
      <c r="BJ1594" s="25"/>
      <c r="BK1594" s="25"/>
    </row>
    <row r="1595" spans="60:63" ht="14.25" x14ac:dyDescent="0.2">
      <c r="BH1595" s="25"/>
      <c r="BI1595" s="25"/>
      <c r="BJ1595" s="25"/>
      <c r="BK1595" s="25"/>
    </row>
    <row r="1596" spans="60:63" ht="14.25" x14ac:dyDescent="0.2">
      <c r="BH1596" s="25"/>
      <c r="BI1596" s="25"/>
      <c r="BJ1596" s="25"/>
      <c r="BK1596" s="25"/>
    </row>
    <row r="1597" spans="60:63" ht="14.25" x14ac:dyDescent="0.2">
      <c r="BH1597" s="25"/>
      <c r="BI1597" s="25"/>
      <c r="BJ1597" s="25"/>
      <c r="BK1597" s="25"/>
    </row>
    <row r="1598" spans="60:63" ht="14.25" x14ac:dyDescent="0.2">
      <c r="BH1598" s="25"/>
      <c r="BI1598" s="25"/>
      <c r="BJ1598" s="25"/>
      <c r="BK1598" s="25"/>
    </row>
    <row r="1599" spans="60:63" ht="14.25" x14ac:dyDescent="0.2">
      <c r="BH1599" s="25"/>
      <c r="BI1599" s="25"/>
      <c r="BJ1599" s="25"/>
      <c r="BK1599" s="25"/>
    </row>
    <row r="1600" spans="60:63" ht="14.25" x14ac:dyDescent="0.2">
      <c r="BH1600" s="25"/>
      <c r="BI1600" s="25"/>
      <c r="BJ1600" s="25"/>
      <c r="BK1600" s="25"/>
    </row>
    <row r="1601" spans="60:63" ht="14.25" x14ac:dyDescent="0.2">
      <c r="BH1601" s="25"/>
      <c r="BI1601" s="25"/>
      <c r="BJ1601" s="25"/>
      <c r="BK1601" s="25"/>
    </row>
    <row r="1602" spans="60:63" ht="14.25" x14ac:dyDescent="0.2">
      <c r="BH1602" s="25"/>
      <c r="BI1602" s="25"/>
      <c r="BJ1602" s="25"/>
      <c r="BK1602" s="25"/>
    </row>
    <row r="1603" spans="60:63" ht="14.25" x14ac:dyDescent="0.2">
      <c r="BH1603" s="25"/>
      <c r="BI1603" s="25"/>
      <c r="BJ1603" s="25"/>
      <c r="BK1603" s="25"/>
    </row>
    <row r="1604" spans="60:63" ht="14.25" x14ac:dyDescent="0.2">
      <c r="BH1604" s="25"/>
      <c r="BI1604" s="25"/>
      <c r="BJ1604" s="25"/>
      <c r="BK1604" s="25"/>
    </row>
    <row r="1605" spans="60:63" ht="14.25" x14ac:dyDescent="0.2">
      <c r="BH1605" s="25"/>
      <c r="BI1605" s="25"/>
      <c r="BJ1605" s="25"/>
      <c r="BK1605" s="25"/>
    </row>
    <row r="1606" spans="60:63" ht="14.25" x14ac:dyDescent="0.2">
      <c r="BH1606" s="25"/>
      <c r="BI1606" s="25"/>
      <c r="BJ1606" s="25"/>
      <c r="BK1606" s="25"/>
    </row>
    <row r="1607" spans="60:63" ht="14.25" x14ac:dyDescent="0.2">
      <c r="BH1607" s="25"/>
      <c r="BI1607" s="25"/>
      <c r="BJ1607" s="25"/>
      <c r="BK1607" s="25"/>
    </row>
    <row r="1608" spans="60:63" ht="14.25" x14ac:dyDescent="0.2">
      <c r="BH1608" s="25"/>
      <c r="BI1608" s="25"/>
      <c r="BJ1608" s="25"/>
      <c r="BK1608" s="25"/>
    </row>
    <row r="1609" spans="60:63" ht="14.25" x14ac:dyDescent="0.2">
      <c r="BH1609" s="25"/>
      <c r="BI1609" s="25"/>
      <c r="BJ1609" s="25"/>
      <c r="BK1609" s="25"/>
    </row>
    <row r="1610" spans="60:63" ht="14.25" x14ac:dyDescent="0.2">
      <c r="BH1610" s="25"/>
      <c r="BI1610" s="25"/>
      <c r="BJ1610" s="25"/>
      <c r="BK1610" s="25"/>
    </row>
    <row r="1611" spans="60:63" ht="14.25" x14ac:dyDescent="0.2">
      <c r="BH1611" s="25"/>
      <c r="BI1611" s="25"/>
      <c r="BJ1611" s="25"/>
      <c r="BK1611" s="25"/>
    </row>
    <row r="1612" spans="60:63" ht="14.25" x14ac:dyDescent="0.2">
      <c r="BH1612" s="25"/>
      <c r="BI1612" s="25"/>
      <c r="BJ1612" s="25"/>
      <c r="BK1612" s="25"/>
    </row>
    <row r="1613" spans="60:63" ht="14.25" x14ac:dyDescent="0.2">
      <c r="BH1613" s="25"/>
      <c r="BI1613" s="25"/>
      <c r="BJ1613" s="25"/>
      <c r="BK1613" s="25"/>
    </row>
    <row r="1614" spans="60:63" ht="14.25" x14ac:dyDescent="0.2">
      <c r="BH1614" s="25"/>
      <c r="BI1614" s="25"/>
      <c r="BJ1614" s="25"/>
      <c r="BK1614" s="25"/>
    </row>
    <row r="1615" spans="60:63" ht="14.25" x14ac:dyDescent="0.2">
      <c r="BH1615" s="25"/>
      <c r="BI1615" s="25"/>
      <c r="BJ1615" s="25"/>
      <c r="BK1615" s="25"/>
    </row>
    <row r="1616" spans="60:63" ht="14.25" x14ac:dyDescent="0.2">
      <c r="BH1616" s="25"/>
      <c r="BI1616" s="25"/>
      <c r="BJ1616" s="25"/>
      <c r="BK1616" s="25"/>
    </row>
    <row r="1617" spans="60:63" ht="14.25" x14ac:dyDescent="0.2">
      <c r="BH1617" s="25"/>
      <c r="BI1617" s="25"/>
      <c r="BJ1617" s="25"/>
      <c r="BK1617" s="25"/>
    </row>
    <row r="1618" spans="60:63" ht="14.25" x14ac:dyDescent="0.2">
      <c r="BH1618" s="25"/>
      <c r="BI1618" s="25"/>
      <c r="BJ1618" s="25"/>
      <c r="BK1618" s="25"/>
    </row>
    <row r="1619" spans="60:63" ht="14.25" x14ac:dyDescent="0.2">
      <c r="BH1619" s="25"/>
      <c r="BI1619" s="25"/>
      <c r="BJ1619" s="25"/>
      <c r="BK1619" s="25"/>
    </row>
    <row r="1620" spans="60:63" ht="14.25" x14ac:dyDescent="0.2">
      <c r="BH1620" s="25"/>
      <c r="BI1620" s="25"/>
      <c r="BJ1620" s="25"/>
      <c r="BK1620" s="25"/>
    </row>
    <row r="1621" spans="60:63" ht="14.25" x14ac:dyDescent="0.2">
      <c r="BH1621" s="25"/>
      <c r="BI1621" s="25"/>
      <c r="BJ1621" s="25"/>
      <c r="BK1621" s="25"/>
    </row>
    <row r="1622" spans="60:63" ht="14.25" x14ac:dyDescent="0.2">
      <c r="BH1622" s="25"/>
      <c r="BI1622" s="25"/>
      <c r="BJ1622" s="25"/>
      <c r="BK1622" s="25"/>
    </row>
    <row r="1623" spans="60:63" ht="14.25" x14ac:dyDescent="0.2">
      <c r="BH1623" s="25"/>
      <c r="BI1623" s="25"/>
      <c r="BJ1623" s="25"/>
      <c r="BK1623" s="25"/>
    </row>
    <row r="1624" spans="60:63" ht="14.25" x14ac:dyDescent="0.2">
      <c r="BH1624" s="25"/>
      <c r="BI1624" s="25"/>
      <c r="BJ1624" s="25"/>
      <c r="BK1624" s="25"/>
    </row>
    <row r="1625" spans="60:63" ht="14.25" x14ac:dyDescent="0.2">
      <c r="BH1625" s="25"/>
      <c r="BI1625" s="25"/>
      <c r="BJ1625" s="25"/>
      <c r="BK1625" s="25"/>
    </row>
    <row r="1626" spans="60:63" ht="14.25" x14ac:dyDescent="0.2">
      <c r="BH1626" s="25"/>
      <c r="BI1626" s="25"/>
      <c r="BJ1626" s="25"/>
      <c r="BK1626" s="25"/>
    </row>
    <row r="1627" spans="60:63" ht="14.25" x14ac:dyDescent="0.2">
      <c r="BH1627" s="25"/>
      <c r="BI1627" s="25"/>
      <c r="BJ1627" s="25"/>
      <c r="BK1627" s="25"/>
    </row>
    <row r="1628" spans="60:63" ht="14.25" x14ac:dyDescent="0.2">
      <c r="BH1628" s="25"/>
      <c r="BI1628" s="25"/>
      <c r="BJ1628" s="25"/>
      <c r="BK1628" s="25"/>
    </row>
    <row r="1629" spans="60:63" ht="14.25" x14ac:dyDescent="0.2">
      <c r="BH1629" s="25"/>
      <c r="BI1629" s="25"/>
      <c r="BJ1629" s="25"/>
      <c r="BK1629" s="25"/>
    </row>
    <row r="1630" spans="60:63" ht="14.25" x14ac:dyDescent="0.2">
      <c r="BH1630" s="25"/>
      <c r="BI1630" s="25"/>
      <c r="BJ1630" s="25"/>
      <c r="BK1630" s="25"/>
    </row>
    <row r="1631" spans="60:63" ht="14.25" x14ac:dyDescent="0.2">
      <c r="BH1631" s="25"/>
      <c r="BI1631" s="25"/>
      <c r="BJ1631" s="25"/>
      <c r="BK1631" s="25"/>
    </row>
    <row r="1632" spans="60:63" ht="14.25" x14ac:dyDescent="0.2">
      <c r="BH1632" s="25"/>
      <c r="BI1632" s="25"/>
      <c r="BJ1632" s="25"/>
      <c r="BK1632" s="25"/>
    </row>
    <row r="1633" spans="60:63" ht="14.25" x14ac:dyDescent="0.2">
      <c r="BH1633" s="25"/>
      <c r="BI1633" s="25"/>
      <c r="BJ1633" s="25"/>
      <c r="BK1633" s="25"/>
    </row>
    <row r="1634" spans="60:63" ht="14.25" x14ac:dyDescent="0.2">
      <c r="BH1634" s="25"/>
      <c r="BI1634" s="25"/>
      <c r="BJ1634" s="25"/>
      <c r="BK1634" s="25"/>
    </row>
    <row r="1635" spans="60:63" ht="14.25" x14ac:dyDescent="0.2">
      <c r="BH1635" s="25"/>
      <c r="BI1635" s="25"/>
      <c r="BJ1635" s="25"/>
      <c r="BK1635" s="25"/>
    </row>
    <row r="1636" spans="60:63" ht="14.25" x14ac:dyDescent="0.2">
      <c r="BH1636" s="25"/>
      <c r="BI1636" s="25"/>
      <c r="BJ1636" s="25"/>
      <c r="BK1636" s="25"/>
    </row>
    <row r="1637" spans="60:63" ht="14.25" x14ac:dyDescent="0.2">
      <c r="BH1637" s="25"/>
      <c r="BI1637" s="25"/>
      <c r="BJ1637" s="25"/>
      <c r="BK1637" s="25"/>
    </row>
    <row r="1638" spans="60:63" ht="14.25" x14ac:dyDescent="0.2">
      <c r="BH1638" s="25"/>
      <c r="BI1638" s="25"/>
      <c r="BJ1638" s="25"/>
      <c r="BK1638" s="25"/>
    </row>
    <row r="1639" spans="60:63" ht="14.25" x14ac:dyDescent="0.2">
      <c r="BH1639" s="25"/>
      <c r="BI1639" s="25"/>
      <c r="BJ1639" s="25"/>
      <c r="BK1639" s="25"/>
    </row>
    <row r="1640" spans="60:63" ht="14.25" x14ac:dyDescent="0.2">
      <c r="BH1640" s="25"/>
      <c r="BI1640" s="25"/>
      <c r="BJ1640" s="25"/>
      <c r="BK1640" s="25"/>
    </row>
    <row r="1641" spans="60:63" ht="14.25" x14ac:dyDescent="0.2">
      <c r="BH1641" s="25"/>
      <c r="BI1641" s="25"/>
      <c r="BJ1641" s="25"/>
      <c r="BK1641" s="25"/>
    </row>
    <row r="1642" spans="60:63" ht="14.25" x14ac:dyDescent="0.2">
      <c r="BH1642" s="25"/>
      <c r="BI1642" s="25"/>
      <c r="BJ1642" s="25"/>
      <c r="BK1642" s="25"/>
    </row>
    <row r="1643" spans="60:63" ht="14.25" x14ac:dyDescent="0.2">
      <c r="BH1643" s="25"/>
      <c r="BI1643" s="25"/>
      <c r="BJ1643" s="25"/>
      <c r="BK1643" s="25"/>
    </row>
    <row r="1644" spans="60:63" ht="14.25" x14ac:dyDescent="0.2">
      <c r="BH1644" s="25"/>
      <c r="BI1644" s="25"/>
      <c r="BJ1644" s="25"/>
      <c r="BK1644" s="25"/>
    </row>
    <row r="1645" spans="60:63" ht="14.25" x14ac:dyDescent="0.2">
      <c r="BH1645" s="25"/>
      <c r="BI1645" s="25"/>
      <c r="BJ1645" s="25"/>
      <c r="BK1645" s="25"/>
    </row>
    <row r="1646" spans="60:63" ht="14.25" x14ac:dyDescent="0.2">
      <c r="BH1646" s="25"/>
      <c r="BI1646" s="25"/>
      <c r="BJ1646" s="25"/>
      <c r="BK1646" s="25"/>
    </row>
    <row r="1647" spans="60:63" ht="14.25" x14ac:dyDescent="0.2">
      <c r="BH1647" s="25"/>
      <c r="BI1647" s="25"/>
      <c r="BJ1647" s="25"/>
      <c r="BK1647" s="25"/>
    </row>
    <row r="1648" spans="60:63" ht="14.25" x14ac:dyDescent="0.2">
      <c r="BH1648" s="25"/>
      <c r="BI1648" s="25"/>
      <c r="BJ1648" s="25"/>
      <c r="BK1648" s="25"/>
    </row>
    <row r="1649" spans="60:63" ht="14.25" x14ac:dyDescent="0.2">
      <c r="BH1649" s="25"/>
      <c r="BI1649" s="25"/>
      <c r="BJ1649" s="25"/>
      <c r="BK1649" s="25"/>
    </row>
    <row r="1650" spans="60:63" ht="14.25" x14ac:dyDescent="0.2">
      <c r="BH1650" s="25"/>
      <c r="BI1650" s="25"/>
      <c r="BJ1650" s="25"/>
      <c r="BK1650" s="25"/>
    </row>
    <row r="1651" spans="60:63" ht="14.25" x14ac:dyDescent="0.2">
      <c r="BH1651" s="25"/>
      <c r="BI1651" s="25"/>
      <c r="BJ1651" s="25"/>
      <c r="BK1651" s="25"/>
    </row>
    <row r="1652" spans="60:63" ht="14.25" x14ac:dyDescent="0.2">
      <c r="BH1652" s="25"/>
      <c r="BI1652" s="25"/>
      <c r="BJ1652" s="25"/>
      <c r="BK1652" s="25"/>
    </row>
    <row r="1653" spans="60:63" ht="14.25" x14ac:dyDescent="0.2">
      <c r="BH1653" s="25"/>
      <c r="BI1653" s="25"/>
      <c r="BJ1653" s="25"/>
      <c r="BK1653" s="25"/>
    </row>
    <row r="1654" spans="60:63" ht="14.25" x14ac:dyDescent="0.2">
      <c r="BH1654" s="25"/>
      <c r="BI1654" s="25"/>
      <c r="BJ1654" s="25"/>
      <c r="BK1654" s="25"/>
    </row>
    <row r="1655" spans="60:63" ht="14.25" x14ac:dyDescent="0.2">
      <c r="BH1655" s="25"/>
      <c r="BI1655" s="25"/>
      <c r="BJ1655" s="25"/>
      <c r="BK1655" s="25"/>
    </row>
    <row r="1656" spans="60:63" ht="14.25" x14ac:dyDescent="0.2">
      <c r="BH1656" s="25"/>
      <c r="BI1656" s="25"/>
      <c r="BJ1656" s="25"/>
      <c r="BK1656" s="25"/>
    </row>
    <row r="1657" spans="60:63" ht="14.25" x14ac:dyDescent="0.2">
      <c r="BH1657" s="25"/>
      <c r="BI1657" s="25"/>
      <c r="BJ1657" s="25"/>
      <c r="BK1657" s="25"/>
    </row>
    <row r="1658" spans="60:63" ht="14.25" x14ac:dyDescent="0.2">
      <c r="BH1658" s="25"/>
      <c r="BI1658" s="25"/>
      <c r="BJ1658" s="25"/>
      <c r="BK1658" s="25"/>
    </row>
    <row r="1659" spans="60:63" ht="14.25" x14ac:dyDescent="0.2">
      <c r="BH1659" s="25"/>
      <c r="BI1659" s="25"/>
      <c r="BJ1659" s="25"/>
      <c r="BK1659" s="25"/>
    </row>
    <row r="1660" spans="60:63" ht="14.25" x14ac:dyDescent="0.2">
      <c r="BH1660" s="25"/>
      <c r="BI1660" s="25"/>
      <c r="BJ1660" s="25"/>
      <c r="BK1660" s="25"/>
    </row>
    <row r="1661" spans="60:63" ht="14.25" x14ac:dyDescent="0.2">
      <c r="BH1661" s="25"/>
      <c r="BI1661" s="25"/>
      <c r="BJ1661" s="25"/>
      <c r="BK1661" s="25"/>
    </row>
    <row r="1662" spans="60:63" ht="14.25" x14ac:dyDescent="0.2">
      <c r="BH1662" s="25"/>
      <c r="BI1662" s="25"/>
      <c r="BJ1662" s="25"/>
      <c r="BK1662" s="25"/>
    </row>
    <row r="1663" spans="60:63" ht="14.25" x14ac:dyDescent="0.2">
      <c r="BH1663" s="25"/>
      <c r="BI1663" s="25"/>
      <c r="BJ1663" s="25"/>
      <c r="BK1663" s="25"/>
    </row>
    <row r="1664" spans="60:63" ht="14.25" x14ac:dyDescent="0.2">
      <c r="BH1664" s="25"/>
      <c r="BI1664" s="25"/>
      <c r="BJ1664" s="25"/>
      <c r="BK1664" s="25"/>
    </row>
    <row r="1665" spans="60:63" ht="14.25" x14ac:dyDescent="0.2">
      <c r="BH1665" s="25"/>
      <c r="BI1665" s="25"/>
      <c r="BJ1665" s="25"/>
      <c r="BK1665" s="25"/>
    </row>
    <row r="1666" spans="60:63" ht="14.25" x14ac:dyDescent="0.2">
      <c r="BH1666" s="25"/>
      <c r="BI1666" s="25"/>
      <c r="BJ1666" s="25"/>
      <c r="BK1666" s="25"/>
    </row>
    <row r="1667" spans="60:63" ht="14.25" x14ac:dyDescent="0.2">
      <c r="BH1667" s="25"/>
      <c r="BI1667" s="25"/>
      <c r="BJ1667" s="25"/>
      <c r="BK1667" s="25"/>
    </row>
    <row r="1668" spans="60:63" ht="14.25" x14ac:dyDescent="0.2">
      <c r="BH1668" s="25"/>
      <c r="BI1668" s="25"/>
      <c r="BJ1668" s="25"/>
      <c r="BK1668" s="25"/>
    </row>
    <row r="1669" spans="60:63" ht="14.25" x14ac:dyDescent="0.2">
      <c r="BH1669" s="25"/>
      <c r="BI1669" s="25"/>
      <c r="BJ1669" s="25"/>
      <c r="BK1669" s="25"/>
    </row>
    <row r="1670" spans="60:63" ht="14.25" x14ac:dyDescent="0.2">
      <c r="BH1670" s="25"/>
      <c r="BI1670" s="25"/>
      <c r="BJ1670" s="25"/>
      <c r="BK1670" s="25"/>
    </row>
    <row r="1671" spans="60:63" ht="14.25" x14ac:dyDescent="0.2">
      <c r="BH1671" s="25"/>
      <c r="BI1671" s="25"/>
      <c r="BJ1671" s="25"/>
      <c r="BK1671" s="25"/>
    </row>
    <row r="1672" spans="60:63" ht="14.25" x14ac:dyDescent="0.2">
      <c r="BH1672" s="25"/>
      <c r="BI1672" s="25"/>
      <c r="BJ1672" s="25"/>
      <c r="BK1672" s="25"/>
    </row>
    <row r="1673" spans="60:63" ht="14.25" x14ac:dyDescent="0.2">
      <c r="BH1673" s="25"/>
      <c r="BI1673" s="25"/>
      <c r="BJ1673" s="25"/>
      <c r="BK1673" s="25"/>
    </row>
    <row r="1674" spans="60:63" ht="14.25" x14ac:dyDescent="0.2">
      <c r="BH1674" s="25"/>
      <c r="BI1674" s="25"/>
      <c r="BJ1674" s="25"/>
      <c r="BK1674" s="25"/>
    </row>
    <row r="1675" spans="60:63" ht="14.25" x14ac:dyDescent="0.2">
      <c r="BH1675" s="25"/>
      <c r="BI1675" s="25"/>
      <c r="BJ1675" s="25"/>
      <c r="BK1675" s="25"/>
    </row>
    <row r="1676" spans="60:63" ht="14.25" x14ac:dyDescent="0.2">
      <c r="BH1676" s="25"/>
      <c r="BI1676" s="25"/>
      <c r="BJ1676" s="25"/>
      <c r="BK1676" s="25"/>
    </row>
    <row r="1677" spans="60:63" ht="14.25" x14ac:dyDescent="0.2">
      <c r="BH1677" s="25"/>
      <c r="BI1677" s="25"/>
      <c r="BJ1677" s="25"/>
      <c r="BK1677" s="25"/>
    </row>
    <row r="1678" spans="60:63" ht="14.25" x14ac:dyDescent="0.2">
      <c r="BH1678" s="25"/>
      <c r="BI1678" s="25"/>
      <c r="BJ1678" s="25"/>
      <c r="BK1678" s="25"/>
    </row>
    <row r="1679" spans="60:63" ht="14.25" x14ac:dyDescent="0.2">
      <c r="BH1679" s="25"/>
      <c r="BI1679" s="25"/>
      <c r="BJ1679" s="25"/>
      <c r="BK1679" s="25"/>
    </row>
    <row r="1680" spans="60:63" ht="14.25" x14ac:dyDescent="0.2">
      <c r="BH1680" s="25"/>
      <c r="BI1680" s="25"/>
      <c r="BJ1680" s="25"/>
      <c r="BK1680" s="25"/>
    </row>
    <row r="1681" spans="60:63" ht="14.25" x14ac:dyDescent="0.2">
      <c r="BH1681" s="25"/>
      <c r="BI1681" s="25"/>
      <c r="BJ1681" s="25"/>
      <c r="BK1681" s="25"/>
    </row>
    <row r="1682" spans="60:63" ht="14.25" x14ac:dyDescent="0.2">
      <c r="BH1682" s="25"/>
      <c r="BI1682" s="25"/>
      <c r="BJ1682" s="25"/>
      <c r="BK1682" s="25"/>
    </row>
    <row r="1683" spans="60:63" ht="14.25" x14ac:dyDescent="0.2">
      <c r="BH1683" s="25"/>
      <c r="BI1683" s="25"/>
      <c r="BJ1683" s="25"/>
      <c r="BK1683" s="25"/>
    </row>
    <row r="1684" spans="60:63" ht="14.25" x14ac:dyDescent="0.2">
      <c r="BH1684" s="25"/>
      <c r="BI1684" s="25"/>
      <c r="BJ1684" s="25"/>
      <c r="BK1684" s="25"/>
    </row>
    <row r="1685" spans="60:63" ht="14.25" x14ac:dyDescent="0.2">
      <c r="BH1685" s="25"/>
      <c r="BI1685" s="25"/>
      <c r="BJ1685" s="25"/>
      <c r="BK1685" s="25"/>
    </row>
    <row r="1686" spans="60:63" ht="14.25" x14ac:dyDescent="0.2">
      <c r="BH1686" s="25"/>
      <c r="BI1686" s="25"/>
      <c r="BJ1686" s="25"/>
      <c r="BK1686" s="25"/>
    </row>
    <row r="1687" spans="60:63" ht="14.25" x14ac:dyDescent="0.2">
      <c r="BH1687" s="25"/>
      <c r="BI1687" s="25"/>
      <c r="BJ1687" s="25"/>
      <c r="BK1687" s="25"/>
    </row>
    <row r="1688" spans="60:63" ht="14.25" x14ac:dyDescent="0.2">
      <c r="BH1688" s="25"/>
      <c r="BI1688" s="25"/>
      <c r="BJ1688" s="25"/>
      <c r="BK1688" s="25"/>
    </row>
    <row r="1689" spans="60:63" ht="14.25" x14ac:dyDescent="0.2">
      <c r="BH1689" s="25"/>
      <c r="BI1689" s="25"/>
      <c r="BJ1689" s="25"/>
      <c r="BK1689" s="25"/>
    </row>
    <row r="1690" spans="60:63" ht="14.25" x14ac:dyDescent="0.2">
      <c r="BH1690" s="25"/>
      <c r="BI1690" s="25"/>
      <c r="BJ1690" s="25"/>
      <c r="BK1690" s="25"/>
    </row>
    <row r="1691" spans="60:63" ht="14.25" x14ac:dyDescent="0.2">
      <c r="BH1691" s="25"/>
      <c r="BI1691" s="25"/>
      <c r="BJ1691" s="25"/>
      <c r="BK1691" s="25"/>
    </row>
    <row r="1692" spans="60:63" ht="14.25" x14ac:dyDescent="0.2">
      <c r="BH1692" s="25"/>
      <c r="BI1692" s="25"/>
      <c r="BJ1692" s="25"/>
      <c r="BK1692" s="25"/>
    </row>
    <row r="1693" spans="60:63" ht="14.25" x14ac:dyDescent="0.2">
      <c r="BH1693" s="25"/>
      <c r="BI1693" s="25"/>
      <c r="BJ1693" s="25"/>
      <c r="BK1693" s="25"/>
    </row>
    <row r="1694" spans="60:63" ht="14.25" x14ac:dyDescent="0.2">
      <c r="BH1694" s="25"/>
      <c r="BI1694" s="25"/>
      <c r="BJ1694" s="25"/>
      <c r="BK1694" s="25"/>
    </row>
    <row r="1695" spans="60:63" ht="14.25" x14ac:dyDescent="0.2">
      <c r="BH1695" s="25"/>
      <c r="BI1695" s="25"/>
      <c r="BJ1695" s="25"/>
      <c r="BK1695" s="25"/>
    </row>
    <row r="1696" spans="60:63" ht="14.25" x14ac:dyDescent="0.2">
      <c r="BH1696" s="25"/>
      <c r="BI1696" s="25"/>
      <c r="BJ1696" s="25"/>
      <c r="BK1696" s="25"/>
    </row>
    <row r="1697" spans="60:63" ht="14.25" x14ac:dyDescent="0.2">
      <c r="BH1697" s="25"/>
      <c r="BI1697" s="25"/>
      <c r="BJ1697" s="25"/>
      <c r="BK1697" s="25"/>
    </row>
    <row r="1698" spans="60:63" ht="14.25" x14ac:dyDescent="0.2">
      <c r="BH1698" s="25"/>
      <c r="BI1698" s="25"/>
      <c r="BJ1698" s="25"/>
      <c r="BK1698" s="25"/>
    </row>
    <row r="1699" spans="60:63" ht="14.25" x14ac:dyDescent="0.2">
      <c r="BH1699" s="25"/>
      <c r="BI1699" s="25"/>
      <c r="BJ1699" s="25"/>
      <c r="BK1699" s="25"/>
    </row>
    <row r="1700" spans="60:63" ht="14.25" x14ac:dyDescent="0.2">
      <c r="BH1700" s="25"/>
      <c r="BI1700" s="25"/>
      <c r="BJ1700" s="25"/>
      <c r="BK1700" s="25"/>
    </row>
    <row r="1701" spans="60:63" ht="14.25" x14ac:dyDescent="0.2">
      <c r="BH1701" s="25"/>
      <c r="BI1701" s="25"/>
      <c r="BJ1701" s="25"/>
      <c r="BK1701" s="25"/>
    </row>
    <row r="1702" spans="60:63" ht="14.25" x14ac:dyDescent="0.2">
      <c r="BH1702" s="25"/>
      <c r="BI1702" s="25"/>
      <c r="BJ1702" s="25"/>
      <c r="BK1702" s="25"/>
    </row>
    <row r="1703" spans="60:63" ht="14.25" x14ac:dyDescent="0.2">
      <c r="BH1703" s="25"/>
      <c r="BI1703" s="25"/>
      <c r="BJ1703" s="25"/>
      <c r="BK1703" s="25"/>
    </row>
    <row r="1704" spans="60:63" ht="14.25" x14ac:dyDescent="0.2">
      <c r="BH1704" s="25"/>
      <c r="BI1704" s="25"/>
      <c r="BJ1704" s="25"/>
      <c r="BK1704" s="25"/>
    </row>
    <row r="1705" spans="60:63" ht="14.25" x14ac:dyDescent="0.2">
      <c r="BH1705" s="25"/>
      <c r="BI1705" s="25"/>
      <c r="BJ1705" s="25"/>
      <c r="BK1705" s="25"/>
    </row>
    <row r="1706" spans="60:63" ht="14.25" x14ac:dyDescent="0.2">
      <c r="BH1706" s="25"/>
      <c r="BI1706" s="25"/>
      <c r="BJ1706" s="25"/>
      <c r="BK1706" s="25"/>
    </row>
    <row r="1707" spans="60:63" ht="14.25" x14ac:dyDescent="0.2">
      <c r="BH1707" s="25"/>
      <c r="BI1707" s="25"/>
      <c r="BJ1707" s="25"/>
      <c r="BK1707" s="25"/>
    </row>
    <row r="1708" spans="60:63" ht="14.25" x14ac:dyDescent="0.2">
      <c r="BH1708" s="25"/>
      <c r="BI1708" s="25"/>
      <c r="BJ1708" s="25"/>
      <c r="BK1708" s="25"/>
    </row>
    <row r="1709" spans="60:63" ht="14.25" x14ac:dyDescent="0.2">
      <c r="BH1709" s="25"/>
      <c r="BI1709" s="25"/>
      <c r="BJ1709" s="25"/>
      <c r="BK1709" s="25"/>
    </row>
    <row r="1710" spans="60:63" ht="14.25" x14ac:dyDescent="0.2">
      <c r="BH1710" s="25"/>
      <c r="BI1710" s="25"/>
      <c r="BJ1710" s="25"/>
      <c r="BK1710" s="25"/>
    </row>
    <row r="1711" spans="60:63" ht="14.25" x14ac:dyDescent="0.2">
      <c r="BH1711" s="25"/>
      <c r="BI1711" s="25"/>
      <c r="BJ1711" s="25"/>
      <c r="BK1711" s="25"/>
    </row>
    <row r="1712" spans="60:63" ht="14.25" x14ac:dyDescent="0.2">
      <c r="BH1712" s="25"/>
      <c r="BI1712" s="25"/>
      <c r="BJ1712" s="25"/>
      <c r="BK1712" s="25"/>
    </row>
    <row r="1713" spans="60:63" ht="14.25" x14ac:dyDescent="0.2">
      <c r="BH1713" s="25"/>
      <c r="BI1713" s="25"/>
      <c r="BJ1713" s="25"/>
      <c r="BK1713" s="25"/>
    </row>
    <row r="1714" spans="60:63" ht="14.25" x14ac:dyDescent="0.2">
      <c r="BH1714" s="25"/>
      <c r="BI1714" s="25"/>
      <c r="BJ1714" s="25"/>
      <c r="BK1714" s="25"/>
    </row>
    <row r="1715" spans="60:63" ht="14.25" x14ac:dyDescent="0.2">
      <c r="BH1715" s="25"/>
      <c r="BI1715" s="25"/>
      <c r="BJ1715" s="25"/>
      <c r="BK1715" s="25"/>
    </row>
    <row r="1716" spans="60:63" ht="14.25" x14ac:dyDescent="0.2">
      <c r="BH1716" s="25"/>
      <c r="BI1716" s="25"/>
      <c r="BJ1716" s="25"/>
      <c r="BK1716" s="25"/>
    </row>
    <row r="1717" spans="60:63" ht="14.25" x14ac:dyDescent="0.2">
      <c r="BH1717" s="25"/>
      <c r="BI1717" s="25"/>
      <c r="BJ1717" s="25"/>
      <c r="BK1717" s="25"/>
    </row>
    <row r="1718" spans="60:63" ht="14.25" x14ac:dyDescent="0.2">
      <c r="BH1718" s="25"/>
      <c r="BI1718" s="25"/>
      <c r="BJ1718" s="25"/>
      <c r="BK1718" s="25"/>
    </row>
    <row r="1719" spans="60:63" ht="14.25" x14ac:dyDescent="0.2">
      <c r="BH1719" s="25"/>
      <c r="BI1719" s="25"/>
      <c r="BJ1719" s="25"/>
      <c r="BK1719" s="25"/>
    </row>
    <row r="1720" spans="60:63" ht="14.25" x14ac:dyDescent="0.2">
      <c r="BH1720" s="25"/>
      <c r="BI1720" s="25"/>
      <c r="BJ1720" s="25"/>
      <c r="BK1720" s="25"/>
    </row>
    <row r="1721" spans="60:63" ht="14.25" x14ac:dyDescent="0.2">
      <c r="BH1721" s="25"/>
      <c r="BI1721" s="25"/>
      <c r="BJ1721" s="25"/>
      <c r="BK1721" s="25"/>
    </row>
    <row r="1722" spans="60:63" ht="14.25" x14ac:dyDescent="0.2">
      <c r="BH1722" s="25"/>
      <c r="BI1722" s="25"/>
      <c r="BJ1722" s="25"/>
      <c r="BK1722" s="25"/>
    </row>
    <row r="1723" spans="60:63" ht="14.25" x14ac:dyDescent="0.2">
      <c r="BH1723" s="25"/>
      <c r="BI1723" s="25"/>
      <c r="BJ1723" s="25"/>
      <c r="BK1723" s="25"/>
    </row>
    <row r="1724" spans="60:63" ht="14.25" x14ac:dyDescent="0.2">
      <c r="BH1724" s="25"/>
      <c r="BI1724" s="25"/>
      <c r="BJ1724" s="25"/>
      <c r="BK1724" s="25"/>
    </row>
    <row r="1725" spans="60:63" ht="14.25" x14ac:dyDescent="0.2">
      <c r="BH1725" s="25"/>
      <c r="BI1725" s="25"/>
      <c r="BJ1725" s="25"/>
      <c r="BK1725" s="25"/>
    </row>
    <row r="1726" spans="60:63" ht="14.25" x14ac:dyDescent="0.2">
      <c r="BH1726" s="25"/>
      <c r="BI1726" s="25"/>
      <c r="BJ1726" s="25"/>
      <c r="BK1726" s="25"/>
    </row>
    <row r="1727" spans="60:63" ht="14.25" x14ac:dyDescent="0.2">
      <c r="BH1727" s="25"/>
      <c r="BI1727" s="25"/>
      <c r="BJ1727" s="25"/>
      <c r="BK1727" s="25"/>
    </row>
    <row r="1728" spans="60:63" ht="14.25" x14ac:dyDescent="0.2">
      <c r="BH1728" s="25"/>
      <c r="BI1728" s="25"/>
      <c r="BJ1728" s="25"/>
      <c r="BK1728" s="25"/>
    </row>
    <row r="1729" spans="60:63" ht="14.25" x14ac:dyDescent="0.2">
      <c r="BH1729" s="25"/>
      <c r="BI1729" s="25"/>
      <c r="BJ1729" s="25"/>
      <c r="BK1729" s="25"/>
    </row>
    <row r="1730" spans="60:63" ht="14.25" x14ac:dyDescent="0.2">
      <c r="BH1730" s="25"/>
      <c r="BI1730" s="25"/>
      <c r="BJ1730" s="25"/>
      <c r="BK1730" s="25"/>
    </row>
    <row r="1731" spans="60:63" ht="14.25" x14ac:dyDescent="0.2">
      <c r="BH1731" s="25"/>
      <c r="BI1731" s="25"/>
      <c r="BJ1731" s="25"/>
      <c r="BK1731" s="25"/>
    </row>
    <row r="1732" spans="60:63" ht="14.25" x14ac:dyDescent="0.2">
      <c r="BH1732" s="25"/>
      <c r="BI1732" s="25"/>
      <c r="BJ1732" s="25"/>
      <c r="BK1732" s="25"/>
    </row>
    <row r="1733" spans="60:63" ht="14.25" x14ac:dyDescent="0.2">
      <c r="BH1733" s="25"/>
      <c r="BI1733" s="25"/>
      <c r="BJ1733" s="25"/>
      <c r="BK1733" s="25"/>
    </row>
    <row r="1734" spans="60:63" ht="14.25" x14ac:dyDescent="0.2">
      <c r="BH1734" s="25"/>
      <c r="BI1734" s="25"/>
      <c r="BJ1734" s="25"/>
      <c r="BK1734" s="25"/>
    </row>
    <row r="1735" spans="60:63" ht="14.25" x14ac:dyDescent="0.2">
      <c r="BH1735" s="25"/>
      <c r="BI1735" s="25"/>
      <c r="BJ1735" s="25"/>
      <c r="BK1735" s="25"/>
    </row>
    <row r="1736" spans="60:63" ht="14.25" x14ac:dyDescent="0.2">
      <c r="BH1736" s="25"/>
      <c r="BI1736" s="25"/>
      <c r="BJ1736" s="25"/>
      <c r="BK1736" s="25"/>
    </row>
    <row r="1737" spans="60:63" ht="14.25" x14ac:dyDescent="0.2">
      <c r="BH1737" s="25"/>
      <c r="BI1737" s="25"/>
      <c r="BJ1737" s="25"/>
      <c r="BK1737" s="25"/>
    </row>
    <row r="1738" spans="60:63" ht="14.25" x14ac:dyDescent="0.2">
      <c r="BH1738" s="25"/>
      <c r="BI1738" s="25"/>
      <c r="BJ1738" s="25"/>
      <c r="BK1738" s="25"/>
    </row>
    <row r="1739" spans="60:63" ht="14.25" x14ac:dyDescent="0.2">
      <c r="BH1739" s="25"/>
      <c r="BI1739" s="25"/>
      <c r="BJ1739" s="25"/>
      <c r="BK1739" s="25"/>
    </row>
    <row r="1740" spans="60:63" ht="14.25" x14ac:dyDescent="0.2">
      <c r="BH1740" s="25"/>
      <c r="BI1740" s="25"/>
      <c r="BJ1740" s="25"/>
      <c r="BK1740" s="25"/>
    </row>
    <row r="1741" spans="60:63" ht="14.25" x14ac:dyDescent="0.2">
      <c r="BH1741" s="25"/>
      <c r="BI1741" s="25"/>
      <c r="BJ1741" s="25"/>
      <c r="BK1741" s="25"/>
    </row>
    <row r="1742" spans="60:63" ht="14.25" x14ac:dyDescent="0.2">
      <c r="BH1742" s="25"/>
      <c r="BI1742" s="25"/>
      <c r="BJ1742" s="25"/>
      <c r="BK1742" s="25"/>
    </row>
    <row r="1743" spans="60:63" ht="14.25" x14ac:dyDescent="0.2">
      <c r="BH1743" s="25"/>
      <c r="BI1743" s="25"/>
      <c r="BJ1743" s="25"/>
      <c r="BK1743" s="25"/>
    </row>
    <row r="1744" spans="60:63" ht="14.25" x14ac:dyDescent="0.2">
      <c r="BH1744" s="25"/>
      <c r="BI1744" s="25"/>
      <c r="BJ1744" s="25"/>
      <c r="BK1744" s="25"/>
    </row>
    <row r="1745" spans="60:63" ht="14.25" x14ac:dyDescent="0.2">
      <c r="BH1745" s="25"/>
      <c r="BI1745" s="25"/>
      <c r="BJ1745" s="25"/>
      <c r="BK1745" s="25"/>
    </row>
    <row r="1746" spans="60:63" ht="14.25" x14ac:dyDescent="0.2">
      <c r="BH1746" s="25"/>
      <c r="BI1746" s="25"/>
      <c r="BJ1746" s="25"/>
      <c r="BK1746" s="25"/>
    </row>
    <row r="1747" spans="60:63" ht="14.25" x14ac:dyDescent="0.2">
      <c r="BH1747" s="25"/>
      <c r="BI1747" s="25"/>
      <c r="BJ1747" s="25"/>
      <c r="BK1747" s="25"/>
    </row>
    <row r="1748" spans="60:63" ht="14.25" x14ac:dyDescent="0.2">
      <c r="BH1748" s="25"/>
      <c r="BI1748" s="25"/>
      <c r="BJ1748" s="25"/>
      <c r="BK1748" s="25"/>
    </row>
    <row r="1749" spans="60:63" ht="14.25" x14ac:dyDescent="0.2">
      <c r="BH1749" s="25"/>
      <c r="BI1749" s="25"/>
      <c r="BJ1749" s="25"/>
      <c r="BK1749" s="25"/>
    </row>
    <row r="1750" spans="60:63" ht="14.25" x14ac:dyDescent="0.2">
      <c r="BH1750" s="25"/>
      <c r="BI1750" s="25"/>
      <c r="BJ1750" s="25"/>
      <c r="BK1750" s="25"/>
    </row>
    <row r="1751" spans="60:63" ht="14.25" x14ac:dyDescent="0.2">
      <c r="BH1751" s="25"/>
      <c r="BI1751" s="25"/>
      <c r="BJ1751" s="25"/>
      <c r="BK1751" s="25"/>
    </row>
    <row r="1752" spans="60:63" ht="14.25" x14ac:dyDescent="0.2">
      <c r="BH1752" s="25"/>
      <c r="BI1752" s="25"/>
      <c r="BJ1752" s="25"/>
      <c r="BK1752" s="25"/>
    </row>
    <row r="1753" spans="60:63" ht="14.25" x14ac:dyDescent="0.2">
      <c r="BH1753" s="25"/>
      <c r="BI1753" s="25"/>
      <c r="BJ1753" s="25"/>
      <c r="BK1753" s="25"/>
    </row>
    <row r="1754" spans="60:63" ht="14.25" x14ac:dyDescent="0.2">
      <c r="BH1754" s="25"/>
      <c r="BI1754" s="25"/>
      <c r="BJ1754" s="25"/>
      <c r="BK1754" s="25"/>
    </row>
    <row r="1755" spans="60:63" ht="14.25" x14ac:dyDescent="0.2">
      <c r="BH1755" s="25"/>
      <c r="BI1755" s="25"/>
      <c r="BJ1755" s="25"/>
      <c r="BK1755" s="25"/>
    </row>
    <row r="1756" spans="60:63" ht="14.25" x14ac:dyDescent="0.2">
      <c r="BH1756" s="25"/>
      <c r="BI1756" s="25"/>
      <c r="BJ1756" s="25"/>
      <c r="BK1756" s="25"/>
    </row>
    <row r="1757" spans="60:63" ht="14.25" x14ac:dyDescent="0.2">
      <c r="BH1757" s="25"/>
      <c r="BI1757" s="25"/>
      <c r="BJ1757" s="25"/>
      <c r="BK1757" s="25"/>
    </row>
    <row r="1758" spans="60:63" ht="14.25" x14ac:dyDescent="0.2">
      <c r="BH1758" s="25"/>
      <c r="BI1758" s="25"/>
      <c r="BJ1758" s="25"/>
      <c r="BK1758" s="25"/>
    </row>
    <row r="1759" spans="60:63" ht="14.25" x14ac:dyDescent="0.2">
      <c r="BH1759" s="25"/>
      <c r="BI1759" s="25"/>
      <c r="BJ1759" s="25"/>
      <c r="BK1759" s="25"/>
    </row>
    <row r="1760" spans="60:63" ht="14.25" x14ac:dyDescent="0.2">
      <c r="BH1760" s="25"/>
      <c r="BI1760" s="25"/>
      <c r="BJ1760" s="25"/>
      <c r="BK1760" s="25"/>
    </row>
    <row r="1761" spans="60:63" ht="14.25" x14ac:dyDescent="0.2">
      <c r="BH1761" s="25"/>
      <c r="BI1761" s="25"/>
      <c r="BJ1761" s="25"/>
      <c r="BK1761" s="25"/>
    </row>
    <row r="1762" spans="60:63" ht="14.25" x14ac:dyDescent="0.2">
      <c r="BH1762" s="25"/>
      <c r="BI1762" s="25"/>
      <c r="BJ1762" s="25"/>
      <c r="BK1762" s="25"/>
    </row>
    <row r="1763" spans="60:63" ht="14.25" x14ac:dyDescent="0.2">
      <c r="BH1763" s="25"/>
      <c r="BI1763" s="25"/>
      <c r="BJ1763" s="25"/>
      <c r="BK1763" s="25"/>
    </row>
    <row r="1764" spans="60:63" ht="14.25" x14ac:dyDescent="0.2">
      <c r="BH1764" s="25"/>
      <c r="BI1764" s="25"/>
      <c r="BJ1764" s="25"/>
      <c r="BK1764" s="25"/>
    </row>
    <row r="1765" spans="60:63" ht="14.25" x14ac:dyDescent="0.2">
      <c r="BH1765" s="25"/>
      <c r="BI1765" s="25"/>
      <c r="BJ1765" s="25"/>
      <c r="BK1765" s="25"/>
    </row>
    <row r="1766" spans="60:63" ht="14.25" x14ac:dyDescent="0.2">
      <c r="BH1766" s="25"/>
      <c r="BI1766" s="25"/>
      <c r="BJ1766" s="25"/>
      <c r="BK1766" s="25"/>
    </row>
    <row r="1767" spans="60:63" ht="14.25" x14ac:dyDescent="0.2">
      <c r="BH1767" s="25"/>
      <c r="BI1767" s="25"/>
      <c r="BJ1767" s="25"/>
      <c r="BK1767" s="25"/>
    </row>
    <row r="1768" spans="60:63" ht="14.25" x14ac:dyDescent="0.2">
      <c r="BH1768" s="25"/>
      <c r="BI1768" s="25"/>
      <c r="BJ1768" s="25"/>
      <c r="BK1768" s="25"/>
    </row>
    <row r="1769" spans="60:63" ht="14.25" x14ac:dyDescent="0.2">
      <c r="BH1769" s="25"/>
      <c r="BI1769" s="25"/>
      <c r="BJ1769" s="25"/>
      <c r="BK1769" s="25"/>
    </row>
    <row r="1770" spans="60:63" ht="14.25" x14ac:dyDescent="0.2">
      <c r="BH1770" s="25"/>
      <c r="BI1770" s="25"/>
      <c r="BJ1770" s="25"/>
      <c r="BK1770" s="25"/>
    </row>
    <row r="1771" spans="60:63" ht="14.25" x14ac:dyDescent="0.2">
      <c r="BH1771" s="25"/>
      <c r="BI1771" s="25"/>
      <c r="BJ1771" s="25"/>
      <c r="BK1771" s="25"/>
    </row>
    <row r="1772" spans="60:63" ht="14.25" x14ac:dyDescent="0.2">
      <c r="BH1772" s="25"/>
      <c r="BI1772" s="25"/>
      <c r="BJ1772" s="25"/>
      <c r="BK1772" s="25"/>
    </row>
    <row r="1773" spans="60:63" ht="14.25" x14ac:dyDescent="0.2">
      <c r="BH1773" s="25"/>
      <c r="BI1773" s="25"/>
      <c r="BJ1773" s="25"/>
      <c r="BK1773" s="25"/>
    </row>
    <row r="1774" spans="60:63" ht="14.25" x14ac:dyDescent="0.2">
      <c r="BH1774" s="25"/>
      <c r="BI1774" s="25"/>
      <c r="BJ1774" s="25"/>
      <c r="BK1774" s="25"/>
    </row>
    <row r="1775" spans="60:63" ht="14.25" x14ac:dyDescent="0.2">
      <c r="BH1775" s="25"/>
      <c r="BI1775" s="25"/>
      <c r="BJ1775" s="25"/>
      <c r="BK1775" s="25"/>
    </row>
    <row r="1776" spans="60:63" ht="14.25" x14ac:dyDescent="0.2">
      <c r="BH1776" s="25"/>
      <c r="BI1776" s="25"/>
      <c r="BJ1776" s="25"/>
      <c r="BK1776" s="25"/>
    </row>
    <row r="1777" spans="60:63" ht="14.25" x14ac:dyDescent="0.2">
      <c r="BH1777" s="25"/>
      <c r="BI1777" s="25"/>
      <c r="BJ1777" s="25"/>
      <c r="BK1777" s="25"/>
    </row>
    <row r="1778" spans="60:63" ht="14.25" x14ac:dyDescent="0.2">
      <c r="BH1778" s="25"/>
      <c r="BI1778" s="25"/>
      <c r="BJ1778" s="25"/>
      <c r="BK1778" s="25"/>
    </row>
    <row r="1779" spans="60:63" ht="14.25" x14ac:dyDescent="0.2">
      <c r="BH1779" s="25"/>
      <c r="BI1779" s="25"/>
      <c r="BJ1779" s="25"/>
      <c r="BK1779" s="25"/>
    </row>
    <row r="1780" spans="60:63" ht="14.25" x14ac:dyDescent="0.2">
      <c r="BH1780" s="25"/>
      <c r="BI1780" s="25"/>
      <c r="BJ1780" s="25"/>
      <c r="BK1780" s="25"/>
    </row>
    <row r="1781" spans="60:63" ht="14.25" x14ac:dyDescent="0.2">
      <c r="BH1781" s="25"/>
      <c r="BI1781" s="25"/>
      <c r="BJ1781" s="25"/>
      <c r="BK1781" s="25"/>
    </row>
    <row r="1782" spans="60:63" ht="14.25" x14ac:dyDescent="0.2">
      <c r="BH1782" s="25"/>
      <c r="BI1782" s="25"/>
      <c r="BJ1782" s="25"/>
      <c r="BK1782" s="25"/>
    </row>
    <row r="1783" spans="60:63" ht="14.25" x14ac:dyDescent="0.2">
      <c r="BH1783" s="25"/>
      <c r="BI1783" s="25"/>
      <c r="BJ1783" s="25"/>
      <c r="BK1783" s="25"/>
    </row>
    <row r="1784" spans="60:63" ht="14.25" x14ac:dyDescent="0.2">
      <c r="BH1784" s="25"/>
      <c r="BI1784" s="25"/>
      <c r="BJ1784" s="25"/>
      <c r="BK1784" s="25"/>
    </row>
    <row r="1785" spans="60:63" ht="14.25" x14ac:dyDescent="0.2">
      <c r="BH1785" s="25"/>
      <c r="BI1785" s="25"/>
      <c r="BJ1785" s="25"/>
      <c r="BK1785" s="25"/>
    </row>
    <row r="1786" spans="60:63" ht="14.25" x14ac:dyDescent="0.2">
      <c r="BH1786" s="25"/>
      <c r="BI1786" s="25"/>
      <c r="BJ1786" s="25"/>
      <c r="BK1786" s="25"/>
    </row>
    <row r="1787" spans="60:63" ht="14.25" x14ac:dyDescent="0.2">
      <c r="BH1787" s="25"/>
      <c r="BI1787" s="25"/>
      <c r="BJ1787" s="25"/>
      <c r="BK1787" s="25"/>
    </row>
    <row r="1788" spans="60:63" ht="14.25" x14ac:dyDescent="0.2">
      <c r="BH1788" s="25"/>
      <c r="BI1788" s="25"/>
      <c r="BJ1788" s="25"/>
      <c r="BK1788" s="25"/>
    </row>
    <row r="1789" spans="60:63" ht="14.25" x14ac:dyDescent="0.2">
      <c r="BH1789" s="25"/>
      <c r="BI1789" s="25"/>
      <c r="BJ1789" s="25"/>
      <c r="BK1789" s="25"/>
    </row>
    <row r="1790" spans="60:63" ht="14.25" x14ac:dyDescent="0.2">
      <c r="BH1790" s="25"/>
      <c r="BI1790" s="25"/>
      <c r="BJ1790" s="25"/>
      <c r="BK1790" s="25"/>
    </row>
    <row r="1791" spans="60:63" ht="14.25" x14ac:dyDescent="0.2">
      <c r="BH1791" s="25"/>
      <c r="BI1791" s="25"/>
      <c r="BJ1791" s="25"/>
      <c r="BK1791" s="25"/>
    </row>
    <row r="1792" spans="60:63" ht="14.25" x14ac:dyDescent="0.2">
      <c r="BH1792" s="25"/>
      <c r="BI1792" s="25"/>
      <c r="BJ1792" s="25"/>
      <c r="BK1792" s="25"/>
    </row>
    <row r="1793" spans="60:63" ht="14.25" x14ac:dyDescent="0.2">
      <c r="BH1793" s="25"/>
      <c r="BI1793" s="25"/>
      <c r="BJ1793" s="25"/>
      <c r="BK1793" s="25"/>
    </row>
    <row r="1794" spans="60:63" ht="14.25" x14ac:dyDescent="0.2">
      <c r="BH1794" s="25"/>
      <c r="BI1794" s="25"/>
      <c r="BJ1794" s="25"/>
      <c r="BK1794" s="25"/>
    </row>
    <row r="1795" spans="60:63" ht="14.25" x14ac:dyDescent="0.2">
      <c r="BH1795" s="25"/>
      <c r="BI1795" s="25"/>
      <c r="BJ1795" s="25"/>
      <c r="BK1795" s="25"/>
    </row>
    <row r="1796" spans="60:63" ht="14.25" x14ac:dyDescent="0.2">
      <c r="BH1796" s="25"/>
      <c r="BI1796" s="25"/>
      <c r="BJ1796" s="25"/>
      <c r="BK1796" s="25"/>
    </row>
    <row r="1797" spans="60:63" ht="14.25" x14ac:dyDescent="0.2">
      <c r="BH1797" s="25"/>
      <c r="BI1797" s="25"/>
      <c r="BJ1797" s="25"/>
      <c r="BK1797" s="25"/>
    </row>
    <row r="1798" spans="60:63" ht="14.25" x14ac:dyDescent="0.2">
      <c r="BH1798" s="25"/>
      <c r="BI1798" s="25"/>
      <c r="BJ1798" s="25"/>
      <c r="BK1798" s="25"/>
    </row>
    <row r="1799" spans="60:63" ht="14.25" x14ac:dyDescent="0.2">
      <c r="BH1799" s="25"/>
      <c r="BI1799" s="25"/>
      <c r="BJ1799" s="25"/>
      <c r="BK1799" s="25"/>
    </row>
    <row r="1800" spans="60:63" ht="14.25" x14ac:dyDescent="0.2">
      <c r="BH1800" s="25"/>
      <c r="BI1800" s="25"/>
      <c r="BJ1800" s="25"/>
      <c r="BK1800" s="25"/>
    </row>
    <row r="1801" spans="60:63" ht="14.25" x14ac:dyDescent="0.2">
      <c r="BH1801" s="25"/>
      <c r="BI1801" s="25"/>
      <c r="BJ1801" s="25"/>
      <c r="BK1801" s="25"/>
    </row>
    <row r="1802" spans="60:63" ht="14.25" x14ac:dyDescent="0.2">
      <c r="BH1802" s="25"/>
      <c r="BI1802" s="25"/>
      <c r="BJ1802" s="25"/>
      <c r="BK1802" s="25"/>
    </row>
    <row r="1803" spans="60:63" ht="14.25" x14ac:dyDescent="0.2">
      <c r="BH1803" s="25"/>
      <c r="BI1803" s="25"/>
      <c r="BJ1803" s="25"/>
      <c r="BK1803" s="25"/>
    </row>
    <row r="1804" spans="60:63" ht="14.25" x14ac:dyDescent="0.2">
      <c r="BH1804" s="25"/>
      <c r="BI1804" s="25"/>
      <c r="BJ1804" s="25"/>
      <c r="BK1804" s="25"/>
    </row>
    <row r="1805" spans="60:63" ht="14.25" x14ac:dyDescent="0.2">
      <c r="BH1805" s="25"/>
      <c r="BI1805" s="25"/>
      <c r="BJ1805" s="25"/>
      <c r="BK1805" s="25"/>
    </row>
    <row r="1806" spans="60:63" ht="14.25" x14ac:dyDescent="0.2">
      <c r="BH1806" s="25"/>
      <c r="BI1806" s="25"/>
      <c r="BJ1806" s="25"/>
      <c r="BK1806" s="25"/>
    </row>
    <row r="1807" spans="60:63" ht="14.25" x14ac:dyDescent="0.2">
      <c r="BH1807" s="25"/>
      <c r="BI1807" s="25"/>
      <c r="BJ1807" s="25"/>
      <c r="BK1807" s="25"/>
    </row>
    <row r="1808" spans="60:63" ht="14.25" x14ac:dyDescent="0.2">
      <c r="BH1808" s="25"/>
      <c r="BI1808" s="25"/>
      <c r="BJ1808" s="25"/>
      <c r="BK1808" s="25"/>
    </row>
    <row r="1809" spans="60:63" ht="14.25" x14ac:dyDescent="0.2">
      <c r="BH1809" s="25"/>
      <c r="BI1809" s="25"/>
      <c r="BJ1809" s="25"/>
      <c r="BK1809" s="25"/>
    </row>
    <row r="1810" spans="60:63" ht="14.25" x14ac:dyDescent="0.2">
      <c r="BH1810" s="25"/>
      <c r="BI1810" s="25"/>
      <c r="BJ1810" s="25"/>
      <c r="BK1810" s="25"/>
    </row>
    <row r="1811" spans="60:63" ht="14.25" x14ac:dyDescent="0.2">
      <c r="BH1811" s="25"/>
      <c r="BI1811" s="25"/>
      <c r="BJ1811" s="25"/>
      <c r="BK1811" s="25"/>
    </row>
    <row r="1812" spans="60:63" ht="14.25" x14ac:dyDescent="0.2">
      <c r="BH1812" s="25"/>
      <c r="BI1812" s="25"/>
      <c r="BJ1812" s="25"/>
      <c r="BK1812" s="25"/>
    </row>
    <row r="1813" spans="60:63" ht="14.25" x14ac:dyDescent="0.2">
      <c r="BH1813" s="25"/>
      <c r="BI1813" s="25"/>
      <c r="BJ1813" s="25"/>
      <c r="BK1813" s="25"/>
    </row>
    <row r="1814" spans="60:63" ht="14.25" x14ac:dyDescent="0.2">
      <c r="BH1814" s="25"/>
      <c r="BI1814" s="25"/>
      <c r="BJ1814" s="25"/>
      <c r="BK1814" s="25"/>
    </row>
    <row r="1815" spans="60:63" ht="14.25" x14ac:dyDescent="0.2">
      <c r="BH1815" s="25"/>
      <c r="BI1815" s="25"/>
      <c r="BJ1815" s="25"/>
      <c r="BK1815" s="25"/>
    </row>
    <row r="1816" spans="60:63" ht="14.25" x14ac:dyDescent="0.2">
      <c r="BH1816" s="25"/>
      <c r="BI1816" s="25"/>
      <c r="BJ1816" s="25"/>
      <c r="BK1816" s="25"/>
    </row>
    <row r="1817" spans="60:63" ht="14.25" x14ac:dyDescent="0.2">
      <c r="BH1817" s="25"/>
      <c r="BI1817" s="25"/>
      <c r="BJ1817" s="25"/>
      <c r="BK1817" s="25"/>
    </row>
    <row r="1818" spans="60:63" ht="14.25" x14ac:dyDescent="0.2">
      <c r="BH1818" s="25"/>
      <c r="BI1818" s="25"/>
      <c r="BJ1818" s="25"/>
      <c r="BK1818" s="25"/>
    </row>
    <row r="1819" spans="60:63" ht="14.25" x14ac:dyDescent="0.2">
      <c r="BH1819" s="25"/>
      <c r="BI1819" s="25"/>
      <c r="BJ1819" s="25"/>
      <c r="BK1819" s="25"/>
    </row>
    <row r="1820" spans="60:63" ht="14.25" x14ac:dyDescent="0.2">
      <c r="BH1820" s="25"/>
      <c r="BI1820" s="25"/>
      <c r="BJ1820" s="25"/>
      <c r="BK1820" s="25"/>
    </row>
    <row r="1821" spans="60:63" ht="14.25" x14ac:dyDescent="0.2">
      <c r="BH1821" s="25"/>
      <c r="BI1821" s="25"/>
      <c r="BJ1821" s="25"/>
      <c r="BK1821" s="25"/>
    </row>
    <row r="1822" spans="60:63" ht="14.25" x14ac:dyDescent="0.2">
      <c r="BH1822" s="25"/>
      <c r="BI1822" s="25"/>
      <c r="BJ1822" s="25"/>
      <c r="BK1822" s="25"/>
    </row>
    <row r="1823" spans="60:63" ht="14.25" x14ac:dyDescent="0.2">
      <c r="BH1823" s="25"/>
      <c r="BI1823" s="25"/>
      <c r="BJ1823" s="25"/>
      <c r="BK1823" s="25"/>
    </row>
    <row r="1824" spans="60:63" ht="14.25" x14ac:dyDescent="0.2">
      <c r="BH1824" s="25"/>
      <c r="BI1824" s="25"/>
      <c r="BJ1824" s="25"/>
      <c r="BK1824" s="25"/>
    </row>
    <row r="1825" spans="60:63" ht="14.25" x14ac:dyDescent="0.2">
      <c r="BH1825" s="25"/>
      <c r="BI1825" s="25"/>
      <c r="BJ1825" s="25"/>
      <c r="BK1825" s="25"/>
    </row>
    <row r="1826" spans="60:63" ht="14.25" x14ac:dyDescent="0.2">
      <c r="BH1826" s="25"/>
      <c r="BI1826" s="25"/>
      <c r="BJ1826" s="25"/>
      <c r="BK1826" s="25"/>
    </row>
    <row r="1827" spans="60:63" ht="14.25" x14ac:dyDescent="0.2">
      <c r="BH1827" s="25"/>
      <c r="BI1827" s="25"/>
      <c r="BJ1827" s="25"/>
      <c r="BK1827" s="25"/>
    </row>
    <row r="1828" spans="60:63" ht="14.25" x14ac:dyDescent="0.2">
      <c r="BH1828" s="25"/>
      <c r="BI1828" s="25"/>
      <c r="BJ1828" s="25"/>
      <c r="BK1828" s="25"/>
    </row>
    <row r="1829" spans="60:63" ht="14.25" x14ac:dyDescent="0.2">
      <c r="BH1829" s="25"/>
      <c r="BI1829" s="25"/>
      <c r="BJ1829" s="25"/>
      <c r="BK1829" s="25"/>
    </row>
    <row r="1830" spans="60:63" ht="14.25" x14ac:dyDescent="0.2">
      <c r="BH1830" s="25"/>
      <c r="BI1830" s="25"/>
      <c r="BJ1830" s="25"/>
      <c r="BK1830" s="25"/>
    </row>
    <row r="1831" spans="60:63" ht="14.25" x14ac:dyDescent="0.2">
      <c r="BH1831" s="25"/>
      <c r="BI1831" s="25"/>
      <c r="BJ1831" s="25"/>
      <c r="BK1831" s="25"/>
    </row>
    <row r="1832" spans="60:63" ht="14.25" x14ac:dyDescent="0.2">
      <c r="BH1832" s="25"/>
      <c r="BI1832" s="25"/>
      <c r="BJ1832" s="25"/>
      <c r="BK1832" s="25"/>
    </row>
    <row r="1833" spans="60:63" ht="14.25" x14ac:dyDescent="0.2">
      <c r="BH1833" s="25"/>
      <c r="BI1833" s="25"/>
      <c r="BJ1833" s="25"/>
      <c r="BK1833" s="25"/>
    </row>
    <row r="1834" spans="60:63" ht="14.25" x14ac:dyDescent="0.2">
      <c r="BH1834" s="25"/>
      <c r="BI1834" s="25"/>
      <c r="BJ1834" s="25"/>
      <c r="BK1834" s="25"/>
    </row>
    <row r="1835" spans="60:63" ht="14.25" x14ac:dyDescent="0.2">
      <c r="BH1835" s="25"/>
      <c r="BI1835" s="25"/>
      <c r="BJ1835" s="25"/>
      <c r="BK1835" s="25"/>
    </row>
    <row r="1836" spans="60:63" ht="14.25" x14ac:dyDescent="0.2">
      <c r="BH1836" s="25"/>
      <c r="BI1836" s="25"/>
      <c r="BJ1836" s="25"/>
      <c r="BK1836" s="25"/>
    </row>
    <row r="1837" spans="60:63" ht="14.25" x14ac:dyDescent="0.2">
      <c r="BH1837" s="25"/>
      <c r="BI1837" s="25"/>
      <c r="BJ1837" s="25"/>
      <c r="BK1837" s="25"/>
    </row>
    <row r="1838" spans="60:63" ht="14.25" x14ac:dyDescent="0.2">
      <c r="BH1838" s="25"/>
      <c r="BI1838" s="25"/>
      <c r="BJ1838" s="25"/>
      <c r="BK1838" s="25"/>
    </row>
    <row r="1839" spans="60:63" ht="14.25" x14ac:dyDescent="0.2">
      <c r="BH1839" s="25"/>
      <c r="BI1839" s="25"/>
      <c r="BJ1839" s="25"/>
      <c r="BK1839" s="25"/>
    </row>
    <row r="1840" spans="60:63" ht="14.25" x14ac:dyDescent="0.2">
      <c r="BH1840" s="25"/>
      <c r="BI1840" s="25"/>
      <c r="BJ1840" s="25"/>
      <c r="BK1840" s="25"/>
    </row>
    <row r="1841" spans="60:63" ht="14.25" x14ac:dyDescent="0.2">
      <c r="BH1841" s="25"/>
      <c r="BI1841" s="25"/>
      <c r="BJ1841" s="25"/>
      <c r="BK1841" s="25"/>
    </row>
    <row r="1842" spans="60:63" ht="14.25" x14ac:dyDescent="0.2">
      <c r="BH1842" s="25"/>
      <c r="BI1842" s="25"/>
      <c r="BJ1842" s="25"/>
      <c r="BK1842" s="25"/>
    </row>
    <row r="1843" spans="60:63" ht="14.25" x14ac:dyDescent="0.2">
      <c r="BH1843" s="25"/>
      <c r="BI1843" s="25"/>
      <c r="BJ1843" s="25"/>
      <c r="BK1843" s="25"/>
    </row>
    <row r="1844" spans="60:63" ht="14.25" x14ac:dyDescent="0.2">
      <c r="BH1844" s="25"/>
      <c r="BI1844" s="25"/>
      <c r="BJ1844" s="25"/>
      <c r="BK1844" s="25"/>
    </row>
    <row r="1845" spans="60:63" ht="14.25" x14ac:dyDescent="0.2">
      <c r="BH1845" s="25"/>
      <c r="BI1845" s="25"/>
      <c r="BJ1845" s="25"/>
      <c r="BK1845" s="25"/>
    </row>
    <row r="1846" spans="60:63" ht="14.25" x14ac:dyDescent="0.2">
      <c r="BH1846" s="25"/>
      <c r="BI1846" s="25"/>
      <c r="BJ1846" s="25"/>
      <c r="BK1846" s="25"/>
    </row>
    <row r="1847" spans="60:63" ht="14.25" x14ac:dyDescent="0.2">
      <c r="BH1847" s="25"/>
      <c r="BI1847" s="25"/>
      <c r="BJ1847" s="25"/>
      <c r="BK1847" s="25"/>
    </row>
    <row r="1848" spans="60:63" ht="14.25" x14ac:dyDescent="0.2">
      <c r="BH1848" s="25"/>
      <c r="BI1848" s="25"/>
      <c r="BJ1848" s="25"/>
      <c r="BK1848" s="25"/>
    </row>
    <row r="1849" spans="60:63" ht="14.25" x14ac:dyDescent="0.2">
      <c r="BH1849" s="25"/>
      <c r="BI1849" s="25"/>
      <c r="BJ1849" s="25"/>
      <c r="BK1849" s="25"/>
    </row>
    <row r="1850" spans="60:63" ht="14.25" x14ac:dyDescent="0.2">
      <c r="BH1850" s="25"/>
      <c r="BI1850" s="25"/>
      <c r="BJ1850" s="25"/>
      <c r="BK1850" s="25"/>
    </row>
    <row r="1851" spans="60:63" ht="14.25" x14ac:dyDescent="0.2">
      <c r="BH1851" s="25"/>
      <c r="BI1851" s="25"/>
      <c r="BJ1851" s="25"/>
      <c r="BK1851" s="25"/>
    </row>
    <row r="1852" spans="60:63" ht="14.25" x14ac:dyDescent="0.2">
      <c r="BH1852" s="25"/>
      <c r="BI1852" s="25"/>
      <c r="BJ1852" s="25"/>
      <c r="BK1852" s="25"/>
    </row>
    <row r="1853" spans="60:63" ht="14.25" x14ac:dyDescent="0.2">
      <c r="BH1853" s="25"/>
      <c r="BI1853" s="25"/>
      <c r="BJ1853" s="25"/>
      <c r="BK1853" s="25"/>
    </row>
    <row r="1854" spans="60:63" ht="14.25" x14ac:dyDescent="0.2">
      <c r="BH1854" s="25"/>
      <c r="BI1854" s="25"/>
      <c r="BJ1854" s="25"/>
      <c r="BK1854" s="25"/>
    </row>
    <row r="1855" spans="60:63" ht="14.25" x14ac:dyDescent="0.2">
      <c r="BH1855" s="25"/>
      <c r="BI1855" s="25"/>
      <c r="BJ1855" s="25"/>
      <c r="BK1855" s="25"/>
    </row>
    <row r="1856" spans="60:63" ht="14.25" x14ac:dyDescent="0.2">
      <c r="BH1856" s="25"/>
      <c r="BI1856" s="25"/>
      <c r="BJ1856" s="25"/>
      <c r="BK1856" s="25"/>
    </row>
    <row r="1857" spans="60:63" ht="14.25" x14ac:dyDescent="0.2">
      <c r="BH1857" s="25"/>
      <c r="BI1857" s="25"/>
      <c r="BJ1857" s="25"/>
      <c r="BK1857" s="25"/>
    </row>
    <row r="1858" spans="60:63" ht="14.25" x14ac:dyDescent="0.2">
      <c r="BH1858" s="25"/>
      <c r="BI1858" s="25"/>
      <c r="BJ1858" s="25"/>
      <c r="BK1858" s="25"/>
    </row>
    <row r="1859" spans="60:63" ht="14.25" x14ac:dyDescent="0.2">
      <c r="BH1859" s="25"/>
      <c r="BI1859" s="25"/>
      <c r="BJ1859" s="25"/>
      <c r="BK1859" s="25"/>
    </row>
    <row r="1860" spans="60:63" ht="14.25" x14ac:dyDescent="0.2">
      <c r="BH1860" s="25"/>
      <c r="BI1860" s="25"/>
      <c r="BJ1860" s="25"/>
      <c r="BK1860" s="25"/>
    </row>
    <row r="1861" spans="60:63" ht="14.25" x14ac:dyDescent="0.2">
      <c r="BH1861" s="25"/>
      <c r="BI1861" s="25"/>
      <c r="BJ1861" s="25"/>
      <c r="BK1861" s="25"/>
    </row>
    <row r="1862" spans="60:63" ht="14.25" x14ac:dyDescent="0.2">
      <c r="BH1862" s="25"/>
      <c r="BI1862" s="25"/>
      <c r="BJ1862" s="25"/>
      <c r="BK1862" s="25"/>
    </row>
    <row r="1863" spans="60:63" ht="14.25" x14ac:dyDescent="0.2">
      <c r="BH1863" s="25"/>
      <c r="BI1863" s="25"/>
      <c r="BJ1863" s="25"/>
      <c r="BK1863" s="25"/>
    </row>
    <row r="1864" spans="60:63" ht="14.25" x14ac:dyDescent="0.2">
      <c r="BH1864" s="25"/>
      <c r="BI1864" s="25"/>
      <c r="BJ1864" s="25"/>
      <c r="BK1864" s="25"/>
    </row>
    <row r="1865" spans="60:63" ht="14.25" x14ac:dyDescent="0.2">
      <c r="BH1865" s="25"/>
      <c r="BI1865" s="25"/>
      <c r="BJ1865" s="25"/>
      <c r="BK1865" s="25"/>
    </row>
    <row r="1866" spans="60:63" ht="14.25" x14ac:dyDescent="0.2">
      <c r="BH1866" s="25"/>
      <c r="BI1866" s="25"/>
      <c r="BJ1866" s="25"/>
      <c r="BK1866" s="25"/>
    </row>
    <row r="1867" spans="60:63" ht="14.25" x14ac:dyDescent="0.2">
      <c r="BH1867" s="25"/>
      <c r="BI1867" s="25"/>
      <c r="BJ1867" s="25"/>
      <c r="BK1867" s="25"/>
    </row>
    <row r="1868" spans="60:63" ht="14.25" x14ac:dyDescent="0.2">
      <c r="BH1868" s="25"/>
      <c r="BI1868" s="25"/>
      <c r="BJ1868" s="25"/>
      <c r="BK1868" s="25"/>
    </row>
    <row r="1869" spans="60:63" ht="14.25" x14ac:dyDescent="0.2">
      <c r="BH1869" s="25"/>
      <c r="BI1869" s="25"/>
      <c r="BJ1869" s="25"/>
      <c r="BK1869" s="25"/>
    </row>
    <row r="1870" spans="60:63" ht="14.25" x14ac:dyDescent="0.2">
      <c r="BH1870" s="25"/>
      <c r="BI1870" s="25"/>
      <c r="BJ1870" s="25"/>
      <c r="BK1870" s="25"/>
    </row>
    <row r="1871" spans="60:63" ht="14.25" x14ac:dyDescent="0.2">
      <c r="BH1871" s="25"/>
      <c r="BI1871" s="25"/>
      <c r="BJ1871" s="25"/>
      <c r="BK1871" s="25"/>
    </row>
    <row r="1872" spans="60:63" ht="14.25" x14ac:dyDescent="0.2">
      <c r="BH1872" s="25"/>
      <c r="BI1872" s="25"/>
      <c r="BJ1872" s="25"/>
      <c r="BK1872" s="25"/>
    </row>
    <row r="1873" spans="60:63" ht="14.25" x14ac:dyDescent="0.2">
      <c r="BH1873" s="25"/>
      <c r="BI1873" s="25"/>
      <c r="BJ1873" s="25"/>
      <c r="BK1873" s="25"/>
    </row>
    <row r="1874" spans="60:63" ht="14.25" x14ac:dyDescent="0.2">
      <c r="BH1874" s="25"/>
      <c r="BI1874" s="25"/>
      <c r="BJ1874" s="25"/>
      <c r="BK1874" s="25"/>
    </row>
    <row r="1875" spans="60:63" ht="14.25" x14ac:dyDescent="0.2">
      <c r="BH1875" s="25"/>
      <c r="BI1875" s="25"/>
      <c r="BJ1875" s="25"/>
      <c r="BK1875" s="25"/>
    </row>
    <row r="1876" spans="60:63" ht="14.25" x14ac:dyDescent="0.2">
      <c r="BH1876" s="25"/>
      <c r="BI1876" s="25"/>
      <c r="BJ1876" s="25"/>
      <c r="BK1876" s="25"/>
    </row>
    <row r="1877" spans="60:63" ht="14.25" x14ac:dyDescent="0.2">
      <c r="BH1877" s="25"/>
      <c r="BI1877" s="25"/>
      <c r="BJ1877" s="25"/>
      <c r="BK1877" s="25"/>
    </row>
    <row r="1878" spans="60:63" ht="14.25" x14ac:dyDescent="0.2">
      <c r="BH1878" s="25"/>
      <c r="BI1878" s="25"/>
      <c r="BJ1878" s="25"/>
      <c r="BK1878" s="25"/>
    </row>
    <row r="1879" spans="60:63" ht="14.25" x14ac:dyDescent="0.2">
      <c r="BH1879" s="25"/>
      <c r="BI1879" s="25"/>
      <c r="BJ1879" s="25"/>
      <c r="BK1879" s="25"/>
    </row>
    <row r="1880" spans="60:63" ht="14.25" x14ac:dyDescent="0.2">
      <c r="BH1880" s="25"/>
      <c r="BI1880" s="25"/>
      <c r="BJ1880" s="25"/>
      <c r="BK1880" s="25"/>
    </row>
    <row r="1881" spans="60:63" ht="14.25" x14ac:dyDescent="0.2">
      <c r="BH1881" s="25"/>
      <c r="BI1881" s="25"/>
      <c r="BJ1881" s="25"/>
      <c r="BK1881" s="25"/>
    </row>
    <row r="1882" spans="60:63" ht="14.25" x14ac:dyDescent="0.2">
      <c r="BH1882" s="25"/>
      <c r="BI1882" s="25"/>
      <c r="BJ1882" s="25"/>
      <c r="BK1882" s="25"/>
    </row>
    <row r="1883" spans="60:63" ht="14.25" x14ac:dyDescent="0.2">
      <c r="BH1883" s="25"/>
      <c r="BI1883" s="25"/>
      <c r="BJ1883" s="25"/>
      <c r="BK1883" s="25"/>
    </row>
    <row r="1884" spans="60:63" ht="14.25" x14ac:dyDescent="0.2">
      <c r="BH1884" s="25"/>
      <c r="BI1884" s="25"/>
      <c r="BJ1884" s="25"/>
      <c r="BK1884" s="25"/>
    </row>
    <row r="1885" spans="60:63" ht="14.25" x14ac:dyDescent="0.2">
      <c r="BH1885" s="25"/>
      <c r="BI1885" s="25"/>
      <c r="BJ1885" s="25"/>
      <c r="BK1885" s="25"/>
    </row>
    <row r="1886" spans="60:63" ht="14.25" x14ac:dyDescent="0.2">
      <c r="BH1886" s="25"/>
      <c r="BI1886" s="25"/>
      <c r="BJ1886" s="25"/>
      <c r="BK1886" s="25"/>
    </row>
    <row r="1887" spans="60:63" ht="14.25" x14ac:dyDescent="0.2">
      <c r="BH1887" s="25"/>
      <c r="BI1887" s="25"/>
      <c r="BJ1887" s="25"/>
      <c r="BK1887" s="25"/>
    </row>
    <row r="1888" spans="60:63" ht="14.25" x14ac:dyDescent="0.2">
      <c r="BH1888" s="25"/>
      <c r="BI1888" s="25"/>
      <c r="BJ1888" s="25"/>
      <c r="BK1888" s="25"/>
    </row>
    <row r="1889" spans="60:63" ht="14.25" x14ac:dyDescent="0.2">
      <c r="BH1889" s="25"/>
      <c r="BI1889" s="25"/>
      <c r="BJ1889" s="25"/>
      <c r="BK1889" s="25"/>
    </row>
    <row r="1890" spans="60:63" ht="14.25" x14ac:dyDescent="0.2">
      <c r="BH1890" s="25"/>
      <c r="BI1890" s="25"/>
      <c r="BJ1890" s="25"/>
      <c r="BK1890" s="25"/>
    </row>
    <row r="1891" spans="60:63" ht="14.25" x14ac:dyDescent="0.2">
      <c r="BH1891" s="25"/>
      <c r="BI1891" s="25"/>
      <c r="BJ1891" s="25"/>
      <c r="BK1891" s="25"/>
    </row>
    <row r="1892" spans="60:63" ht="14.25" x14ac:dyDescent="0.2">
      <c r="BH1892" s="25"/>
      <c r="BI1892" s="25"/>
      <c r="BJ1892" s="25"/>
      <c r="BK1892" s="25"/>
    </row>
    <row r="1893" spans="60:63" ht="14.25" x14ac:dyDescent="0.2">
      <c r="BH1893" s="25"/>
      <c r="BI1893" s="25"/>
      <c r="BJ1893" s="25"/>
      <c r="BK1893" s="25"/>
    </row>
    <row r="1894" spans="60:63" ht="14.25" x14ac:dyDescent="0.2">
      <c r="BH1894" s="25"/>
      <c r="BI1894" s="25"/>
      <c r="BJ1894" s="25"/>
      <c r="BK1894" s="25"/>
    </row>
    <row r="1895" spans="60:63" ht="14.25" x14ac:dyDescent="0.2">
      <c r="BH1895" s="25"/>
      <c r="BI1895" s="25"/>
      <c r="BJ1895" s="25"/>
      <c r="BK1895" s="25"/>
    </row>
    <row r="1896" spans="60:63" ht="14.25" x14ac:dyDescent="0.2">
      <c r="BH1896" s="25"/>
      <c r="BI1896" s="25"/>
      <c r="BJ1896" s="25"/>
      <c r="BK1896" s="25"/>
    </row>
    <row r="1897" spans="60:63" ht="14.25" x14ac:dyDescent="0.2">
      <c r="BH1897" s="25"/>
      <c r="BI1897" s="25"/>
      <c r="BJ1897" s="25"/>
      <c r="BK1897" s="25"/>
    </row>
    <row r="1898" spans="60:63" ht="14.25" x14ac:dyDescent="0.2">
      <c r="BH1898" s="25"/>
      <c r="BI1898" s="25"/>
      <c r="BJ1898" s="25"/>
      <c r="BK1898" s="25"/>
    </row>
    <row r="1899" spans="60:63" ht="14.25" x14ac:dyDescent="0.2">
      <c r="BH1899" s="25"/>
      <c r="BI1899" s="25"/>
      <c r="BJ1899" s="25"/>
      <c r="BK1899" s="25"/>
    </row>
    <row r="1900" spans="60:63" ht="14.25" x14ac:dyDescent="0.2">
      <c r="BH1900" s="25"/>
      <c r="BI1900" s="25"/>
      <c r="BJ1900" s="25"/>
      <c r="BK1900" s="25"/>
    </row>
    <row r="1901" spans="60:63" ht="14.25" x14ac:dyDescent="0.2">
      <c r="BH1901" s="25"/>
      <c r="BI1901" s="25"/>
      <c r="BJ1901" s="25"/>
      <c r="BK1901" s="25"/>
    </row>
    <row r="1902" spans="60:63" ht="14.25" x14ac:dyDescent="0.2">
      <c r="BH1902" s="25"/>
      <c r="BI1902" s="25"/>
      <c r="BJ1902" s="25"/>
      <c r="BK1902" s="25"/>
    </row>
    <row r="1903" spans="60:63" ht="14.25" x14ac:dyDescent="0.2">
      <c r="BH1903" s="25"/>
      <c r="BI1903" s="25"/>
      <c r="BJ1903" s="25"/>
      <c r="BK1903" s="25"/>
    </row>
    <row r="1904" spans="60:63" ht="14.25" x14ac:dyDescent="0.2">
      <c r="BH1904" s="25"/>
      <c r="BI1904" s="25"/>
      <c r="BJ1904" s="25"/>
      <c r="BK1904" s="25"/>
    </row>
    <row r="1905" spans="60:63" ht="14.25" x14ac:dyDescent="0.2">
      <c r="BH1905" s="25"/>
      <c r="BI1905" s="25"/>
      <c r="BJ1905" s="25"/>
      <c r="BK1905" s="25"/>
    </row>
    <row r="1906" spans="60:63" ht="14.25" x14ac:dyDescent="0.2">
      <c r="BH1906" s="25"/>
      <c r="BI1906" s="25"/>
      <c r="BJ1906" s="25"/>
      <c r="BK1906" s="25"/>
    </row>
    <row r="1907" spans="60:63" ht="14.25" x14ac:dyDescent="0.2">
      <c r="BH1907" s="25"/>
      <c r="BI1907" s="25"/>
      <c r="BJ1907" s="25"/>
      <c r="BK1907" s="25"/>
    </row>
    <row r="1908" spans="60:63" ht="14.25" x14ac:dyDescent="0.2">
      <c r="BH1908" s="25"/>
      <c r="BI1908" s="25"/>
      <c r="BJ1908" s="25"/>
      <c r="BK1908" s="25"/>
    </row>
    <row r="1909" spans="60:63" ht="14.25" x14ac:dyDescent="0.2">
      <c r="BH1909" s="25"/>
      <c r="BI1909" s="25"/>
      <c r="BJ1909" s="25"/>
      <c r="BK1909" s="25"/>
    </row>
    <row r="1910" spans="60:63" ht="14.25" x14ac:dyDescent="0.2">
      <c r="BH1910" s="25"/>
      <c r="BI1910" s="25"/>
      <c r="BJ1910" s="25"/>
      <c r="BK1910" s="25"/>
    </row>
    <row r="1911" spans="60:63" ht="14.25" x14ac:dyDescent="0.2">
      <c r="BH1911" s="25"/>
      <c r="BI1911" s="25"/>
      <c r="BJ1911" s="25"/>
      <c r="BK1911" s="25"/>
    </row>
    <row r="1912" spans="60:63" ht="14.25" x14ac:dyDescent="0.2">
      <c r="BH1912" s="25"/>
      <c r="BI1912" s="25"/>
      <c r="BJ1912" s="25"/>
      <c r="BK1912" s="25"/>
    </row>
    <row r="1913" spans="60:63" ht="14.25" x14ac:dyDescent="0.2">
      <c r="BH1913" s="25"/>
      <c r="BI1913" s="25"/>
      <c r="BJ1913" s="25"/>
      <c r="BK1913" s="25"/>
    </row>
    <row r="1914" spans="60:63" ht="14.25" x14ac:dyDescent="0.2">
      <c r="BH1914" s="25"/>
      <c r="BI1914" s="25"/>
      <c r="BJ1914" s="25"/>
      <c r="BK1914" s="25"/>
    </row>
    <row r="1915" spans="60:63" ht="14.25" x14ac:dyDescent="0.2">
      <c r="BH1915" s="25"/>
      <c r="BI1915" s="25"/>
      <c r="BJ1915" s="25"/>
      <c r="BK1915" s="25"/>
    </row>
    <row r="1916" spans="60:63" ht="14.25" x14ac:dyDescent="0.2">
      <c r="BH1916" s="25"/>
      <c r="BI1916" s="25"/>
      <c r="BJ1916" s="25"/>
      <c r="BK1916" s="25"/>
    </row>
    <row r="1917" spans="60:63" ht="14.25" x14ac:dyDescent="0.2">
      <c r="BH1917" s="25"/>
      <c r="BI1917" s="25"/>
      <c r="BJ1917" s="25"/>
      <c r="BK1917" s="25"/>
    </row>
    <row r="1918" spans="60:63" ht="14.25" x14ac:dyDescent="0.2">
      <c r="BH1918" s="25"/>
      <c r="BI1918" s="25"/>
      <c r="BJ1918" s="25"/>
      <c r="BK1918" s="25"/>
    </row>
    <row r="1919" spans="60:63" ht="14.25" x14ac:dyDescent="0.2">
      <c r="BH1919" s="25"/>
      <c r="BI1919" s="25"/>
      <c r="BJ1919" s="25"/>
      <c r="BK1919" s="25"/>
    </row>
    <row r="1920" spans="60:63" ht="14.25" x14ac:dyDescent="0.2">
      <c r="BH1920" s="25"/>
      <c r="BI1920" s="25"/>
      <c r="BJ1920" s="25"/>
      <c r="BK1920" s="25"/>
    </row>
    <row r="1921" spans="60:63" ht="14.25" x14ac:dyDescent="0.2">
      <c r="BH1921" s="25"/>
      <c r="BI1921" s="25"/>
      <c r="BJ1921" s="25"/>
      <c r="BK1921" s="25"/>
    </row>
    <row r="1922" spans="60:63" ht="14.25" x14ac:dyDescent="0.2">
      <c r="BH1922" s="25"/>
      <c r="BI1922" s="25"/>
      <c r="BJ1922" s="25"/>
      <c r="BK1922" s="25"/>
    </row>
    <row r="1923" spans="60:63" ht="14.25" x14ac:dyDescent="0.2">
      <c r="BH1923" s="25"/>
      <c r="BI1923" s="25"/>
      <c r="BJ1923" s="25"/>
      <c r="BK1923" s="25"/>
    </row>
    <row r="1924" spans="60:63" ht="14.25" x14ac:dyDescent="0.2">
      <c r="BH1924" s="25"/>
      <c r="BI1924" s="25"/>
      <c r="BJ1924" s="25"/>
      <c r="BK1924" s="25"/>
    </row>
    <row r="1925" spans="60:63" ht="14.25" x14ac:dyDescent="0.2">
      <c r="BH1925" s="25"/>
      <c r="BI1925" s="25"/>
      <c r="BJ1925" s="25"/>
      <c r="BK1925" s="25"/>
    </row>
    <row r="1926" spans="60:63" ht="14.25" x14ac:dyDescent="0.2">
      <c r="BH1926" s="25"/>
      <c r="BI1926" s="25"/>
      <c r="BJ1926" s="25"/>
      <c r="BK1926" s="25"/>
    </row>
    <row r="1927" spans="60:63" ht="14.25" x14ac:dyDescent="0.2">
      <c r="BH1927" s="25"/>
      <c r="BI1927" s="25"/>
      <c r="BJ1927" s="25"/>
      <c r="BK1927" s="25"/>
    </row>
    <row r="1928" spans="60:63" ht="14.25" x14ac:dyDescent="0.2">
      <c r="BH1928" s="25"/>
      <c r="BI1928" s="25"/>
      <c r="BJ1928" s="25"/>
      <c r="BK1928" s="25"/>
    </row>
    <row r="1929" spans="60:63" ht="14.25" x14ac:dyDescent="0.2">
      <c r="BH1929" s="25"/>
      <c r="BI1929" s="25"/>
      <c r="BJ1929" s="25"/>
      <c r="BK1929" s="25"/>
    </row>
    <row r="1930" spans="60:63" ht="14.25" x14ac:dyDescent="0.2">
      <c r="BH1930" s="25"/>
      <c r="BI1930" s="25"/>
      <c r="BJ1930" s="25"/>
      <c r="BK1930" s="25"/>
    </row>
    <row r="1931" spans="60:63" ht="14.25" x14ac:dyDescent="0.2">
      <c r="BH1931" s="25"/>
      <c r="BI1931" s="25"/>
      <c r="BJ1931" s="25"/>
      <c r="BK1931" s="25"/>
    </row>
    <row r="1932" spans="60:63" ht="14.25" x14ac:dyDescent="0.2">
      <c r="BH1932" s="25"/>
      <c r="BI1932" s="25"/>
      <c r="BJ1932" s="25"/>
      <c r="BK1932" s="25"/>
    </row>
    <row r="1933" spans="60:63" ht="14.25" x14ac:dyDescent="0.2">
      <c r="BH1933" s="25"/>
      <c r="BI1933" s="25"/>
      <c r="BJ1933" s="25"/>
      <c r="BK1933" s="25"/>
    </row>
    <row r="1934" spans="60:63" ht="14.25" x14ac:dyDescent="0.2">
      <c r="BH1934" s="25"/>
      <c r="BI1934" s="25"/>
      <c r="BJ1934" s="25"/>
      <c r="BK1934" s="25"/>
    </row>
    <row r="1935" spans="60:63" ht="14.25" x14ac:dyDescent="0.2">
      <c r="BH1935" s="25"/>
      <c r="BI1935" s="25"/>
      <c r="BJ1935" s="25"/>
      <c r="BK1935" s="25"/>
    </row>
    <row r="1936" spans="60:63" ht="14.25" x14ac:dyDescent="0.2">
      <c r="BH1936" s="25"/>
      <c r="BI1936" s="25"/>
      <c r="BJ1936" s="25"/>
      <c r="BK1936" s="25"/>
    </row>
    <row r="1937" spans="60:63" ht="14.25" x14ac:dyDescent="0.2">
      <c r="BH1937" s="25"/>
      <c r="BI1937" s="25"/>
      <c r="BJ1937" s="25"/>
      <c r="BK1937" s="25"/>
    </row>
    <row r="1938" spans="60:63" ht="14.25" x14ac:dyDescent="0.2">
      <c r="BH1938" s="25"/>
      <c r="BI1938" s="25"/>
      <c r="BJ1938" s="25"/>
      <c r="BK1938" s="25"/>
    </row>
    <row r="1939" spans="60:63" ht="14.25" x14ac:dyDescent="0.2">
      <c r="BH1939" s="25"/>
      <c r="BI1939" s="25"/>
      <c r="BJ1939" s="25"/>
      <c r="BK1939" s="25"/>
    </row>
    <row r="1940" spans="60:63" ht="14.25" x14ac:dyDescent="0.2">
      <c r="BH1940" s="25"/>
      <c r="BI1940" s="25"/>
      <c r="BJ1940" s="25"/>
      <c r="BK1940" s="25"/>
    </row>
    <row r="1941" spans="60:63" ht="14.25" x14ac:dyDescent="0.2">
      <c r="BH1941" s="25"/>
      <c r="BI1941" s="25"/>
      <c r="BJ1941" s="25"/>
      <c r="BK1941" s="25"/>
    </row>
    <row r="1942" spans="60:63" ht="14.25" x14ac:dyDescent="0.2">
      <c r="BH1942" s="25"/>
      <c r="BI1942" s="25"/>
      <c r="BJ1942" s="25"/>
      <c r="BK1942" s="25"/>
    </row>
    <row r="1943" spans="60:63" ht="14.25" x14ac:dyDescent="0.2">
      <c r="BH1943" s="25"/>
      <c r="BI1943" s="25"/>
      <c r="BJ1943" s="25"/>
      <c r="BK1943" s="25"/>
    </row>
    <row r="1944" spans="60:63" ht="14.25" x14ac:dyDescent="0.2">
      <c r="BH1944" s="25"/>
      <c r="BI1944" s="25"/>
      <c r="BJ1944" s="25"/>
      <c r="BK1944" s="25"/>
    </row>
    <row r="1945" spans="60:63" ht="14.25" x14ac:dyDescent="0.2">
      <c r="BH1945" s="25"/>
      <c r="BI1945" s="25"/>
      <c r="BJ1945" s="25"/>
      <c r="BK1945" s="25"/>
    </row>
    <row r="1946" spans="60:63" ht="14.25" x14ac:dyDescent="0.2">
      <c r="BH1946" s="25"/>
      <c r="BI1946" s="25"/>
      <c r="BJ1946" s="25"/>
      <c r="BK1946" s="25"/>
    </row>
    <row r="1947" spans="60:63" ht="14.25" x14ac:dyDescent="0.2">
      <c r="BH1947" s="25"/>
      <c r="BI1947" s="25"/>
      <c r="BJ1947" s="25"/>
      <c r="BK1947" s="25"/>
    </row>
    <row r="1948" spans="60:63" ht="14.25" x14ac:dyDescent="0.2">
      <c r="BH1948" s="25"/>
      <c r="BI1948" s="25"/>
      <c r="BJ1948" s="25"/>
      <c r="BK1948" s="25"/>
    </row>
    <row r="1949" spans="60:63" ht="14.25" x14ac:dyDescent="0.2">
      <c r="BH1949" s="25"/>
      <c r="BI1949" s="25"/>
      <c r="BJ1949" s="25"/>
      <c r="BK1949" s="25"/>
    </row>
    <row r="1950" spans="60:63" ht="14.25" x14ac:dyDescent="0.2">
      <c r="BH1950" s="25"/>
      <c r="BI1950" s="25"/>
      <c r="BJ1950" s="25"/>
      <c r="BK1950" s="25"/>
    </row>
    <row r="1951" spans="60:63" ht="14.25" x14ac:dyDescent="0.2">
      <c r="BH1951" s="25"/>
      <c r="BI1951" s="25"/>
      <c r="BJ1951" s="25"/>
      <c r="BK1951" s="25"/>
    </row>
    <row r="1952" spans="60:63" ht="14.25" x14ac:dyDescent="0.2">
      <c r="BH1952" s="25"/>
      <c r="BI1952" s="25"/>
      <c r="BJ1952" s="25"/>
      <c r="BK1952" s="25"/>
    </row>
    <row r="1953" spans="60:63" ht="14.25" x14ac:dyDescent="0.2">
      <c r="BH1953" s="25"/>
      <c r="BI1953" s="25"/>
      <c r="BJ1953" s="25"/>
      <c r="BK1953" s="25"/>
    </row>
    <row r="1954" spans="60:63" ht="14.25" x14ac:dyDescent="0.2">
      <c r="BH1954" s="25"/>
      <c r="BI1954" s="25"/>
      <c r="BJ1954" s="25"/>
      <c r="BK1954" s="25"/>
    </row>
    <row r="1955" spans="60:63" ht="14.25" x14ac:dyDescent="0.2">
      <c r="BH1955" s="25"/>
      <c r="BI1955" s="25"/>
      <c r="BJ1955" s="25"/>
      <c r="BK1955" s="25"/>
    </row>
    <row r="1956" spans="60:63" ht="14.25" x14ac:dyDescent="0.2">
      <c r="BH1956" s="25"/>
      <c r="BI1956" s="25"/>
      <c r="BJ1956" s="25"/>
      <c r="BK1956" s="25"/>
    </row>
    <row r="1957" spans="60:63" ht="14.25" x14ac:dyDescent="0.2">
      <c r="BH1957" s="25"/>
      <c r="BI1957" s="25"/>
      <c r="BJ1957" s="25"/>
      <c r="BK1957" s="25"/>
    </row>
    <row r="1958" spans="60:63" ht="14.25" x14ac:dyDescent="0.2">
      <c r="BH1958" s="25"/>
      <c r="BI1958" s="25"/>
      <c r="BJ1958" s="25"/>
      <c r="BK1958" s="25"/>
    </row>
    <row r="1959" spans="60:63" ht="14.25" x14ac:dyDescent="0.2">
      <c r="BH1959" s="25"/>
      <c r="BI1959" s="25"/>
      <c r="BJ1959" s="25"/>
      <c r="BK1959" s="25"/>
    </row>
    <row r="1960" spans="60:63" ht="14.25" x14ac:dyDescent="0.2">
      <c r="BH1960" s="25"/>
      <c r="BI1960" s="25"/>
      <c r="BJ1960" s="25"/>
      <c r="BK1960" s="25"/>
    </row>
    <row r="1961" spans="60:63" ht="14.25" x14ac:dyDescent="0.2">
      <c r="BH1961" s="25"/>
      <c r="BI1961" s="25"/>
      <c r="BJ1961" s="25"/>
      <c r="BK1961" s="25"/>
    </row>
    <row r="1962" spans="60:63" ht="14.25" x14ac:dyDescent="0.2">
      <c r="BH1962" s="25"/>
      <c r="BI1962" s="25"/>
      <c r="BJ1962" s="25"/>
      <c r="BK1962" s="25"/>
    </row>
    <row r="1963" spans="60:63" ht="14.25" x14ac:dyDescent="0.2">
      <c r="BH1963" s="25"/>
      <c r="BI1963" s="25"/>
      <c r="BJ1963" s="25"/>
      <c r="BK1963" s="25"/>
    </row>
    <row r="1964" spans="60:63" ht="14.25" x14ac:dyDescent="0.2">
      <c r="BH1964" s="25"/>
      <c r="BI1964" s="25"/>
      <c r="BJ1964" s="25"/>
      <c r="BK1964" s="25"/>
    </row>
    <row r="1965" spans="60:63" ht="14.25" x14ac:dyDescent="0.2">
      <c r="BH1965" s="25"/>
      <c r="BI1965" s="25"/>
      <c r="BJ1965" s="25"/>
      <c r="BK1965" s="25"/>
    </row>
    <row r="1966" spans="60:63" ht="14.25" x14ac:dyDescent="0.2">
      <c r="BH1966" s="25"/>
      <c r="BI1966" s="25"/>
      <c r="BJ1966" s="25"/>
      <c r="BK1966" s="25"/>
    </row>
    <row r="1967" spans="60:63" ht="14.25" x14ac:dyDescent="0.2">
      <c r="BH1967" s="25"/>
      <c r="BI1967" s="25"/>
      <c r="BJ1967" s="25"/>
      <c r="BK1967" s="25"/>
    </row>
    <row r="1968" spans="60:63" ht="14.25" x14ac:dyDescent="0.2">
      <c r="BH1968" s="25"/>
      <c r="BI1968" s="25"/>
      <c r="BJ1968" s="25"/>
      <c r="BK1968" s="25"/>
    </row>
    <row r="1969" spans="60:63" ht="14.25" x14ac:dyDescent="0.2">
      <c r="BH1969" s="25"/>
      <c r="BI1969" s="25"/>
      <c r="BJ1969" s="25"/>
      <c r="BK1969" s="25"/>
    </row>
    <row r="1970" spans="60:63" ht="14.25" x14ac:dyDescent="0.2">
      <c r="BH1970" s="25"/>
      <c r="BI1970" s="25"/>
      <c r="BJ1970" s="25"/>
      <c r="BK1970" s="25"/>
    </row>
    <row r="1971" spans="60:63" ht="14.25" x14ac:dyDescent="0.2">
      <c r="BH1971" s="25"/>
      <c r="BI1971" s="25"/>
      <c r="BJ1971" s="25"/>
      <c r="BK1971" s="25"/>
    </row>
    <row r="1972" spans="60:63" ht="14.25" x14ac:dyDescent="0.2">
      <c r="BH1972" s="25"/>
      <c r="BI1972" s="25"/>
      <c r="BJ1972" s="25"/>
      <c r="BK1972" s="25"/>
    </row>
    <row r="1973" spans="60:63" ht="14.25" x14ac:dyDescent="0.2">
      <c r="BH1973" s="25"/>
      <c r="BI1973" s="25"/>
      <c r="BJ1973" s="25"/>
      <c r="BK1973" s="25"/>
    </row>
    <row r="1974" spans="60:63" ht="14.25" x14ac:dyDescent="0.2">
      <c r="BH1974" s="25"/>
      <c r="BI1974" s="25"/>
      <c r="BJ1974" s="25"/>
      <c r="BK1974" s="25"/>
    </row>
    <row r="1975" spans="60:63" ht="14.25" x14ac:dyDescent="0.2">
      <c r="BH1975" s="25"/>
      <c r="BI1975" s="25"/>
      <c r="BJ1975" s="25"/>
      <c r="BK1975" s="25"/>
    </row>
    <row r="1976" spans="60:63" ht="14.25" x14ac:dyDescent="0.2">
      <c r="BH1976" s="25"/>
      <c r="BI1976" s="25"/>
      <c r="BJ1976" s="25"/>
      <c r="BK1976" s="25"/>
    </row>
    <row r="1977" spans="60:63" ht="14.25" x14ac:dyDescent="0.2">
      <c r="BH1977" s="25"/>
      <c r="BI1977" s="25"/>
      <c r="BJ1977" s="25"/>
      <c r="BK1977" s="25"/>
    </row>
    <row r="1978" spans="60:63" ht="14.25" x14ac:dyDescent="0.2">
      <c r="BH1978" s="25"/>
      <c r="BI1978" s="25"/>
      <c r="BJ1978" s="25"/>
      <c r="BK1978" s="25"/>
    </row>
    <row r="1979" spans="60:63" ht="14.25" x14ac:dyDescent="0.2">
      <c r="BH1979" s="25"/>
      <c r="BI1979" s="25"/>
      <c r="BJ1979" s="25"/>
      <c r="BK1979" s="25"/>
    </row>
    <row r="1980" spans="60:63" ht="14.25" x14ac:dyDescent="0.2">
      <c r="BH1980" s="25"/>
      <c r="BI1980" s="25"/>
      <c r="BJ1980" s="25"/>
      <c r="BK1980" s="25"/>
    </row>
    <row r="1981" spans="60:63" ht="14.25" x14ac:dyDescent="0.2">
      <c r="BH1981" s="25"/>
      <c r="BI1981" s="25"/>
      <c r="BJ1981" s="25"/>
      <c r="BK1981" s="25"/>
    </row>
    <row r="1982" spans="60:63" ht="14.25" x14ac:dyDescent="0.2">
      <c r="BH1982" s="25"/>
      <c r="BI1982" s="25"/>
      <c r="BJ1982" s="25"/>
      <c r="BK1982" s="25"/>
    </row>
    <row r="1983" spans="60:63" ht="14.25" x14ac:dyDescent="0.2">
      <c r="BH1983" s="25"/>
      <c r="BI1983" s="25"/>
      <c r="BJ1983" s="25"/>
      <c r="BK1983" s="25"/>
    </row>
    <row r="1984" spans="60:63" ht="14.25" x14ac:dyDescent="0.2">
      <c r="BH1984" s="25"/>
      <c r="BI1984" s="25"/>
      <c r="BJ1984" s="25"/>
      <c r="BK1984" s="25"/>
    </row>
    <row r="1985" spans="60:63" ht="14.25" x14ac:dyDescent="0.2">
      <c r="BH1985" s="25"/>
      <c r="BI1985" s="25"/>
      <c r="BJ1985" s="25"/>
      <c r="BK1985" s="25"/>
    </row>
    <row r="1986" spans="60:63" ht="14.25" x14ac:dyDescent="0.2">
      <c r="BH1986" s="25"/>
      <c r="BI1986" s="25"/>
      <c r="BJ1986" s="25"/>
      <c r="BK1986" s="25"/>
    </row>
    <row r="1987" spans="60:63" ht="14.25" x14ac:dyDescent="0.2">
      <c r="BH1987" s="25"/>
      <c r="BI1987" s="25"/>
      <c r="BJ1987" s="25"/>
      <c r="BK1987" s="25"/>
    </row>
    <row r="1988" spans="60:63" ht="14.25" x14ac:dyDescent="0.2">
      <c r="BH1988" s="25"/>
      <c r="BI1988" s="25"/>
      <c r="BJ1988" s="25"/>
      <c r="BK1988" s="25"/>
    </row>
    <row r="1989" spans="60:63" ht="14.25" x14ac:dyDescent="0.2">
      <c r="BH1989" s="25"/>
      <c r="BI1989" s="25"/>
      <c r="BJ1989" s="25"/>
      <c r="BK1989" s="25"/>
    </row>
    <row r="1990" spans="60:63" ht="14.25" x14ac:dyDescent="0.2">
      <c r="BH1990" s="25"/>
      <c r="BI1990" s="25"/>
      <c r="BJ1990" s="25"/>
      <c r="BK1990" s="25"/>
    </row>
    <row r="1991" spans="60:63" ht="14.25" x14ac:dyDescent="0.2">
      <c r="BH1991" s="25"/>
      <c r="BI1991" s="25"/>
      <c r="BJ1991" s="25"/>
      <c r="BK1991" s="25"/>
    </row>
    <row r="1992" spans="60:63" ht="14.25" x14ac:dyDescent="0.2">
      <c r="BH1992" s="25"/>
      <c r="BI1992" s="25"/>
      <c r="BJ1992" s="25"/>
      <c r="BK1992" s="25"/>
    </row>
    <row r="1993" spans="60:63" ht="14.25" x14ac:dyDescent="0.2">
      <c r="BH1993" s="25"/>
      <c r="BI1993" s="25"/>
      <c r="BJ1993" s="25"/>
      <c r="BK1993" s="25"/>
    </row>
    <row r="1994" spans="60:63" ht="14.25" x14ac:dyDescent="0.2">
      <c r="BH1994" s="25"/>
      <c r="BI1994" s="25"/>
      <c r="BJ1994" s="25"/>
      <c r="BK1994" s="25"/>
    </row>
    <row r="1995" spans="60:63" ht="14.25" x14ac:dyDescent="0.2">
      <c r="BH1995" s="25"/>
      <c r="BI1995" s="25"/>
      <c r="BJ1995" s="25"/>
      <c r="BK1995" s="25"/>
    </row>
    <row r="1996" spans="60:63" ht="14.25" x14ac:dyDescent="0.2">
      <c r="BH1996" s="25"/>
      <c r="BI1996" s="25"/>
      <c r="BJ1996" s="25"/>
      <c r="BK1996" s="25"/>
    </row>
    <row r="1997" spans="60:63" ht="14.25" x14ac:dyDescent="0.2">
      <c r="BH1997" s="25"/>
      <c r="BI1997" s="25"/>
      <c r="BJ1997" s="25"/>
      <c r="BK1997" s="25"/>
    </row>
    <row r="1998" spans="60:63" ht="14.25" x14ac:dyDescent="0.2">
      <c r="BH1998" s="25"/>
      <c r="BI1998" s="25"/>
      <c r="BJ1998" s="25"/>
      <c r="BK1998" s="25"/>
    </row>
    <row r="1999" spans="60:63" ht="14.25" x14ac:dyDescent="0.2">
      <c r="BH1999" s="25"/>
      <c r="BI1999" s="25"/>
      <c r="BJ1999" s="25"/>
      <c r="BK1999" s="25"/>
    </row>
    <row r="2000" spans="60:63" ht="14.25" x14ac:dyDescent="0.2">
      <c r="BH2000" s="25"/>
      <c r="BI2000" s="25"/>
      <c r="BJ2000" s="25"/>
      <c r="BK2000" s="25"/>
    </row>
    <row r="2001" spans="60:63" ht="14.25" x14ac:dyDescent="0.2">
      <c r="BH2001" s="25"/>
      <c r="BI2001" s="25"/>
      <c r="BJ2001" s="25"/>
      <c r="BK2001" s="25"/>
    </row>
    <row r="2002" spans="60:63" ht="14.25" x14ac:dyDescent="0.2">
      <c r="BH2002" s="25"/>
      <c r="BI2002" s="25"/>
      <c r="BJ2002" s="25"/>
      <c r="BK2002" s="25"/>
    </row>
    <row r="2003" spans="60:63" ht="14.25" x14ac:dyDescent="0.2">
      <c r="BH2003" s="25"/>
      <c r="BI2003" s="25"/>
      <c r="BJ2003" s="25"/>
      <c r="BK2003" s="25"/>
    </row>
    <row r="2004" spans="60:63" ht="14.25" x14ac:dyDescent="0.2">
      <c r="BH2004" s="25"/>
      <c r="BI2004" s="25"/>
      <c r="BJ2004" s="25"/>
      <c r="BK2004" s="25"/>
    </row>
    <row r="2005" spans="60:63" ht="14.25" x14ac:dyDescent="0.2">
      <c r="BH2005" s="25"/>
      <c r="BI2005" s="25"/>
      <c r="BJ2005" s="25"/>
      <c r="BK2005" s="25"/>
    </row>
    <row r="2006" spans="60:63" ht="14.25" x14ac:dyDescent="0.2">
      <c r="BH2006" s="25"/>
      <c r="BI2006" s="25"/>
      <c r="BJ2006" s="25"/>
      <c r="BK2006" s="25"/>
    </row>
    <row r="2007" spans="60:63" ht="14.25" x14ac:dyDescent="0.2">
      <c r="BH2007" s="25"/>
      <c r="BI2007" s="25"/>
      <c r="BJ2007" s="25"/>
      <c r="BK2007" s="25"/>
    </row>
    <row r="2008" spans="60:63" ht="14.25" x14ac:dyDescent="0.2">
      <c r="BH2008" s="25"/>
      <c r="BI2008" s="25"/>
      <c r="BJ2008" s="25"/>
      <c r="BK2008" s="25"/>
    </row>
    <row r="2009" spans="60:63" ht="14.25" x14ac:dyDescent="0.2">
      <c r="BH2009" s="25"/>
      <c r="BI2009" s="25"/>
      <c r="BJ2009" s="25"/>
      <c r="BK2009" s="25"/>
    </row>
    <row r="2010" spans="60:63" ht="14.25" x14ac:dyDescent="0.2">
      <c r="BH2010" s="25"/>
      <c r="BI2010" s="25"/>
      <c r="BJ2010" s="25"/>
      <c r="BK2010" s="25"/>
    </row>
    <row r="2011" spans="60:63" ht="14.25" x14ac:dyDescent="0.2">
      <c r="BH2011" s="25"/>
      <c r="BI2011" s="25"/>
      <c r="BJ2011" s="25"/>
      <c r="BK2011" s="25"/>
    </row>
    <row r="2012" spans="60:63" ht="14.25" x14ac:dyDescent="0.2">
      <c r="BH2012" s="25"/>
      <c r="BI2012" s="25"/>
      <c r="BJ2012" s="25"/>
      <c r="BK2012" s="25"/>
    </row>
    <row r="2013" spans="60:63" ht="14.25" x14ac:dyDescent="0.2">
      <c r="BH2013" s="25"/>
      <c r="BI2013" s="25"/>
      <c r="BJ2013" s="25"/>
      <c r="BK2013" s="25"/>
    </row>
    <row r="2014" spans="60:63" ht="14.25" x14ac:dyDescent="0.2">
      <c r="BH2014" s="25"/>
      <c r="BI2014" s="25"/>
      <c r="BJ2014" s="25"/>
      <c r="BK2014" s="25"/>
    </row>
    <row r="2015" spans="60:63" ht="14.25" x14ac:dyDescent="0.2">
      <c r="BH2015" s="25"/>
      <c r="BI2015" s="25"/>
      <c r="BJ2015" s="25"/>
      <c r="BK2015" s="25"/>
    </row>
    <row r="2016" spans="60:63" ht="14.25" x14ac:dyDescent="0.2">
      <c r="BH2016" s="25"/>
      <c r="BI2016" s="25"/>
      <c r="BJ2016" s="25"/>
      <c r="BK2016" s="25"/>
    </row>
    <row r="2017" spans="60:63" ht="14.25" x14ac:dyDescent="0.2">
      <c r="BH2017" s="25"/>
      <c r="BI2017" s="25"/>
      <c r="BJ2017" s="25"/>
      <c r="BK2017" s="25"/>
    </row>
    <row r="2018" spans="60:63" ht="14.25" x14ac:dyDescent="0.2">
      <c r="BH2018" s="25"/>
      <c r="BI2018" s="25"/>
      <c r="BJ2018" s="25"/>
      <c r="BK2018" s="25"/>
    </row>
    <row r="2019" spans="60:63" ht="14.25" x14ac:dyDescent="0.2">
      <c r="BH2019" s="25"/>
      <c r="BI2019" s="25"/>
      <c r="BJ2019" s="25"/>
      <c r="BK2019" s="25"/>
    </row>
    <row r="2020" spans="60:63" ht="14.25" x14ac:dyDescent="0.2">
      <c r="BH2020" s="25"/>
      <c r="BI2020" s="25"/>
      <c r="BJ2020" s="25"/>
      <c r="BK2020" s="25"/>
    </row>
    <row r="2021" spans="60:63" ht="14.25" x14ac:dyDescent="0.2">
      <c r="BH2021" s="25"/>
      <c r="BI2021" s="25"/>
      <c r="BJ2021" s="25"/>
      <c r="BK2021" s="25"/>
    </row>
    <row r="2022" spans="60:63" ht="14.25" x14ac:dyDescent="0.2">
      <c r="BH2022" s="25"/>
      <c r="BI2022" s="25"/>
      <c r="BJ2022" s="25"/>
      <c r="BK2022" s="25"/>
    </row>
    <row r="2023" spans="60:63" ht="14.25" x14ac:dyDescent="0.2">
      <c r="BH2023" s="25"/>
      <c r="BI2023" s="25"/>
      <c r="BJ2023" s="25"/>
      <c r="BK2023" s="25"/>
    </row>
    <row r="2024" spans="60:63" ht="14.25" x14ac:dyDescent="0.2">
      <c r="BH2024" s="25"/>
      <c r="BI2024" s="25"/>
      <c r="BJ2024" s="25"/>
      <c r="BK2024" s="25"/>
    </row>
    <row r="2025" spans="60:63" ht="14.25" x14ac:dyDescent="0.2">
      <c r="BH2025" s="25"/>
      <c r="BI2025" s="25"/>
      <c r="BJ2025" s="25"/>
      <c r="BK2025" s="25"/>
    </row>
    <row r="2026" spans="60:63" ht="14.25" x14ac:dyDescent="0.2">
      <c r="BH2026" s="25"/>
      <c r="BI2026" s="25"/>
      <c r="BJ2026" s="25"/>
      <c r="BK2026" s="25"/>
    </row>
    <row r="2027" spans="60:63" ht="14.25" x14ac:dyDescent="0.2">
      <c r="BH2027" s="25"/>
      <c r="BI2027" s="25"/>
      <c r="BJ2027" s="25"/>
      <c r="BK2027" s="25"/>
    </row>
    <row r="2028" spans="60:63" ht="14.25" x14ac:dyDescent="0.2">
      <c r="BH2028" s="25"/>
      <c r="BI2028" s="25"/>
      <c r="BJ2028" s="25"/>
      <c r="BK2028" s="25"/>
    </row>
    <row r="2029" spans="60:63" ht="14.25" x14ac:dyDescent="0.2">
      <c r="BH2029" s="25"/>
      <c r="BI2029" s="25"/>
      <c r="BJ2029" s="25"/>
      <c r="BK2029" s="25"/>
    </row>
    <row r="2030" spans="60:63" ht="14.25" x14ac:dyDescent="0.2">
      <c r="BH2030" s="25"/>
      <c r="BI2030" s="25"/>
      <c r="BJ2030" s="25"/>
      <c r="BK2030" s="25"/>
    </row>
    <row r="2031" spans="60:63" ht="14.25" x14ac:dyDescent="0.2">
      <c r="BH2031" s="25"/>
      <c r="BI2031" s="25"/>
      <c r="BJ2031" s="25"/>
      <c r="BK2031" s="25"/>
    </row>
    <row r="2032" spans="60:63" ht="14.25" x14ac:dyDescent="0.2">
      <c r="BH2032" s="25"/>
      <c r="BI2032" s="25"/>
      <c r="BJ2032" s="25"/>
      <c r="BK2032" s="25"/>
    </row>
    <row r="2033" spans="60:63" ht="14.25" x14ac:dyDescent="0.2">
      <c r="BH2033" s="25"/>
      <c r="BI2033" s="25"/>
      <c r="BJ2033" s="25"/>
      <c r="BK2033" s="25"/>
    </row>
    <row r="2034" spans="60:63" ht="14.25" x14ac:dyDescent="0.2">
      <c r="BH2034" s="25"/>
      <c r="BI2034" s="25"/>
      <c r="BJ2034" s="25"/>
      <c r="BK2034" s="25"/>
    </row>
    <row r="2035" spans="60:63" ht="14.25" x14ac:dyDescent="0.2">
      <c r="BH2035" s="25"/>
      <c r="BI2035" s="25"/>
      <c r="BJ2035" s="25"/>
      <c r="BK2035" s="25"/>
    </row>
    <row r="2036" spans="60:63" ht="14.25" x14ac:dyDescent="0.2">
      <c r="BH2036" s="25"/>
      <c r="BI2036" s="25"/>
      <c r="BJ2036" s="25"/>
      <c r="BK2036" s="25"/>
    </row>
    <row r="2037" spans="60:63" ht="14.25" x14ac:dyDescent="0.2">
      <c r="BH2037" s="25"/>
      <c r="BI2037" s="25"/>
      <c r="BJ2037" s="25"/>
      <c r="BK2037" s="25"/>
    </row>
    <row r="2038" spans="60:63" ht="14.25" x14ac:dyDescent="0.2">
      <c r="BH2038" s="25"/>
      <c r="BI2038" s="25"/>
      <c r="BJ2038" s="25"/>
      <c r="BK2038" s="25"/>
    </row>
    <row r="2039" spans="60:63" ht="14.25" x14ac:dyDescent="0.2">
      <c r="BH2039" s="25"/>
      <c r="BI2039" s="25"/>
      <c r="BJ2039" s="25"/>
      <c r="BK2039" s="25"/>
    </row>
    <row r="2040" spans="60:63" ht="14.25" x14ac:dyDescent="0.2">
      <c r="BH2040" s="25"/>
      <c r="BI2040" s="25"/>
      <c r="BJ2040" s="25"/>
      <c r="BK2040" s="25"/>
    </row>
    <row r="2041" spans="60:63" ht="14.25" x14ac:dyDescent="0.2">
      <c r="BH2041" s="25"/>
      <c r="BI2041" s="25"/>
      <c r="BJ2041" s="25"/>
      <c r="BK2041" s="25"/>
    </row>
    <row r="2042" spans="60:63" ht="14.25" x14ac:dyDescent="0.2">
      <c r="BH2042" s="25"/>
      <c r="BI2042" s="25"/>
      <c r="BJ2042" s="25"/>
      <c r="BK2042" s="25"/>
    </row>
    <row r="2043" spans="60:63" ht="14.25" x14ac:dyDescent="0.2">
      <c r="BH2043" s="25"/>
      <c r="BI2043" s="25"/>
      <c r="BJ2043" s="25"/>
      <c r="BK2043" s="25"/>
    </row>
    <row r="2044" spans="60:63" ht="14.25" x14ac:dyDescent="0.2">
      <c r="BH2044" s="25"/>
      <c r="BI2044" s="25"/>
      <c r="BJ2044" s="25"/>
      <c r="BK2044" s="25"/>
    </row>
    <row r="2045" spans="60:63" ht="14.25" x14ac:dyDescent="0.2">
      <c r="BH2045" s="25"/>
      <c r="BI2045" s="25"/>
      <c r="BJ2045" s="25"/>
      <c r="BK2045" s="25"/>
    </row>
    <row r="2046" spans="60:63" ht="14.25" x14ac:dyDescent="0.2">
      <c r="BH2046" s="25"/>
      <c r="BI2046" s="25"/>
      <c r="BJ2046" s="25"/>
      <c r="BK2046" s="25"/>
    </row>
    <row r="2047" spans="60:63" ht="14.25" x14ac:dyDescent="0.2">
      <c r="BH2047" s="25"/>
      <c r="BI2047" s="25"/>
      <c r="BJ2047" s="25"/>
      <c r="BK2047" s="25"/>
    </row>
    <row r="2048" spans="60:63" ht="14.25" x14ac:dyDescent="0.2">
      <c r="BH2048" s="25"/>
      <c r="BI2048" s="25"/>
      <c r="BJ2048" s="25"/>
      <c r="BK2048" s="25"/>
    </row>
    <row r="2049" spans="60:63" ht="14.25" x14ac:dyDescent="0.2">
      <c r="BH2049" s="25"/>
      <c r="BI2049" s="25"/>
      <c r="BJ2049" s="25"/>
      <c r="BK2049" s="25"/>
    </row>
    <row r="2050" spans="60:63" ht="14.25" x14ac:dyDescent="0.2">
      <c r="BH2050" s="25"/>
      <c r="BI2050" s="25"/>
      <c r="BJ2050" s="25"/>
      <c r="BK2050" s="25"/>
    </row>
    <row r="2051" spans="60:63" ht="14.25" x14ac:dyDescent="0.2">
      <c r="BH2051" s="25"/>
      <c r="BI2051" s="25"/>
      <c r="BJ2051" s="25"/>
      <c r="BK2051" s="25"/>
    </row>
    <row r="2052" spans="60:63" ht="14.25" x14ac:dyDescent="0.2">
      <c r="BH2052" s="25"/>
      <c r="BI2052" s="25"/>
      <c r="BJ2052" s="25"/>
      <c r="BK2052" s="25"/>
    </row>
    <row r="2053" spans="60:63" ht="14.25" x14ac:dyDescent="0.2">
      <c r="BH2053" s="25"/>
      <c r="BI2053" s="25"/>
      <c r="BJ2053" s="25"/>
      <c r="BK2053" s="25"/>
    </row>
    <row r="2054" spans="60:63" ht="14.25" x14ac:dyDescent="0.2">
      <c r="BH2054" s="25"/>
      <c r="BI2054" s="25"/>
      <c r="BJ2054" s="25"/>
      <c r="BK2054" s="25"/>
    </row>
    <row r="2055" spans="60:63" ht="14.25" x14ac:dyDescent="0.2">
      <c r="BH2055" s="25"/>
      <c r="BI2055" s="25"/>
      <c r="BJ2055" s="25"/>
      <c r="BK2055" s="25"/>
    </row>
    <row r="2056" spans="60:63" ht="14.25" x14ac:dyDescent="0.2">
      <c r="BH2056" s="25"/>
      <c r="BI2056" s="25"/>
      <c r="BJ2056" s="25"/>
      <c r="BK2056" s="25"/>
    </row>
    <row r="2057" spans="60:63" ht="14.25" x14ac:dyDescent="0.2">
      <c r="BH2057" s="25"/>
      <c r="BI2057" s="25"/>
      <c r="BJ2057" s="25"/>
      <c r="BK2057" s="25"/>
    </row>
    <row r="2058" spans="60:63" ht="14.25" x14ac:dyDescent="0.2">
      <c r="BH2058" s="25"/>
      <c r="BI2058" s="25"/>
      <c r="BJ2058" s="25"/>
      <c r="BK2058" s="25"/>
    </row>
    <row r="2059" spans="60:63" ht="14.25" x14ac:dyDescent="0.2">
      <c r="BH2059" s="25"/>
      <c r="BI2059" s="25"/>
      <c r="BJ2059" s="25"/>
      <c r="BK2059" s="25"/>
    </row>
    <row r="2060" spans="60:63" ht="14.25" x14ac:dyDescent="0.2">
      <c r="BH2060" s="25"/>
      <c r="BI2060" s="25"/>
      <c r="BJ2060" s="25"/>
      <c r="BK2060" s="25"/>
    </row>
    <row r="2061" spans="60:63" ht="14.25" x14ac:dyDescent="0.2">
      <c r="BH2061" s="25"/>
      <c r="BI2061" s="25"/>
      <c r="BJ2061" s="25"/>
      <c r="BK2061" s="25"/>
    </row>
    <row r="2062" spans="60:63" ht="14.25" x14ac:dyDescent="0.2">
      <c r="BH2062" s="25"/>
      <c r="BI2062" s="25"/>
      <c r="BJ2062" s="25"/>
      <c r="BK2062" s="25"/>
    </row>
    <row r="2063" spans="60:63" ht="14.25" x14ac:dyDescent="0.2">
      <c r="BH2063" s="25"/>
      <c r="BI2063" s="25"/>
      <c r="BJ2063" s="25"/>
      <c r="BK2063" s="25"/>
    </row>
    <row r="2064" spans="60:63" ht="14.25" x14ac:dyDescent="0.2">
      <c r="BH2064" s="25"/>
      <c r="BI2064" s="25"/>
      <c r="BJ2064" s="25"/>
      <c r="BK2064" s="25"/>
    </row>
    <row r="2065" spans="60:63" ht="14.25" x14ac:dyDescent="0.2">
      <c r="BH2065" s="25"/>
      <c r="BI2065" s="25"/>
      <c r="BJ2065" s="25"/>
      <c r="BK2065" s="25"/>
    </row>
    <row r="2066" spans="60:63" ht="14.25" x14ac:dyDescent="0.2">
      <c r="BH2066" s="25"/>
      <c r="BI2066" s="25"/>
      <c r="BJ2066" s="25"/>
      <c r="BK2066" s="25"/>
    </row>
    <row r="2067" spans="60:63" ht="14.25" x14ac:dyDescent="0.2">
      <c r="BH2067" s="25"/>
      <c r="BI2067" s="25"/>
      <c r="BJ2067" s="25"/>
      <c r="BK2067" s="25"/>
    </row>
    <row r="2068" spans="60:63" ht="14.25" x14ac:dyDescent="0.2">
      <c r="BH2068" s="25"/>
      <c r="BI2068" s="25"/>
      <c r="BJ2068" s="25"/>
      <c r="BK2068" s="25"/>
    </row>
    <row r="2069" spans="60:63" ht="14.25" x14ac:dyDescent="0.2">
      <c r="BH2069" s="25"/>
      <c r="BI2069" s="25"/>
      <c r="BJ2069" s="25"/>
      <c r="BK2069" s="25"/>
    </row>
    <row r="2070" spans="60:63" ht="14.25" x14ac:dyDescent="0.2">
      <c r="BH2070" s="25"/>
      <c r="BI2070" s="25"/>
      <c r="BJ2070" s="25"/>
      <c r="BK2070" s="25"/>
    </row>
    <row r="2071" spans="60:63" ht="14.25" x14ac:dyDescent="0.2">
      <c r="BH2071" s="25"/>
      <c r="BI2071" s="25"/>
      <c r="BJ2071" s="25"/>
      <c r="BK2071" s="25"/>
    </row>
    <row r="2072" spans="60:63" ht="14.25" x14ac:dyDescent="0.2">
      <c r="BH2072" s="25"/>
      <c r="BI2072" s="25"/>
      <c r="BJ2072" s="25"/>
      <c r="BK2072" s="25"/>
    </row>
    <row r="2073" spans="60:63" ht="14.25" x14ac:dyDescent="0.2">
      <c r="BH2073" s="25"/>
      <c r="BI2073" s="25"/>
      <c r="BJ2073" s="25"/>
      <c r="BK2073" s="25"/>
    </row>
    <row r="2074" spans="60:63" ht="14.25" x14ac:dyDescent="0.2">
      <c r="BH2074" s="25"/>
      <c r="BI2074" s="25"/>
      <c r="BJ2074" s="25"/>
      <c r="BK2074" s="25"/>
    </row>
    <row r="2075" spans="60:63" ht="14.25" x14ac:dyDescent="0.2">
      <c r="BH2075" s="25"/>
      <c r="BI2075" s="25"/>
      <c r="BJ2075" s="25"/>
      <c r="BK2075" s="25"/>
    </row>
    <row r="2076" spans="60:63" ht="14.25" x14ac:dyDescent="0.2">
      <c r="BH2076" s="25"/>
      <c r="BI2076" s="25"/>
      <c r="BJ2076" s="25"/>
      <c r="BK2076" s="25"/>
    </row>
    <row r="2077" spans="60:63" ht="14.25" x14ac:dyDescent="0.2">
      <c r="BH2077" s="25"/>
      <c r="BI2077" s="25"/>
      <c r="BJ2077" s="25"/>
      <c r="BK2077" s="25"/>
    </row>
    <row r="2078" spans="60:63" ht="14.25" x14ac:dyDescent="0.2">
      <c r="BH2078" s="25"/>
      <c r="BI2078" s="25"/>
      <c r="BJ2078" s="25"/>
      <c r="BK2078" s="25"/>
    </row>
    <row r="2079" spans="60:63" ht="14.25" x14ac:dyDescent="0.2">
      <c r="BH2079" s="25"/>
      <c r="BI2079" s="25"/>
      <c r="BJ2079" s="25"/>
      <c r="BK2079" s="25"/>
    </row>
    <row r="2080" spans="60:63" ht="14.25" x14ac:dyDescent="0.2">
      <c r="BH2080" s="25"/>
      <c r="BI2080" s="25"/>
      <c r="BJ2080" s="25"/>
      <c r="BK2080" s="25"/>
    </row>
    <row r="2081" spans="60:63" ht="14.25" x14ac:dyDescent="0.2">
      <c r="BH2081" s="25"/>
      <c r="BI2081" s="25"/>
      <c r="BJ2081" s="25"/>
      <c r="BK2081" s="25"/>
    </row>
    <row r="2082" spans="60:63" ht="14.25" x14ac:dyDescent="0.2">
      <c r="BH2082" s="25"/>
      <c r="BI2082" s="25"/>
      <c r="BJ2082" s="25"/>
      <c r="BK2082" s="25"/>
    </row>
    <row r="2083" spans="60:63" ht="14.25" x14ac:dyDescent="0.2">
      <c r="BH2083" s="25"/>
      <c r="BI2083" s="25"/>
      <c r="BJ2083" s="25"/>
      <c r="BK2083" s="25"/>
    </row>
    <row r="2084" spans="60:63" ht="14.25" x14ac:dyDescent="0.2">
      <c r="BH2084" s="25"/>
      <c r="BI2084" s="25"/>
      <c r="BJ2084" s="25"/>
      <c r="BK2084" s="25"/>
    </row>
    <row r="2085" spans="60:63" ht="14.25" x14ac:dyDescent="0.2">
      <c r="BH2085" s="25"/>
      <c r="BI2085" s="25"/>
      <c r="BJ2085" s="25"/>
      <c r="BK2085" s="25"/>
    </row>
    <row r="2086" spans="60:63" ht="14.25" x14ac:dyDescent="0.2">
      <c r="BH2086" s="25"/>
      <c r="BI2086" s="25"/>
      <c r="BJ2086" s="25"/>
      <c r="BK2086" s="25"/>
    </row>
    <row r="2087" spans="60:63" ht="14.25" x14ac:dyDescent="0.2">
      <c r="BH2087" s="25"/>
      <c r="BI2087" s="25"/>
      <c r="BJ2087" s="25"/>
      <c r="BK2087" s="25"/>
    </row>
    <row r="2088" spans="60:63" ht="14.25" x14ac:dyDescent="0.2">
      <c r="BH2088" s="25"/>
      <c r="BI2088" s="25"/>
      <c r="BJ2088" s="25"/>
      <c r="BK2088" s="25"/>
    </row>
    <row r="2089" spans="60:63" ht="14.25" x14ac:dyDescent="0.2">
      <c r="BH2089" s="25"/>
      <c r="BI2089" s="25"/>
      <c r="BJ2089" s="25"/>
      <c r="BK2089" s="25"/>
    </row>
    <row r="2090" spans="60:63" ht="14.25" x14ac:dyDescent="0.2">
      <c r="BH2090" s="25"/>
      <c r="BI2090" s="25"/>
      <c r="BJ2090" s="25"/>
      <c r="BK2090" s="25"/>
    </row>
    <row r="2091" spans="60:63" ht="14.25" x14ac:dyDescent="0.2">
      <c r="BH2091" s="25"/>
      <c r="BI2091" s="25"/>
      <c r="BJ2091" s="25"/>
      <c r="BK2091" s="25"/>
    </row>
    <row r="2092" spans="60:63" ht="14.25" x14ac:dyDescent="0.2">
      <c r="BH2092" s="25"/>
      <c r="BI2092" s="25"/>
      <c r="BJ2092" s="25"/>
      <c r="BK2092" s="25"/>
    </row>
    <row r="2093" spans="60:63" ht="14.25" x14ac:dyDescent="0.2">
      <c r="BH2093" s="25"/>
      <c r="BI2093" s="25"/>
      <c r="BJ2093" s="25"/>
      <c r="BK2093" s="25"/>
    </row>
    <row r="2094" spans="60:63" ht="14.25" x14ac:dyDescent="0.2">
      <c r="BH2094" s="25"/>
      <c r="BI2094" s="25"/>
      <c r="BJ2094" s="25"/>
      <c r="BK2094" s="25"/>
    </row>
    <row r="2095" spans="60:63" ht="14.25" x14ac:dyDescent="0.2">
      <c r="BH2095" s="25"/>
      <c r="BI2095" s="25"/>
      <c r="BJ2095" s="25"/>
      <c r="BK2095" s="25"/>
    </row>
    <row r="2096" spans="60:63" ht="14.25" x14ac:dyDescent="0.2">
      <c r="BH2096" s="25"/>
      <c r="BI2096" s="25"/>
      <c r="BJ2096" s="25"/>
      <c r="BK2096" s="25"/>
    </row>
    <row r="2097" spans="60:63" ht="14.25" x14ac:dyDescent="0.2">
      <c r="BH2097" s="25"/>
      <c r="BI2097" s="25"/>
      <c r="BJ2097" s="25"/>
      <c r="BK2097" s="25"/>
    </row>
    <row r="2098" spans="60:63" ht="14.25" x14ac:dyDescent="0.2">
      <c r="BH2098" s="25"/>
      <c r="BI2098" s="25"/>
      <c r="BJ2098" s="25"/>
      <c r="BK2098" s="25"/>
    </row>
    <row r="2099" spans="60:63" ht="14.25" x14ac:dyDescent="0.2">
      <c r="BH2099" s="25"/>
      <c r="BI2099" s="25"/>
      <c r="BJ2099" s="25"/>
      <c r="BK2099" s="25"/>
    </row>
    <row r="2100" spans="60:63" ht="14.25" x14ac:dyDescent="0.2">
      <c r="BH2100" s="25"/>
      <c r="BI2100" s="25"/>
      <c r="BJ2100" s="25"/>
      <c r="BK2100" s="25"/>
    </row>
    <row r="2101" spans="60:63" ht="14.25" x14ac:dyDescent="0.2">
      <c r="BH2101" s="25"/>
      <c r="BI2101" s="25"/>
      <c r="BJ2101" s="25"/>
      <c r="BK2101" s="25"/>
    </row>
    <row r="2102" spans="60:63" ht="14.25" x14ac:dyDescent="0.2">
      <c r="BH2102" s="25"/>
      <c r="BI2102" s="25"/>
      <c r="BJ2102" s="25"/>
      <c r="BK2102" s="25"/>
    </row>
    <row r="2103" spans="60:63" ht="14.25" x14ac:dyDescent="0.2">
      <c r="BH2103" s="25"/>
      <c r="BI2103" s="25"/>
      <c r="BJ2103" s="25"/>
      <c r="BK2103" s="25"/>
    </row>
    <row r="2104" spans="60:63" ht="14.25" x14ac:dyDescent="0.2">
      <c r="BH2104" s="25"/>
      <c r="BI2104" s="25"/>
      <c r="BJ2104" s="25"/>
      <c r="BK2104" s="25"/>
    </row>
    <row r="2105" spans="60:63" ht="14.25" x14ac:dyDescent="0.2">
      <c r="BH2105" s="25"/>
      <c r="BI2105" s="25"/>
      <c r="BJ2105" s="25"/>
      <c r="BK2105" s="25"/>
    </row>
    <row r="2106" spans="60:63" ht="14.25" x14ac:dyDescent="0.2">
      <c r="BH2106" s="25"/>
      <c r="BI2106" s="25"/>
      <c r="BJ2106" s="25"/>
      <c r="BK2106" s="25"/>
    </row>
    <row r="2107" spans="60:63" ht="14.25" x14ac:dyDescent="0.2">
      <c r="BH2107" s="25"/>
      <c r="BI2107" s="25"/>
      <c r="BJ2107" s="25"/>
      <c r="BK2107" s="25"/>
    </row>
    <row r="2108" spans="60:63" ht="14.25" x14ac:dyDescent="0.2">
      <c r="BH2108" s="25"/>
      <c r="BI2108" s="25"/>
      <c r="BJ2108" s="25"/>
      <c r="BK2108" s="25"/>
    </row>
    <row r="2109" spans="60:63" ht="14.25" x14ac:dyDescent="0.2">
      <c r="BH2109" s="25"/>
      <c r="BI2109" s="25"/>
      <c r="BJ2109" s="25"/>
      <c r="BK2109" s="25"/>
    </row>
    <row r="2110" spans="60:63" ht="14.25" x14ac:dyDescent="0.2">
      <c r="BH2110" s="25"/>
      <c r="BI2110" s="25"/>
      <c r="BJ2110" s="25"/>
      <c r="BK2110" s="25"/>
    </row>
    <row r="2111" spans="60:63" ht="14.25" x14ac:dyDescent="0.2">
      <c r="BH2111" s="25"/>
      <c r="BI2111" s="25"/>
      <c r="BJ2111" s="25"/>
      <c r="BK2111" s="25"/>
    </row>
    <row r="2112" spans="60:63" ht="14.25" x14ac:dyDescent="0.2">
      <c r="BH2112" s="25"/>
      <c r="BI2112" s="25"/>
      <c r="BJ2112" s="25"/>
      <c r="BK2112" s="25"/>
    </row>
    <row r="2113" spans="60:63" ht="14.25" x14ac:dyDescent="0.2">
      <c r="BH2113" s="25"/>
      <c r="BI2113" s="25"/>
      <c r="BJ2113" s="25"/>
      <c r="BK2113" s="25"/>
    </row>
    <row r="2114" spans="60:63" ht="14.25" x14ac:dyDescent="0.2">
      <c r="BH2114" s="25"/>
      <c r="BI2114" s="25"/>
      <c r="BJ2114" s="25"/>
      <c r="BK2114" s="25"/>
    </row>
    <row r="2115" spans="60:63" ht="14.25" x14ac:dyDescent="0.2">
      <c r="BH2115" s="25"/>
      <c r="BI2115" s="25"/>
      <c r="BJ2115" s="25"/>
      <c r="BK2115" s="25"/>
    </row>
    <row r="2116" spans="60:63" ht="14.25" x14ac:dyDescent="0.2">
      <c r="BH2116" s="25"/>
      <c r="BI2116" s="25"/>
      <c r="BJ2116" s="25"/>
      <c r="BK2116" s="25"/>
    </row>
    <row r="2117" spans="60:63" ht="14.25" x14ac:dyDescent="0.2">
      <c r="BH2117" s="25"/>
      <c r="BI2117" s="25"/>
      <c r="BJ2117" s="25"/>
      <c r="BK2117" s="25"/>
    </row>
    <row r="2118" spans="60:63" ht="14.25" x14ac:dyDescent="0.2">
      <c r="BH2118" s="25"/>
      <c r="BI2118" s="25"/>
      <c r="BJ2118" s="25"/>
      <c r="BK2118" s="25"/>
    </row>
    <row r="2119" spans="60:63" ht="14.25" x14ac:dyDescent="0.2">
      <c r="BH2119" s="25"/>
      <c r="BI2119" s="25"/>
      <c r="BJ2119" s="25"/>
      <c r="BK2119" s="25"/>
    </row>
    <row r="2120" spans="60:63" ht="14.25" x14ac:dyDescent="0.2">
      <c r="BH2120" s="25"/>
      <c r="BI2120" s="25"/>
      <c r="BJ2120" s="25"/>
      <c r="BK2120" s="25"/>
    </row>
    <row r="2121" spans="60:63" ht="14.25" x14ac:dyDescent="0.2">
      <c r="BH2121" s="25"/>
      <c r="BI2121" s="25"/>
      <c r="BJ2121" s="25"/>
      <c r="BK2121" s="25"/>
    </row>
    <row r="2122" spans="60:63" ht="14.25" x14ac:dyDescent="0.2">
      <c r="BH2122" s="25"/>
      <c r="BI2122" s="25"/>
      <c r="BJ2122" s="25"/>
      <c r="BK2122" s="25"/>
    </row>
    <row r="2123" spans="60:63" ht="14.25" x14ac:dyDescent="0.2">
      <c r="BH2123" s="25"/>
      <c r="BI2123" s="25"/>
      <c r="BJ2123" s="25"/>
      <c r="BK2123" s="25"/>
    </row>
    <row r="2124" spans="60:63" ht="14.25" x14ac:dyDescent="0.2">
      <c r="BH2124" s="25"/>
      <c r="BI2124" s="25"/>
      <c r="BJ2124" s="25"/>
      <c r="BK2124" s="25"/>
    </row>
    <row r="2125" spans="60:63" ht="14.25" x14ac:dyDescent="0.2">
      <c r="BH2125" s="25"/>
      <c r="BI2125" s="25"/>
      <c r="BJ2125" s="25"/>
      <c r="BK2125" s="25"/>
    </row>
    <row r="2126" spans="60:63" ht="14.25" x14ac:dyDescent="0.2">
      <c r="BH2126" s="25"/>
      <c r="BI2126" s="25"/>
      <c r="BJ2126" s="25"/>
      <c r="BK2126" s="25"/>
    </row>
    <row r="2127" spans="60:63" ht="14.25" x14ac:dyDescent="0.2">
      <c r="BH2127" s="25"/>
      <c r="BI2127" s="25"/>
      <c r="BJ2127" s="25"/>
      <c r="BK2127" s="25"/>
    </row>
    <row r="2128" spans="60:63" ht="14.25" x14ac:dyDescent="0.2">
      <c r="BH2128" s="25"/>
      <c r="BI2128" s="25"/>
      <c r="BJ2128" s="25"/>
      <c r="BK2128" s="25"/>
    </row>
    <row r="2129" spans="60:63" ht="14.25" x14ac:dyDescent="0.2">
      <c r="BH2129" s="25"/>
      <c r="BI2129" s="25"/>
      <c r="BJ2129" s="25"/>
      <c r="BK2129" s="25"/>
    </row>
    <row r="2130" spans="60:63" ht="14.25" x14ac:dyDescent="0.2">
      <c r="BH2130" s="25"/>
      <c r="BI2130" s="25"/>
      <c r="BJ2130" s="25"/>
      <c r="BK2130" s="25"/>
    </row>
    <row r="2131" spans="60:63" ht="14.25" x14ac:dyDescent="0.2">
      <c r="BH2131" s="25"/>
      <c r="BI2131" s="25"/>
      <c r="BJ2131" s="25"/>
      <c r="BK2131" s="25"/>
    </row>
    <row r="2132" spans="60:63" ht="14.25" x14ac:dyDescent="0.2">
      <c r="BH2132" s="25"/>
      <c r="BI2132" s="25"/>
      <c r="BJ2132" s="25"/>
      <c r="BK2132" s="25"/>
    </row>
    <row r="2133" spans="60:63" ht="14.25" x14ac:dyDescent="0.2">
      <c r="BH2133" s="25"/>
      <c r="BI2133" s="25"/>
      <c r="BJ2133" s="25"/>
      <c r="BK2133" s="25"/>
    </row>
    <row r="2134" spans="60:63" ht="14.25" x14ac:dyDescent="0.2">
      <c r="BH2134" s="25"/>
      <c r="BI2134" s="25"/>
      <c r="BJ2134" s="25"/>
      <c r="BK2134" s="25"/>
    </row>
    <row r="2135" spans="60:63" ht="14.25" x14ac:dyDescent="0.2">
      <c r="BH2135" s="25"/>
      <c r="BI2135" s="25"/>
      <c r="BJ2135" s="25"/>
      <c r="BK2135" s="25"/>
    </row>
    <row r="2136" spans="60:63" ht="14.25" x14ac:dyDescent="0.2">
      <c r="BH2136" s="25"/>
      <c r="BI2136" s="25"/>
      <c r="BJ2136" s="25"/>
      <c r="BK2136" s="25"/>
    </row>
    <row r="2137" spans="60:63" ht="14.25" x14ac:dyDescent="0.2">
      <c r="BH2137" s="25"/>
      <c r="BI2137" s="25"/>
      <c r="BJ2137" s="25"/>
      <c r="BK2137" s="25"/>
    </row>
    <row r="2138" spans="60:63" ht="14.25" x14ac:dyDescent="0.2">
      <c r="BH2138" s="25"/>
      <c r="BI2138" s="25"/>
      <c r="BJ2138" s="25"/>
      <c r="BK2138" s="25"/>
    </row>
    <row r="2139" spans="60:63" ht="14.25" x14ac:dyDescent="0.2">
      <c r="BH2139" s="25"/>
      <c r="BI2139" s="25"/>
      <c r="BJ2139" s="25"/>
      <c r="BK2139" s="25"/>
    </row>
    <row r="2140" spans="60:63" ht="14.25" x14ac:dyDescent="0.2">
      <c r="BH2140" s="25"/>
      <c r="BI2140" s="25"/>
      <c r="BJ2140" s="25"/>
      <c r="BK2140" s="25"/>
    </row>
    <row r="2141" spans="60:63" ht="14.25" x14ac:dyDescent="0.2">
      <c r="BH2141" s="25"/>
      <c r="BI2141" s="25"/>
      <c r="BJ2141" s="25"/>
      <c r="BK2141" s="25"/>
    </row>
    <row r="2142" spans="60:63" ht="14.25" x14ac:dyDescent="0.2">
      <c r="BH2142" s="25"/>
      <c r="BI2142" s="25"/>
      <c r="BJ2142" s="25"/>
      <c r="BK2142" s="25"/>
    </row>
    <row r="2143" spans="60:63" ht="14.25" x14ac:dyDescent="0.2">
      <c r="BH2143" s="25"/>
      <c r="BI2143" s="25"/>
      <c r="BJ2143" s="25"/>
      <c r="BK2143" s="25"/>
    </row>
    <row r="2144" spans="60:63" ht="14.25" x14ac:dyDescent="0.2">
      <c r="BH2144" s="25"/>
      <c r="BI2144" s="25"/>
      <c r="BJ2144" s="25"/>
      <c r="BK2144" s="25"/>
    </row>
    <row r="2145" spans="60:63" ht="14.25" x14ac:dyDescent="0.2">
      <c r="BH2145" s="25"/>
      <c r="BI2145" s="25"/>
      <c r="BJ2145" s="25"/>
      <c r="BK2145" s="25"/>
    </row>
    <row r="2146" spans="60:63" ht="14.25" x14ac:dyDescent="0.2">
      <c r="BH2146" s="25"/>
      <c r="BI2146" s="25"/>
      <c r="BJ2146" s="25"/>
      <c r="BK2146" s="25"/>
    </row>
    <row r="2147" spans="60:63" ht="14.25" x14ac:dyDescent="0.2">
      <c r="BH2147" s="25"/>
      <c r="BI2147" s="25"/>
      <c r="BJ2147" s="25"/>
      <c r="BK2147" s="25"/>
    </row>
    <row r="2148" spans="60:63" ht="14.25" x14ac:dyDescent="0.2">
      <c r="BH2148" s="25"/>
      <c r="BI2148" s="25"/>
      <c r="BJ2148" s="25"/>
      <c r="BK2148" s="25"/>
    </row>
    <row r="2149" spans="60:63" ht="14.25" x14ac:dyDescent="0.2">
      <c r="BH2149" s="25"/>
      <c r="BI2149" s="25"/>
      <c r="BJ2149" s="25"/>
      <c r="BK2149" s="25"/>
    </row>
    <row r="2150" spans="60:63" ht="14.25" x14ac:dyDescent="0.2">
      <c r="BH2150" s="25"/>
      <c r="BI2150" s="25"/>
      <c r="BJ2150" s="25"/>
      <c r="BK2150" s="25"/>
    </row>
    <row r="2151" spans="60:63" ht="14.25" x14ac:dyDescent="0.2">
      <c r="BH2151" s="25"/>
      <c r="BI2151" s="25"/>
      <c r="BJ2151" s="25"/>
      <c r="BK2151" s="25"/>
    </row>
    <row r="2152" spans="60:63" ht="14.25" x14ac:dyDescent="0.2">
      <c r="BH2152" s="25"/>
      <c r="BI2152" s="25"/>
      <c r="BJ2152" s="25"/>
      <c r="BK2152" s="25"/>
    </row>
    <row r="2153" spans="60:63" ht="14.25" x14ac:dyDescent="0.2">
      <c r="BH2153" s="25"/>
      <c r="BI2153" s="25"/>
      <c r="BJ2153" s="25"/>
      <c r="BK2153" s="25"/>
    </row>
    <row r="2154" spans="60:63" ht="14.25" x14ac:dyDescent="0.2">
      <c r="BH2154" s="25"/>
      <c r="BI2154" s="25"/>
      <c r="BJ2154" s="25"/>
      <c r="BK2154" s="25"/>
    </row>
    <row r="2155" spans="60:63" ht="14.25" x14ac:dyDescent="0.2">
      <c r="BH2155" s="25"/>
      <c r="BI2155" s="25"/>
      <c r="BJ2155" s="25"/>
      <c r="BK2155" s="25"/>
    </row>
    <row r="2156" spans="60:63" ht="14.25" x14ac:dyDescent="0.2">
      <c r="BH2156" s="25"/>
      <c r="BI2156" s="25"/>
      <c r="BJ2156" s="25"/>
      <c r="BK2156" s="25"/>
    </row>
    <row r="2157" spans="60:63" ht="14.25" x14ac:dyDescent="0.2">
      <c r="BH2157" s="25"/>
      <c r="BI2157" s="25"/>
      <c r="BJ2157" s="25"/>
      <c r="BK2157" s="25"/>
    </row>
    <row r="2158" spans="60:63" ht="14.25" x14ac:dyDescent="0.2">
      <c r="BH2158" s="25"/>
      <c r="BI2158" s="25"/>
      <c r="BJ2158" s="25"/>
      <c r="BK2158" s="25"/>
    </row>
    <row r="2159" spans="60:63" ht="14.25" x14ac:dyDescent="0.2">
      <c r="BH2159" s="25"/>
      <c r="BI2159" s="25"/>
      <c r="BJ2159" s="25"/>
      <c r="BK2159" s="25"/>
    </row>
    <row r="2160" spans="60:63" ht="14.25" x14ac:dyDescent="0.2">
      <c r="BH2160" s="25"/>
      <c r="BI2160" s="25"/>
      <c r="BJ2160" s="25"/>
      <c r="BK2160" s="25"/>
    </row>
    <row r="2161" spans="60:63" ht="14.25" x14ac:dyDescent="0.2">
      <c r="BH2161" s="25"/>
      <c r="BI2161" s="25"/>
      <c r="BJ2161" s="25"/>
      <c r="BK2161" s="25"/>
    </row>
    <row r="2162" spans="60:63" ht="14.25" x14ac:dyDescent="0.2">
      <c r="BH2162" s="25"/>
      <c r="BI2162" s="25"/>
      <c r="BJ2162" s="25"/>
      <c r="BK2162" s="25"/>
    </row>
    <row r="2163" spans="60:63" ht="14.25" x14ac:dyDescent="0.2">
      <c r="BH2163" s="25"/>
      <c r="BI2163" s="25"/>
      <c r="BJ2163" s="25"/>
      <c r="BK2163" s="25"/>
    </row>
    <row r="2164" spans="60:63" ht="14.25" x14ac:dyDescent="0.2">
      <c r="BH2164" s="25"/>
      <c r="BI2164" s="25"/>
      <c r="BJ2164" s="25"/>
      <c r="BK2164" s="25"/>
    </row>
    <row r="2165" spans="60:63" ht="14.25" x14ac:dyDescent="0.2">
      <c r="BH2165" s="25"/>
      <c r="BI2165" s="25"/>
      <c r="BJ2165" s="25"/>
      <c r="BK2165" s="25"/>
    </row>
    <row r="2166" spans="60:63" ht="14.25" x14ac:dyDescent="0.2">
      <c r="BH2166" s="25"/>
      <c r="BI2166" s="25"/>
      <c r="BJ2166" s="25"/>
      <c r="BK2166" s="25"/>
    </row>
    <row r="2167" spans="60:63" ht="14.25" x14ac:dyDescent="0.2">
      <c r="BH2167" s="25"/>
      <c r="BI2167" s="25"/>
      <c r="BJ2167" s="25"/>
      <c r="BK2167" s="25"/>
    </row>
    <row r="2168" spans="60:63" ht="14.25" x14ac:dyDescent="0.2">
      <c r="BH2168" s="25"/>
      <c r="BI2168" s="25"/>
      <c r="BJ2168" s="25"/>
      <c r="BK2168" s="25"/>
    </row>
    <row r="2169" spans="60:63" ht="14.25" x14ac:dyDescent="0.2">
      <c r="BH2169" s="25"/>
      <c r="BI2169" s="25"/>
      <c r="BJ2169" s="25"/>
      <c r="BK2169" s="25"/>
    </row>
    <row r="2170" spans="60:63" ht="14.25" x14ac:dyDescent="0.2">
      <c r="BH2170" s="25"/>
      <c r="BI2170" s="25"/>
      <c r="BJ2170" s="25"/>
      <c r="BK2170" s="25"/>
    </row>
    <row r="2171" spans="60:63" ht="14.25" x14ac:dyDescent="0.2">
      <c r="BH2171" s="25"/>
      <c r="BI2171" s="25"/>
      <c r="BJ2171" s="25"/>
      <c r="BK2171" s="25"/>
    </row>
    <row r="2172" spans="60:63" ht="14.25" x14ac:dyDescent="0.2">
      <c r="BH2172" s="25"/>
      <c r="BI2172" s="25"/>
      <c r="BJ2172" s="25"/>
      <c r="BK2172" s="25"/>
    </row>
    <row r="2173" spans="60:63" ht="14.25" x14ac:dyDescent="0.2">
      <c r="BH2173" s="25"/>
      <c r="BI2173" s="25"/>
      <c r="BJ2173" s="25"/>
      <c r="BK2173" s="25"/>
    </row>
    <row r="2174" spans="60:63" ht="14.25" x14ac:dyDescent="0.2">
      <c r="BH2174" s="25"/>
      <c r="BI2174" s="25"/>
      <c r="BJ2174" s="25"/>
      <c r="BK2174" s="25"/>
    </row>
    <row r="2175" spans="60:63" ht="14.25" x14ac:dyDescent="0.2">
      <c r="BH2175" s="25"/>
      <c r="BI2175" s="25"/>
      <c r="BJ2175" s="25"/>
      <c r="BK2175" s="25"/>
    </row>
    <row r="2176" spans="60:63" ht="14.25" x14ac:dyDescent="0.2">
      <c r="BH2176" s="25"/>
      <c r="BI2176" s="25"/>
      <c r="BJ2176" s="25"/>
      <c r="BK2176" s="25"/>
    </row>
    <row r="2177" spans="60:63" ht="14.25" x14ac:dyDescent="0.2">
      <c r="BH2177" s="25"/>
      <c r="BI2177" s="25"/>
      <c r="BJ2177" s="25"/>
      <c r="BK2177" s="25"/>
    </row>
    <row r="2178" spans="60:63" ht="14.25" x14ac:dyDescent="0.2">
      <c r="BH2178" s="25"/>
      <c r="BI2178" s="25"/>
      <c r="BJ2178" s="25"/>
      <c r="BK2178" s="25"/>
    </row>
    <row r="2179" spans="60:63" ht="14.25" x14ac:dyDescent="0.2">
      <c r="BH2179" s="25"/>
      <c r="BI2179" s="25"/>
      <c r="BJ2179" s="25"/>
      <c r="BK2179" s="25"/>
    </row>
    <row r="2180" spans="60:63" ht="14.25" x14ac:dyDescent="0.2">
      <c r="BH2180" s="25"/>
      <c r="BI2180" s="25"/>
      <c r="BJ2180" s="25"/>
      <c r="BK2180" s="25"/>
    </row>
    <row r="2181" spans="60:63" ht="14.25" x14ac:dyDescent="0.2">
      <c r="BH2181" s="25"/>
      <c r="BI2181" s="25"/>
      <c r="BJ2181" s="25"/>
      <c r="BK2181" s="25"/>
    </row>
    <row r="2182" spans="60:63" ht="14.25" x14ac:dyDescent="0.2">
      <c r="BH2182" s="25"/>
      <c r="BI2182" s="25"/>
      <c r="BJ2182" s="25"/>
      <c r="BK2182" s="25"/>
    </row>
    <row r="2183" spans="60:63" ht="14.25" x14ac:dyDescent="0.2">
      <c r="BH2183" s="25"/>
      <c r="BI2183" s="25"/>
      <c r="BJ2183" s="25"/>
      <c r="BK2183" s="25"/>
    </row>
    <row r="2184" spans="60:63" ht="14.25" x14ac:dyDescent="0.2">
      <c r="BH2184" s="25"/>
      <c r="BI2184" s="25"/>
      <c r="BJ2184" s="25"/>
      <c r="BK2184" s="25"/>
    </row>
    <row r="2185" spans="60:63" ht="14.25" x14ac:dyDescent="0.2">
      <c r="BH2185" s="25"/>
      <c r="BI2185" s="25"/>
      <c r="BJ2185" s="25"/>
      <c r="BK2185" s="25"/>
    </row>
    <row r="2186" spans="60:63" ht="14.25" x14ac:dyDescent="0.2">
      <c r="BH2186" s="25"/>
      <c r="BI2186" s="25"/>
      <c r="BJ2186" s="25"/>
      <c r="BK2186" s="25"/>
    </row>
    <row r="2187" spans="60:63" ht="14.25" x14ac:dyDescent="0.2">
      <c r="BH2187" s="25"/>
      <c r="BI2187" s="25"/>
      <c r="BJ2187" s="25"/>
      <c r="BK2187" s="25"/>
    </row>
    <row r="2188" spans="60:63" ht="14.25" x14ac:dyDescent="0.2">
      <c r="BH2188" s="25"/>
      <c r="BI2188" s="25"/>
      <c r="BJ2188" s="25"/>
      <c r="BK2188" s="25"/>
    </row>
    <row r="2189" spans="60:63" ht="14.25" x14ac:dyDescent="0.2">
      <c r="BH2189" s="25"/>
      <c r="BI2189" s="25"/>
      <c r="BJ2189" s="25"/>
      <c r="BK2189" s="25"/>
    </row>
    <row r="2190" spans="60:63" ht="14.25" x14ac:dyDescent="0.2">
      <c r="BH2190" s="25"/>
      <c r="BI2190" s="25"/>
      <c r="BJ2190" s="25"/>
      <c r="BK2190" s="25"/>
    </row>
    <row r="2191" spans="60:63" ht="14.25" x14ac:dyDescent="0.2">
      <c r="BH2191" s="25"/>
      <c r="BI2191" s="25"/>
      <c r="BJ2191" s="25"/>
      <c r="BK2191" s="25"/>
    </row>
    <row r="2192" spans="60:63" ht="14.25" x14ac:dyDescent="0.2">
      <c r="BH2192" s="25"/>
      <c r="BI2192" s="25"/>
      <c r="BJ2192" s="25"/>
      <c r="BK2192" s="25"/>
    </row>
    <row r="2193" spans="60:63" ht="14.25" x14ac:dyDescent="0.2">
      <c r="BH2193" s="25"/>
      <c r="BI2193" s="25"/>
      <c r="BJ2193" s="25"/>
      <c r="BK2193" s="25"/>
    </row>
    <row r="2194" spans="60:63" ht="14.25" x14ac:dyDescent="0.2">
      <c r="BH2194" s="25"/>
      <c r="BI2194" s="25"/>
      <c r="BJ2194" s="25"/>
      <c r="BK2194" s="25"/>
    </row>
    <row r="2195" spans="60:63" ht="14.25" x14ac:dyDescent="0.2">
      <c r="BH2195" s="25"/>
      <c r="BI2195" s="25"/>
      <c r="BJ2195" s="25"/>
      <c r="BK2195" s="25"/>
    </row>
    <row r="2196" spans="60:63" ht="14.25" x14ac:dyDescent="0.2">
      <c r="BH2196" s="25"/>
      <c r="BI2196" s="25"/>
      <c r="BJ2196" s="25"/>
      <c r="BK2196" s="25"/>
    </row>
    <row r="2197" spans="60:63" ht="14.25" x14ac:dyDescent="0.2">
      <c r="BH2197" s="25"/>
      <c r="BI2197" s="25"/>
      <c r="BJ2197" s="25"/>
      <c r="BK2197" s="25"/>
    </row>
    <row r="2198" spans="60:63" ht="14.25" x14ac:dyDescent="0.2">
      <c r="BH2198" s="25"/>
      <c r="BI2198" s="25"/>
      <c r="BJ2198" s="25"/>
      <c r="BK2198" s="25"/>
    </row>
    <row r="2199" spans="60:63" ht="14.25" x14ac:dyDescent="0.2">
      <c r="BH2199" s="25"/>
      <c r="BI2199" s="25"/>
      <c r="BJ2199" s="25"/>
      <c r="BK2199" s="25"/>
    </row>
    <row r="2200" spans="60:63" ht="14.25" x14ac:dyDescent="0.2">
      <c r="BH2200" s="25"/>
      <c r="BI2200" s="25"/>
      <c r="BJ2200" s="25"/>
      <c r="BK2200" s="25"/>
    </row>
    <row r="2201" spans="60:63" ht="14.25" x14ac:dyDescent="0.2">
      <c r="BH2201" s="25"/>
      <c r="BI2201" s="25"/>
      <c r="BJ2201" s="25"/>
      <c r="BK2201" s="25"/>
    </row>
    <row r="2202" spans="60:63" ht="14.25" x14ac:dyDescent="0.2">
      <c r="BH2202" s="25"/>
      <c r="BI2202" s="25"/>
      <c r="BJ2202" s="25"/>
      <c r="BK2202" s="25"/>
    </row>
    <row r="2203" spans="60:63" ht="14.25" x14ac:dyDescent="0.2">
      <c r="BH2203" s="25"/>
      <c r="BI2203" s="25"/>
      <c r="BJ2203" s="25"/>
      <c r="BK2203" s="25"/>
    </row>
    <row r="2204" spans="60:63" ht="14.25" x14ac:dyDescent="0.2">
      <c r="BH2204" s="25"/>
      <c r="BI2204" s="25"/>
      <c r="BJ2204" s="25"/>
      <c r="BK2204" s="25"/>
    </row>
    <row r="2205" spans="60:63" ht="14.25" x14ac:dyDescent="0.2">
      <c r="BH2205" s="25"/>
      <c r="BI2205" s="25"/>
      <c r="BJ2205" s="25"/>
      <c r="BK2205" s="25"/>
    </row>
    <row r="2206" spans="60:63" ht="14.25" x14ac:dyDescent="0.2">
      <c r="BH2206" s="25"/>
      <c r="BI2206" s="25"/>
      <c r="BJ2206" s="25"/>
      <c r="BK2206" s="25"/>
    </row>
    <row r="2207" spans="60:63" ht="14.25" x14ac:dyDescent="0.2">
      <c r="BH2207" s="25"/>
      <c r="BI2207" s="25"/>
      <c r="BJ2207" s="25"/>
      <c r="BK2207" s="25"/>
    </row>
    <row r="2208" spans="60:63" ht="14.25" x14ac:dyDescent="0.2">
      <c r="BH2208" s="25"/>
      <c r="BI2208" s="25"/>
      <c r="BJ2208" s="25"/>
      <c r="BK2208" s="25"/>
    </row>
    <row r="2209" spans="60:63" ht="14.25" x14ac:dyDescent="0.2">
      <c r="BH2209" s="25"/>
      <c r="BI2209" s="25"/>
      <c r="BJ2209" s="25"/>
      <c r="BK2209" s="25"/>
    </row>
    <row r="2210" spans="60:63" ht="14.25" x14ac:dyDescent="0.2">
      <c r="BH2210" s="25"/>
      <c r="BI2210" s="25"/>
      <c r="BJ2210" s="25"/>
      <c r="BK2210" s="25"/>
    </row>
    <row r="2211" spans="60:63" ht="14.25" x14ac:dyDescent="0.2">
      <c r="BH2211" s="25"/>
      <c r="BI2211" s="25"/>
      <c r="BJ2211" s="25"/>
      <c r="BK2211" s="25"/>
    </row>
    <row r="2212" spans="60:63" ht="14.25" x14ac:dyDescent="0.2">
      <c r="BH2212" s="25"/>
      <c r="BI2212" s="25"/>
      <c r="BJ2212" s="25"/>
      <c r="BK2212" s="25"/>
    </row>
    <row r="2213" spans="60:63" ht="14.25" x14ac:dyDescent="0.2">
      <c r="BH2213" s="25"/>
      <c r="BI2213" s="25"/>
      <c r="BJ2213" s="25"/>
      <c r="BK2213" s="25"/>
    </row>
    <row r="2214" spans="60:63" ht="14.25" x14ac:dyDescent="0.2">
      <c r="BH2214" s="25"/>
      <c r="BI2214" s="25"/>
      <c r="BJ2214" s="25"/>
      <c r="BK2214" s="25"/>
    </row>
    <row r="2215" spans="60:63" ht="14.25" x14ac:dyDescent="0.2">
      <c r="BH2215" s="25"/>
      <c r="BI2215" s="25"/>
      <c r="BJ2215" s="25"/>
      <c r="BK2215" s="25"/>
    </row>
    <row r="2216" spans="60:63" ht="14.25" x14ac:dyDescent="0.2">
      <c r="BH2216" s="25"/>
      <c r="BI2216" s="25"/>
      <c r="BJ2216" s="25"/>
      <c r="BK2216" s="25"/>
    </row>
    <row r="2217" spans="60:63" ht="14.25" x14ac:dyDescent="0.2">
      <c r="BH2217" s="25"/>
      <c r="BI2217" s="25"/>
      <c r="BJ2217" s="25"/>
      <c r="BK2217" s="25"/>
    </row>
    <row r="2218" spans="60:63" ht="14.25" x14ac:dyDescent="0.2">
      <c r="BH2218" s="25"/>
      <c r="BI2218" s="25"/>
      <c r="BJ2218" s="25"/>
      <c r="BK2218" s="25"/>
    </row>
    <row r="2219" spans="60:63" ht="14.25" x14ac:dyDescent="0.2">
      <c r="BH2219" s="25"/>
      <c r="BI2219" s="25"/>
      <c r="BJ2219" s="25"/>
      <c r="BK2219" s="25"/>
    </row>
    <row r="2220" spans="60:63" ht="14.25" x14ac:dyDescent="0.2">
      <c r="BH2220" s="25"/>
      <c r="BI2220" s="25"/>
      <c r="BJ2220" s="25"/>
      <c r="BK2220" s="25"/>
    </row>
    <row r="2221" spans="60:63" ht="14.25" x14ac:dyDescent="0.2">
      <c r="BH2221" s="25"/>
      <c r="BI2221" s="25"/>
      <c r="BJ2221" s="25"/>
      <c r="BK2221" s="25"/>
    </row>
    <row r="2222" spans="60:63" ht="14.25" x14ac:dyDescent="0.2">
      <c r="BH2222" s="25"/>
      <c r="BI2222" s="25"/>
      <c r="BJ2222" s="25"/>
      <c r="BK2222" s="25"/>
    </row>
    <row r="2223" spans="60:63" ht="14.25" x14ac:dyDescent="0.2">
      <c r="BH2223" s="25"/>
      <c r="BI2223" s="25"/>
      <c r="BJ2223" s="25"/>
      <c r="BK2223" s="25"/>
    </row>
    <row r="2224" spans="60:63" ht="14.25" x14ac:dyDescent="0.2">
      <c r="BH2224" s="25"/>
      <c r="BI2224" s="25"/>
      <c r="BJ2224" s="25"/>
      <c r="BK2224" s="25"/>
    </row>
    <row r="2225" spans="60:63" ht="14.25" x14ac:dyDescent="0.2">
      <c r="BH2225" s="25"/>
      <c r="BI2225" s="25"/>
      <c r="BJ2225" s="25"/>
      <c r="BK2225" s="25"/>
    </row>
    <row r="2226" spans="60:63" ht="14.25" x14ac:dyDescent="0.2">
      <c r="BH2226" s="25"/>
      <c r="BI2226" s="25"/>
      <c r="BJ2226" s="25"/>
      <c r="BK2226" s="25"/>
    </row>
    <row r="2227" spans="60:63" ht="14.25" x14ac:dyDescent="0.2">
      <c r="BH2227" s="25"/>
      <c r="BI2227" s="25"/>
      <c r="BJ2227" s="25"/>
      <c r="BK2227" s="25"/>
    </row>
    <row r="2228" spans="60:63" ht="14.25" x14ac:dyDescent="0.2">
      <c r="BH2228" s="25"/>
      <c r="BI2228" s="25"/>
      <c r="BJ2228" s="25"/>
      <c r="BK2228" s="25"/>
    </row>
    <row r="2229" spans="60:63" ht="14.25" x14ac:dyDescent="0.2">
      <c r="BH2229" s="25"/>
      <c r="BI2229" s="25"/>
      <c r="BJ2229" s="25"/>
      <c r="BK2229" s="25"/>
    </row>
    <row r="2230" spans="60:63" ht="14.25" x14ac:dyDescent="0.2">
      <c r="BH2230" s="25"/>
      <c r="BI2230" s="25"/>
      <c r="BJ2230" s="25"/>
      <c r="BK2230" s="25"/>
    </row>
    <row r="2231" spans="60:63" ht="14.25" x14ac:dyDescent="0.2">
      <c r="BH2231" s="25"/>
      <c r="BI2231" s="25"/>
      <c r="BJ2231" s="25"/>
      <c r="BK2231" s="25"/>
    </row>
    <row r="2232" spans="60:63" ht="14.25" x14ac:dyDescent="0.2">
      <c r="BH2232" s="25"/>
      <c r="BI2232" s="25"/>
      <c r="BJ2232" s="25"/>
      <c r="BK2232" s="25"/>
    </row>
    <row r="2233" spans="60:63" ht="14.25" x14ac:dyDescent="0.2">
      <c r="BH2233" s="25"/>
      <c r="BI2233" s="25"/>
      <c r="BJ2233" s="25"/>
      <c r="BK2233" s="25"/>
    </row>
    <row r="2234" spans="60:63" ht="14.25" x14ac:dyDescent="0.2">
      <c r="BH2234" s="25"/>
      <c r="BI2234" s="25"/>
      <c r="BJ2234" s="25"/>
      <c r="BK2234" s="25"/>
    </row>
    <row r="2235" spans="60:63" ht="14.25" x14ac:dyDescent="0.2">
      <c r="BH2235" s="25"/>
      <c r="BI2235" s="25"/>
      <c r="BJ2235" s="25"/>
      <c r="BK2235" s="25"/>
    </row>
    <row r="2236" spans="60:63" ht="14.25" x14ac:dyDescent="0.2">
      <c r="BH2236" s="25"/>
      <c r="BI2236" s="25"/>
      <c r="BJ2236" s="25"/>
      <c r="BK2236" s="25"/>
    </row>
    <row r="2237" spans="60:63" ht="14.25" x14ac:dyDescent="0.2">
      <c r="BH2237" s="25"/>
      <c r="BI2237" s="25"/>
      <c r="BJ2237" s="25"/>
      <c r="BK2237" s="25"/>
    </row>
    <row r="2238" spans="60:63" ht="14.25" x14ac:dyDescent="0.2">
      <c r="BH2238" s="25"/>
      <c r="BI2238" s="25"/>
      <c r="BJ2238" s="25"/>
      <c r="BK2238" s="25"/>
    </row>
    <row r="2239" spans="60:63" ht="14.25" x14ac:dyDescent="0.2">
      <c r="BH2239" s="25"/>
      <c r="BI2239" s="25"/>
      <c r="BJ2239" s="25"/>
      <c r="BK2239" s="25"/>
    </row>
    <row r="2240" spans="60:63" ht="14.25" x14ac:dyDescent="0.2">
      <c r="BH2240" s="25"/>
      <c r="BI2240" s="25"/>
      <c r="BJ2240" s="25"/>
      <c r="BK2240" s="25"/>
    </row>
    <row r="2241" spans="60:63" ht="14.25" x14ac:dyDescent="0.2">
      <c r="BH2241" s="25"/>
      <c r="BI2241" s="25"/>
      <c r="BJ2241" s="25"/>
      <c r="BK2241" s="25"/>
    </row>
    <row r="2242" spans="60:63" ht="14.25" x14ac:dyDescent="0.2">
      <c r="BH2242" s="25"/>
      <c r="BI2242" s="25"/>
      <c r="BJ2242" s="25"/>
      <c r="BK2242" s="25"/>
    </row>
    <row r="2243" spans="60:63" ht="14.25" x14ac:dyDescent="0.2">
      <c r="BH2243" s="25"/>
      <c r="BI2243" s="25"/>
      <c r="BJ2243" s="25"/>
      <c r="BK2243" s="25"/>
    </row>
    <row r="2244" spans="60:63" ht="14.25" x14ac:dyDescent="0.2">
      <c r="BH2244" s="25"/>
      <c r="BI2244" s="25"/>
      <c r="BJ2244" s="25"/>
      <c r="BK2244" s="25"/>
    </row>
    <row r="2245" spans="60:63" ht="14.25" x14ac:dyDescent="0.2">
      <c r="BH2245" s="25"/>
      <c r="BI2245" s="25"/>
      <c r="BJ2245" s="25"/>
      <c r="BK2245" s="25"/>
    </row>
    <row r="2246" spans="60:63" ht="14.25" x14ac:dyDescent="0.2">
      <c r="BH2246" s="25"/>
      <c r="BI2246" s="25"/>
      <c r="BJ2246" s="25"/>
      <c r="BK2246" s="25"/>
    </row>
    <row r="2247" spans="60:63" ht="14.25" x14ac:dyDescent="0.2">
      <c r="BH2247" s="25"/>
      <c r="BI2247" s="25"/>
      <c r="BJ2247" s="25"/>
      <c r="BK2247" s="25"/>
    </row>
    <row r="2248" spans="60:63" ht="14.25" x14ac:dyDescent="0.2">
      <c r="BH2248" s="25"/>
      <c r="BI2248" s="25"/>
      <c r="BJ2248" s="25"/>
      <c r="BK2248" s="25"/>
    </row>
    <row r="2249" spans="60:63" ht="14.25" x14ac:dyDescent="0.2">
      <c r="BH2249" s="25"/>
      <c r="BI2249" s="25"/>
      <c r="BJ2249" s="25"/>
      <c r="BK2249" s="25"/>
    </row>
    <row r="2250" spans="60:63" ht="14.25" x14ac:dyDescent="0.2">
      <c r="BH2250" s="25"/>
      <c r="BI2250" s="25"/>
      <c r="BJ2250" s="25"/>
      <c r="BK2250" s="25"/>
    </row>
    <row r="2251" spans="60:63" ht="14.25" x14ac:dyDescent="0.2">
      <c r="BH2251" s="25"/>
      <c r="BI2251" s="25"/>
      <c r="BJ2251" s="25"/>
      <c r="BK2251" s="25"/>
    </row>
    <row r="2252" spans="60:63" ht="14.25" x14ac:dyDescent="0.2">
      <c r="BH2252" s="25"/>
      <c r="BI2252" s="25"/>
      <c r="BJ2252" s="25"/>
      <c r="BK2252" s="25"/>
    </row>
    <row r="2253" spans="60:63" ht="14.25" x14ac:dyDescent="0.2">
      <c r="BH2253" s="25"/>
      <c r="BI2253" s="25"/>
      <c r="BJ2253" s="25"/>
      <c r="BK2253" s="25"/>
    </row>
    <row r="2254" spans="60:63" ht="14.25" x14ac:dyDescent="0.2">
      <c r="BH2254" s="25"/>
      <c r="BI2254" s="25"/>
      <c r="BJ2254" s="25"/>
      <c r="BK2254" s="25"/>
    </row>
    <row r="2255" spans="60:63" ht="14.25" x14ac:dyDescent="0.2">
      <c r="BH2255" s="25"/>
      <c r="BI2255" s="25"/>
      <c r="BJ2255" s="25"/>
      <c r="BK2255" s="25"/>
    </row>
    <row r="2256" spans="60:63" ht="14.25" x14ac:dyDescent="0.2">
      <c r="BH2256" s="25"/>
      <c r="BI2256" s="25"/>
      <c r="BJ2256" s="25"/>
      <c r="BK2256" s="25"/>
    </row>
    <row r="2257" spans="60:63" ht="14.25" x14ac:dyDescent="0.2">
      <c r="BH2257" s="25"/>
      <c r="BI2257" s="25"/>
      <c r="BJ2257" s="25"/>
      <c r="BK2257" s="25"/>
    </row>
    <row r="2258" spans="60:63" ht="14.25" x14ac:dyDescent="0.2">
      <c r="BH2258" s="25"/>
      <c r="BI2258" s="25"/>
      <c r="BJ2258" s="25"/>
      <c r="BK2258" s="25"/>
    </row>
    <row r="2259" spans="60:63" ht="14.25" x14ac:dyDescent="0.2">
      <c r="BH2259" s="25"/>
      <c r="BI2259" s="25"/>
      <c r="BJ2259" s="25"/>
      <c r="BK2259" s="25"/>
    </row>
    <row r="2260" spans="60:63" ht="14.25" x14ac:dyDescent="0.2">
      <c r="BH2260" s="25"/>
      <c r="BI2260" s="25"/>
      <c r="BJ2260" s="25"/>
      <c r="BK2260" s="25"/>
    </row>
    <row r="2261" spans="60:63" ht="14.25" x14ac:dyDescent="0.2">
      <c r="BH2261" s="25"/>
      <c r="BI2261" s="25"/>
      <c r="BJ2261" s="25"/>
      <c r="BK2261" s="25"/>
    </row>
    <row r="2262" spans="60:63" ht="14.25" x14ac:dyDescent="0.2">
      <c r="BH2262" s="25"/>
      <c r="BI2262" s="25"/>
      <c r="BJ2262" s="25"/>
      <c r="BK2262" s="25"/>
    </row>
    <row r="2263" spans="60:63" ht="14.25" x14ac:dyDescent="0.2">
      <c r="BH2263" s="25"/>
      <c r="BI2263" s="25"/>
      <c r="BJ2263" s="25"/>
      <c r="BK2263" s="25"/>
    </row>
    <row r="2264" spans="60:63" ht="14.25" x14ac:dyDescent="0.2">
      <c r="BH2264" s="25"/>
      <c r="BI2264" s="25"/>
      <c r="BJ2264" s="25"/>
      <c r="BK2264" s="25"/>
    </row>
    <row r="2265" spans="60:63" ht="14.25" x14ac:dyDescent="0.2">
      <c r="BH2265" s="25"/>
      <c r="BI2265" s="25"/>
      <c r="BJ2265" s="25"/>
      <c r="BK2265" s="25"/>
    </row>
    <row r="2266" spans="60:63" ht="14.25" x14ac:dyDescent="0.2">
      <c r="BH2266" s="25"/>
      <c r="BI2266" s="25"/>
      <c r="BJ2266" s="25"/>
      <c r="BK2266" s="25"/>
    </row>
    <row r="2267" spans="60:63" ht="14.25" x14ac:dyDescent="0.2">
      <c r="BH2267" s="25"/>
      <c r="BI2267" s="25"/>
      <c r="BJ2267" s="25"/>
      <c r="BK2267" s="25"/>
    </row>
    <row r="2268" spans="60:63" ht="14.25" x14ac:dyDescent="0.2">
      <c r="BH2268" s="25"/>
      <c r="BI2268" s="25"/>
      <c r="BJ2268" s="25"/>
      <c r="BK2268" s="25"/>
    </row>
    <row r="2269" spans="60:63" ht="14.25" x14ac:dyDescent="0.2">
      <c r="BH2269" s="25"/>
      <c r="BI2269" s="25"/>
      <c r="BJ2269" s="25"/>
      <c r="BK2269" s="25"/>
    </row>
    <row r="2270" spans="60:63" ht="14.25" x14ac:dyDescent="0.2">
      <c r="BH2270" s="25"/>
      <c r="BI2270" s="25"/>
      <c r="BJ2270" s="25"/>
      <c r="BK2270" s="25"/>
    </row>
    <row r="2271" spans="60:63" ht="14.25" x14ac:dyDescent="0.2">
      <c r="BH2271" s="25"/>
      <c r="BI2271" s="25"/>
      <c r="BJ2271" s="25"/>
      <c r="BK2271" s="25"/>
    </row>
    <row r="2272" spans="60:63" ht="14.25" x14ac:dyDescent="0.2">
      <c r="BH2272" s="25"/>
      <c r="BI2272" s="25"/>
      <c r="BJ2272" s="25"/>
      <c r="BK2272" s="25"/>
    </row>
    <row r="2273" spans="60:63" ht="14.25" x14ac:dyDescent="0.2">
      <c r="BH2273" s="25"/>
      <c r="BI2273" s="25"/>
      <c r="BJ2273" s="25"/>
      <c r="BK2273" s="25"/>
    </row>
    <row r="2274" spans="60:63" ht="14.25" x14ac:dyDescent="0.2">
      <c r="BH2274" s="25"/>
      <c r="BI2274" s="25"/>
      <c r="BJ2274" s="25"/>
      <c r="BK2274" s="25"/>
    </row>
    <row r="2275" spans="60:63" ht="14.25" x14ac:dyDescent="0.2">
      <c r="BH2275" s="25"/>
      <c r="BI2275" s="25"/>
      <c r="BJ2275" s="25"/>
      <c r="BK2275" s="25"/>
    </row>
    <row r="2276" spans="60:63" ht="14.25" x14ac:dyDescent="0.2">
      <c r="BH2276" s="25"/>
      <c r="BI2276" s="25"/>
      <c r="BJ2276" s="25"/>
      <c r="BK2276" s="25"/>
    </row>
    <row r="2277" spans="60:63" ht="14.25" x14ac:dyDescent="0.2">
      <c r="BH2277" s="25"/>
      <c r="BI2277" s="25"/>
      <c r="BJ2277" s="25"/>
      <c r="BK2277" s="25"/>
    </row>
    <row r="2278" spans="60:63" ht="14.25" x14ac:dyDescent="0.2">
      <c r="BH2278" s="25"/>
      <c r="BI2278" s="25"/>
      <c r="BJ2278" s="25"/>
      <c r="BK2278" s="25"/>
    </row>
    <row r="2279" spans="60:63" ht="14.25" x14ac:dyDescent="0.2">
      <c r="BH2279" s="25"/>
      <c r="BI2279" s="25"/>
      <c r="BJ2279" s="25"/>
      <c r="BK2279" s="25"/>
    </row>
    <row r="2280" spans="60:63" ht="14.25" x14ac:dyDescent="0.2">
      <c r="BH2280" s="25"/>
      <c r="BI2280" s="25"/>
      <c r="BJ2280" s="25"/>
      <c r="BK2280" s="25"/>
    </row>
    <row r="2281" spans="60:63" ht="14.25" x14ac:dyDescent="0.2">
      <c r="BH2281" s="25"/>
      <c r="BI2281" s="25"/>
      <c r="BJ2281" s="25"/>
      <c r="BK2281" s="25"/>
    </row>
    <row r="2282" spans="60:63" ht="14.25" x14ac:dyDescent="0.2">
      <c r="BH2282" s="25"/>
      <c r="BI2282" s="25"/>
      <c r="BJ2282" s="25"/>
      <c r="BK2282" s="25"/>
    </row>
    <row r="2283" spans="60:63" ht="14.25" x14ac:dyDescent="0.2">
      <c r="BH2283" s="25"/>
      <c r="BI2283" s="25"/>
      <c r="BJ2283" s="25"/>
      <c r="BK2283" s="25"/>
    </row>
    <row r="2284" spans="60:63" ht="14.25" x14ac:dyDescent="0.2">
      <c r="BH2284" s="25"/>
      <c r="BI2284" s="25"/>
      <c r="BJ2284" s="25"/>
      <c r="BK2284" s="25"/>
    </row>
    <row r="2285" spans="60:63" ht="14.25" x14ac:dyDescent="0.2">
      <c r="BH2285" s="25"/>
      <c r="BI2285" s="25"/>
      <c r="BJ2285" s="25"/>
      <c r="BK2285" s="25"/>
    </row>
    <row r="2286" spans="60:63" ht="14.25" x14ac:dyDescent="0.2">
      <c r="BH2286" s="25"/>
      <c r="BI2286" s="25"/>
      <c r="BJ2286" s="25"/>
      <c r="BK2286" s="25"/>
    </row>
    <row r="2287" spans="60:63" ht="14.25" x14ac:dyDescent="0.2">
      <c r="BH2287" s="25"/>
      <c r="BI2287" s="25"/>
      <c r="BJ2287" s="25"/>
      <c r="BK2287" s="25"/>
    </row>
    <row r="2288" spans="60:63" ht="14.25" x14ac:dyDescent="0.2">
      <c r="BH2288" s="25"/>
      <c r="BI2288" s="25"/>
      <c r="BJ2288" s="25"/>
      <c r="BK2288" s="25"/>
    </row>
    <row r="2289" spans="60:63" ht="14.25" x14ac:dyDescent="0.2">
      <c r="BH2289" s="25"/>
      <c r="BI2289" s="25"/>
      <c r="BJ2289" s="25"/>
      <c r="BK2289" s="25"/>
    </row>
    <row r="2290" spans="60:63" ht="14.25" x14ac:dyDescent="0.2">
      <c r="BH2290" s="25"/>
      <c r="BI2290" s="25"/>
      <c r="BJ2290" s="25"/>
      <c r="BK2290" s="25"/>
    </row>
    <row r="2291" spans="60:63" ht="14.25" x14ac:dyDescent="0.2">
      <c r="BH2291" s="25"/>
      <c r="BI2291" s="25"/>
      <c r="BJ2291" s="25"/>
      <c r="BK2291" s="25"/>
    </row>
    <row r="2292" spans="60:63" ht="14.25" x14ac:dyDescent="0.2">
      <c r="BH2292" s="25"/>
      <c r="BI2292" s="25"/>
      <c r="BJ2292" s="25"/>
      <c r="BK2292" s="25"/>
    </row>
    <row r="2293" spans="60:63" ht="14.25" x14ac:dyDescent="0.2">
      <c r="BH2293" s="25"/>
      <c r="BI2293" s="25"/>
      <c r="BJ2293" s="25"/>
      <c r="BK2293" s="25"/>
    </row>
    <row r="2294" spans="60:63" ht="14.25" x14ac:dyDescent="0.2">
      <c r="BH2294" s="25"/>
      <c r="BI2294" s="25"/>
      <c r="BJ2294" s="25"/>
      <c r="BK2294" s="25"/>
    </row>
    <row r="2295" spans="60:63" ht="14.25" x14ac:dyDescent="0.2">
      <c r="BH2295" s="25"/>
      <c r="BI2295" s="25"/>
      <c r="BJ2295" s="25"/>
      <c r="BK2295" s="25"/>
    </row>
    <row r="2296" spans="60:63" ht="14.25" x14ac:dyDescent="0.2">
      <c r="BH2296" s="25"/>
      <c r="BI2296" s="25"/>
      <c r="BJ2296" s="25"/>
      <c r="BK2296" s="25"/>
    </row>
    <row r="2297" spans="60:63" ht="14.25" x14ac:dyDescent="0.2">
      <c r="BH2297" s="25"/>
      <c r="BI2297" s="25"/>
      <c r="BJ2297" s="25"/>
      <c r="BK2297" s="25"/>
    </row>
    <row r="2298" spans="60:63" ht="14.25" x14ac:dyDescent="0.2">
      <c r="BH2298" s="25"/>
      <c r="BI2298" s="25"/>
      <c r="BJ2298" s="25"/>
      <c r="BK2298" s="25"/>
    </row>
    <row r="2299" spans="60:63" ht="14.25" x14ac:dyDescent="0.2">
      <c r="BH2299" s="25"/>
      <c r="BI2299" s="25"/>
      <c r="BJ2299" s="25"/>
      <c r="BK2299" s="25"/>
    </row>
    <row r="2300" spans="60:63" ht="14.25" x14ac:dyDescent="0.2">
      <c r="BH2300" s="25"/>
      <c r="BI2300" s="25"/>
      <c r="BJ2300" s="25"/>
      <c r="BK2300" s="25"/>
    </row>
    <row r="2301" spans="60:63" ht="14.25" x14ac:dyDescent="0.2">
      <c r="BH2301" s="25"/>
      <c r="BI2301" s="25"/>
      <c r="BJ2301" s="25"/>
      <c r="BK2301" s="25"/>
    </row>
    <row r="2302" spans="60:63" ht="14.25" x14ac:dyDescent="0.2">
      <c r="BH2302" s="25"/>
      <c r="BI2302" s="25"/>
      <c r="BJ2302" s="25"/>
      <c r="BK2302" s="25"/>
    </row>
    <row r="2303" spans="60:63" ht="14.25" x14ac:dyDescent="0.2">
      <c r="BH2303" s="25"/>
      <c r="BI2303" s="25"/>
      <c r="BJ2303" s="25"/>
      <c r="BK2303" s="25"/>
    </row>
    <row r="2304" spans="60:63" ht="14.25" x14ac:dyDescent="0.2">
      <c r="BH2304" s="25"/>
      <c r="BI2304" s="25"/>
      <c r="BJ2304" s="25"/>
      <c r="BK2304" s="25"/>
    </row>
    <row r="2305" spans="60:63" ht="14.25" x14ac:dyDescent="0.2">
      <c r="BH2305" s="25"/>
      <c r="BI2305" s="25"/>
      <c r="BJ2305" s="25"/>
      <c r="BK2305" s="25"/>
    </row>
    <row r="2306" spans="60:63" ht="14.25" x14ac:dyDescent="0.2">
      <c r="BH2306" s="25"/>
      <c r="BI2306" s="25"/>
      <c r="BJ2306" s="25"/>
      <c r="BK2306" s="25"/>
    </row>
    <row r="2307" spans="60:63" ht="14.25" x14ac:dyDescent="0.2">
      <c r="BH2307" s="25"/>
      <c r="BI2307" s="25"/>
      <c r="BJ2307" s="25"/>
      <c r="BK2307" s="25"/>
    </row>
    <row r="2308" spans="60:63" ht="14.25" x14ac:dyDescent="0.2">
      <c r="BH2308" s="25"/>
      <c r="BI2308" s="25"/>
      <c r="BJ2308" s="25"/>
      <c r="BK2308" s="25"/>
    </row>
    <row r="2309" spans="60:63" ht="14.25" x14ac:dyDescent="0.2">
      <c r="BH2309" s="25"/>
      <c r="BI2309" s="25"/>
      <c r="BJ2309" s="25"/>
      <c r="BK2309" s="25"/>
    </row>
    <row r="2310" spans="60:63" ht="14.25" x14ac:dyDescent="0.2">
      <c r="BH2310" s="25"/>
      <c r="BI2310" s="25"/>
      <c r="BJ2310" s="25"/>
      <c r="BK2310" s="25"/>
    </row>
    <row r="2311" spans="60:63" ht="14.25" x14ac:dyDescent="0.2">
      <c r="BH2311" s="25"/>
      <c r="BI2311" s="25"/>
      <c r="BJ2311" s="25"/>
      <c r="BK2311" s="25"/>
    </row>
    <row r="2312" spans="60:63" ht="14.25" x14ac:dyDescent="0.2">
      <c r="BH2312" s="25"/>
      <c r="BI2312" s="25"/>
      <c r="BJ2312" s="25"/>
      <c r="BK2312" s="25"/>
    </row>
    <row r="2313" spans="60:63" ht="14.25" x14ac:dyDescent="0.2">
      <c r="BH2313" s="25"/>
      <c r="BI2313" s="25"/>
      <c r="BJ2313" s="25"/>
      <c r="BK2313" s="25"/>
    </row>
    <row r="2314" spans="60:63" ht="14.25" x14ac:dyDescent="0.2">
      <c r="BH2314" s="25"/>
      <c r="BI2314" s="25"/>
      <c r="BJ2314" s="25"/>
      <c r="BK2314" s="25"/>
    </row>
    <row r="2315" spans="60:63" ht="14.25" x14ac:dyDescent="0.2">
      <c r="BH2315" s="25"/>
      <c r="BI2315" s="25"/>
      <c r="BJ2315" s="25"/>
      <c r="BK2315" s="25"/>
    </row>
    <row r="2316" spans="60:63" ht="14.25" x14ac:dyDescent="0.2">
      <c r="BH2316" s="25"/>
      <c r="BI2316" s="25"/>
      <c r="BJ2316" s="25"/>
      <c r="BK2316" s="25"/>
    </row>
    <row r="2317" spans="60:63" ht="14.25" x14ac:dyDescent="0.2">
      <c r="BH2317" s="25"/>
      <c r="BI2317" s="25"/>
      <c r="BJ2317" s="25"/>
      <c r="BK2317" s="25"/>
    </row>
    <row r="2318" spans="60:63" ht="14.25" x14ac:dyDescent="0.2">
      <c r="BH2318" s="25"/>
      <c r="BI2318" s="25"/>
      <c r="BJ2318" s="25"/>
      <c r="BK2318" s="25"/>
    </row>
    <row r="2319" spans="60:63" ht="14.25" x14ac:dyDescent="0.2">
      <c r="BH2319" s="25"/>
      <c r="BI2319" s="25"/>
      <c r="BJ2319" s="25"/>
      <c r="BK2319" s="25"/>
    </row>
    <row r="2320" spans="60:63" ht="14.25" x14ac:dyDescent="0.2">
      <c r="BH2320" s="25"/>
      <c r="BI2320" s="25"/>
      <c r="BJ2320" s="25"/>
      <c r="BK2320" s="25"/>
    </row>
    <row r="2321" spans="60:63" ht="14.25" x14ac:dyDescent="0.2">
      <c r="BH2321" s="25"/>
      <c r="BI2321" s="25"/>
      <c r="BJ2321" s="25"/>
      <c r="BK2321" s="25"/>
    </row>
    <row r="2322" spans="60:63" ht="14.25" x14ac:dyDescent="0.2">
      <c r="BH2322" s="25"/>
      <c r="BI2322" s="25"/>
      <c r="BJ2322" s="25"/>
      <c r="BK2322" s="25"/>
    </row>
    <row r="2323" spans="60:63" ht="14.25" x14ac:dyDescent="0.2">
      <c r="BH2323" s="25"/>
      <c r="BI2323" s="25"/>
      <c r="BJ2323" s="25"/>
      <c r="BK2323" s="25"/>
    </row>
    <row r="2324" spans="60:63" ht="14.25" x14ac:dyDescent="0.2">
      <c r="BH2324" s="25"/>
      <c r="BI2324" s="25"/>
      <c r="BJ2324" s="25"/>
      <c r="BK2324" s="25"/>
    </row>
    <row r="2325" spans="60:63" ht="14.25" x14ac:dyDescent="0.2">
      <c r="BH2325" s="25"/>
      <c r="BI2325" s="25"/>
      <c r="BJ2325" s="25"/>
      <c r="BK2325" s="25"/>
    </row>
    <row r="2326" spans="60:63" ht="14.25" x14ac:dyDescent="0.2">
      <c r="BH2326" s="25"/>
      <c r="BI2326" s="25"/>
      <c r="BJ2326" s="25"/>
      <c r="BK2326" s="25"/>
    </row>
    <row r="2327" spans="60:63" ht="14.25" x14ac:dyDescent="0.2">
      <c r="BH2327" s="25"/>
      <c r="BI2327" s="25"/>
      <c r="BJ2327" s="25"/>
      <c r="BK2327" s="25"/>
    </row>
    <row r="2328" spans="60:63" ht="14.25" x14ac:dyDescent="0.2">
      <c r="BH2328" s="25"/>
      <c r="BI2328" s="25"/>
      <c r="BJ2328" s="25"/>
      <c r="BK2328" s="25"/>
    </row>
    <row r="2329" spans="60:63" ht="14.25" x14ac:dyDescent="0.2">
      <c r="BH2329" s="25"/>
      <c r="BI2329" s="25"/>
      <c r="BJ2329" s="25"/>
      <c r="BK2329" s="25"/>
    </row>
    <row r="2330" spans="60:63" ht="14.25" x14ac:dyDescent="0.2">
      <c r="BH2330" s="25"/>
      <c r="BI2330" s="25"/>
      <c r="BJ2330" s="25"/>
      <c r="BK2330" s="25"/>
    </row>
    <row r="2331" spans="60:63" ht="14.25" x14ac:dyDescent="0.2">
      <c r="BH2331" s="25"/>
      <c r="BI2331" s="25"/>
      <c r="BJ2331" s="25"/>
      <c r="BK2331" s="25"/>
    </row>
    <row r="2332" spans="60:63" ht="14.25" x14ac:dyDescent="0.2">
      <c r="BH2332" s="25"/>
      <c r="BI2332" s="25"/>
      <c r="BJ2332" s="25"/>
      <c r="BK2332" s="25"/>
    </row>
    <row r="2333" spans="60:63" ht="14.25" x14ac:dyDescent="0.2">
      <c r="BH2333" s="25"/>
      <c r="BI2333" s="25"/>
      <c r="BJ2333" s="25"/>
      <c r="BK2333" s="25"/>
    </row>
    <row r="2334" spans="60:63" ht="14.25" x14ac:dyDescent="0.2">
      <c r="BH2334" s="25"/>
      <c r="BI2334" s="25"/>
      <c r="BJ2334" s="25"/>
      <c r="BK2334" s="25"/>
    </row>
    <row r="2335" spans="60:63" ht="14.25" x14ac:dyDescent="0.2">
      <c r="BH2335" s="25"/>
      <c r="BI2335" s="25"/>
      <c r="BJ2335" s="25"/>
      <c r="BK2335" s="25"/>
    </row>
    <row r="2336" spans="60:63" ht="14.25" x14ac:dyDescent="0.2">
      <c r="BH2336" s="25"/>
      <c r="BI2336" s="25"/>
      <c r="BJ2336" s="25"/>
      <c r="BK2336" s="25"/>
    </row>
    <row r="2337" spans="60:63" ht="14.25" x14ac:dyDescent="0.2">
      <c r="BH2337" s="25"/>
      <c r="BI2337" s="25"/>
      <c r="BJ2337" s="25"/>
      <c r="BK2337" s="25"/>
    </row>
    <row r="2338" spans="60:63" ht="14.25" x14ac:dyDescent="0.2">
      <c r="BH2338" s="25"/>
      <c r="BI2338" s="25"/>
      <c r="BJ2338" s="25"/>
      <c r="BK2338" s="25"/>
    </row>
    <row r="2339" spans="60:63" ht="14.25" x14ac:dyDescent="0.2">
      <c r="BH2339" s="25"/>
      <c r="BI2339" s="25"/>
      <c r="BJ2339" s="25"/>
      <c r="BK2339" s="25"/>
    </row>
    <row r="2340" spans="60:63" ht="14.25" x14ac:dyDescent="0.2">
      <c r="BH2340" s="25"/>
      <c r="BI2340" s="25"/>
      <c r="BJ2340" s="25"/>
      <c r="BK2340" s="25"/>
    </row>
    <row r="2341" spans="60:63" ht="14.25" x14ac:dyDescent="0.2">
      <c r="BH2341" s="25"/>
      <c r="BI2341" s="25"/>
      <c r="BJ2341" s="25"/>
      <c r="BK2341" s="25"/>
    </row>
    <row r="2342" spans="60:63" ht="14.25" x14ac:dyDescent="0.2">
      <c r="BH2342" s="25"/>
      <c r="BI2342" s="25"/>
      <c r="BJ2342" s="25"/>
      <c r="BK2342" s="25"/>
    </row>
    <row r="2343" spans="60:63" ht="14.25" x14ac:dyDescent="0.2">
      <c r="BH2343" s="25"/>
      <c r="BI2343" s="25"/>
      <c r="BJ2343" s="25"/>
      <c r="BK2343" s="25"/>
    </row>
    <row r="2344" spans="60:63" ht="14.25" x14ac:dyDescent="0.2">
      <c r="BH2344" s="25"/>
      <c r="BI2344" s="25"/>
      <c r="BJ2344" s="25"/>
      <c r="BK2344" s="25"/>
    </row>
    <row r="2345" spans="60:63" ht="14.25" x14ac:dyDescent="0.2">
      <c r="BH2345" s="25"/>
      <c r="BI2345" s="25"/>
      <c r="BJ2345" s="25"/>
      <c r="BK2345" s="25"/>
    </row>
    <row r="2346" spans="60:63" ht="14.25" x14ac:dyDescent="0.2">
      <c r="BH2346" s="25"/>
      <c r="BI2346" s="25"/>
      <c r="BJ2346" s="25"/>
      <c r="BK2346" s="25"/>
    </row>
    <row r="2347" spans="60:63" ht="14.25" x14ac:dyDescent="0.2">
      <c r="BH2347" s="25"/>
      <c r="BI2347" s="25"/>
      <c r="BJ2347" s="25"/>
      <c r="BK2347" s="25"/>
    </row>
    <row r="2348" spans="60:63" ht="14.25" x14ac:dyDescent="0.2">
      <c r="BH2348" s="25"/>
      <c r="BI2348" s="25"/>
      <c r="BJ2348" s="25"/>
      <c r="BK2348" s="25"/>
    </row>
    <row r="2349" spans="60:63" ht="14.25" x14ac:dyDescent="0.2">
      <c r="BH2349" s="25"/>
      <c r="BI2349" s="25"/>
      <c r="BJ2349" s="25"/>
      <c r="BK2349" s="25"/>
    </row>
    <row r="2350" spans="60:63" ht="14.25" x14ac:dyDescent="0.2">
      <c r="BH2350" s="25"/>
      <c r="BI2350" s="25"/>
      <c r="BJ2350" s="25"/>
      <c r="BK2350" s="25"/>
    </row>
    <row r="2351" spans="60:63" ht="14.25" x14ac:dyDescent="0.2">
      <c r="BH2351" s="25"/>
      <c r="BI2351" s="25"/>
      <c r="BJ2351" s="25"/>
      <c r="BK2351" s="25"/>
    </row>
    <row r="2352" spans="60:63" ht="14.25" x14ac:dyDescent="0.2">
      <c r="BH2352" s="25"/>
      <c r="BI2352" s="25"/>
      <c r="BJ2352" s="25"/>
      <c r="BK2352" s="25"/>
    </row>
    <row r="2353" spans="60:63" ht="14.25" x14ac:dyDescent="0.2">
      <c r="BH2353" s="25"/>
      <c r="BI2353" s="25"/>
      <c r="BJ2353" s="25"/>
      <c r="BK2353" s="25"/>
    </row>
    <row r="2354" spans="60:63" ht="14.25" x14ac:dyDescent="0.2">
      <c r="BH2354" s="25"/>
      <c r="BI2354" s="25"/>
      <c r="BJ2354" s="25"/>
      <c r="BK2354" s="25"/>
    </row>
    <row r="2355" spans="60:63" ht="14.25" x14ac:dyDescent="0.2">
      <c r="BH2355" s="25"/>
      <c r="BI2355" s="25"/>
      <c r="BJ2355" s="25"/>
      <c r="BK2355" s="25"/>
    </row>
    <row r="2356" spans="60:63" ht="14.25" x14ac:dyDescent="0.2">
      <c r="BH2356" s="25"/>
      <c r="BI2356" s="25"/>
      <c r="BJ2356" s="25"/>
      <c r="BK2356" s="25"/>
    </row>
    <row r="2357" spans="60:63" ht="14.25" x14ac:dyDescent="0.2">
      <c r="BH2357" s="25"/>
      <c r="BI2357" s="25"/>
      <c r="BJ2357" s="25"/>
      <c r="BK2357" s="25"/>
    </row>
    <row r="2358" spans="60:63" ht="14.25" x14ac:dyDescent="0.2">
      <c r="BH2358" s="25"/>
      <c r="BI2358" s="25"/>
      <c r="BJ2358" s="25"/>
      <c r="BK2358" s="25"/>
    </row>
    <row r="2359" spans="60:63" ht="14.25" x14ac:dyDescent="0.2">
      <c r="BH2359" s="25"/>
      <c r="BI2359" s="25"/>
      <c r="BJ2359" s="25"/>
      <c r="BK2359" s="25"/>
    </row>
    <row r="2360" spans="60:63" ht="14.25" x14ac:dyDescent="0.2">
      <c r="BH2360" s="25"/>
      <c r="BI2360" s="25"/>
      <c r="BJ2360" s="25"/>
      <c r="BK2360" s="25"/>
    </row>
    <row r="2361" spans="60:63" ht="14.25" x14ac:dyDescent="0.2">
      <c r="BH2361" s="25"/>
      <c r="BI2361" s="25"/>
      <c r="BJ2361" s="25"/>
      <c r="BK2361" s="25"/>
    </row>
    <row r="2362" spans="60:63" ht="14.25" x14ac:dyDescent="0.2">
      <c r="BH2362" s="25"/>
      <c r="BI2362" s="25"/>
      <c r="BJ2362" s="25"/>
      <c r="BK2362" s="25"/>
    </row>
    <row r="2363" spans="60:63" ht="14.25" x14ac:dyDescent="0.2">
      <c r="BH2363" s="25"/>
      <c r="BI2363" s="25"/>
      <c r="BJ2363" s="25"/>
      <c r="BK2363" s="25"/>
    </row>
    <row r="2364" spans="60:63" ht="14.25" x14ac:dyDescent="0.2">
      <c r="BH2364" s="25"/>
      <c r="BI2364" s="25"/>
      <c r="BJ2364" s="25"/>
      <c r="BK2364" s="25"/>
    </row>
    <row r="2365" spans="60:63" ht="14.25" x14ac:dyDescent="0.2">
      <c r="BH2365" s="25"/>
      <c r="BI2365" s="25"/>
      <c r="BJ2365" s="25"/>
      <c r="BK2365" s="25"/>
    </row>
    <row r="2366" spans="60:63" ht="14.25" x14ac:dyDescent="0.2">
      <c r="BH2366" s="25"/>
      <c r="BI2366" s="25"/>
      <c r="BJ2366" s="25"/>
      <c r="BK2366" s="25"/>
    </row>
    <row r="2367" spans="60:63" ht="14.25" x14ac:dyDescent="0.2">
      <c r="BH2367" s="25"/>
      <c r="BI2367" s="25"/>
      <c r="BJ2367" s="25"/>
      <c r="BK2367" s="25"/>
    </row>
    <row r="2368" spans="60:63" ht="14.25" x14ac:dyDescent="0.2">
      <c r="BH2368" s="25"/>
      <c r="BI2368" s="25"/>
      <c r="BJ2368" s="25"/>
      <c r="BK2368" s="25"/>
    </row>
    <row r="2369" spans="60:63" ht="14.25" x14ac:dyDescent="0.2">
      <c r="BH2369" s="25"/>
      <c r="BI2369" s="25"/>
      <c r="BJ2369" s="25"/>
      <c r="BK2369" s="25"/>
    </row>
    <row r="2370" spans="60:63" ht="14.25" x14ac:dyDescent="0.2">
      <c r="BH2370" s="25"/>
      <c r="BI2370" s="25"/>
      <c r="BJ2370" s="25"/>
      <c r="BK2370" s="25"/>
    </row>
    <row r="2371" spans="60:63" ht="14.25" x14ac:dyDescent="0.2">
      <c r="BH2371" s="25"/>
      <c r="BI2371" s="25"/>
      <c r="BJ2371" s="25"/>
      <c r="BK2371" s="25"/>
    </row>
    <row r="2372" spans="60:63" ht="14.25" x14ac:dyDescent="0.2">
      <c r="BH2372" s="25"/>
      <c r="BI2372" s="25"/>
      <c r="BJ2372" s="25"/>
      <c r="BK2372" s="25"/>
    </row>
    <row r="2373" spans="60:63" ht="14.25" x14ac:dyDescent="0.2">
      <c r="BH2373" s="25"/>
      <c r="BI2373" s="25"/>
      <c r="BJ2373" s="25"/>
      <c r="BK2373" s="25"/>
    </row>
    <row r="2374" spans="60:63" ht="14.25" x14ac:dyDescent="0.2">
      <c r="BH2374" s="25"/>
      <c r="BI2374" s="25"/>
      <c r="BJ2374" s="25"/>
      <c r="BK2374" s="25"/>
    </row>
    <row r="2375" spans="60:63" ht="14.25" x14ac:dyDescent="0.2">
      <c r="BH2375" s="25"/>
      <c r="BI2375" s="25"/>
      <c r="BJ2375" s="25"/>
      <c r="BK2375" s="25"/>
    </row>
    <row r="2376" spans="60:63" ht="14.25" x14ac:dyDescent="0.2">
      <c r="BH2376" s="25"/>
      <c r="BI2376" s="25"/>
      <c r="BJ2376" s="25"/>
      <c r="BK2376" s="25"/>
    </row>
    <row r="2377" spans="60:63" ht="14.25" x14ac:dyDescent="0.2">
      <c r="BH2377" s="25"/>
      <c r="BI2377" s="25"/>
      <c r="BJ2377" s="25"/>
      <c r="BK2377" s="25"/>
    </row>
    <row r="2378" spans="60:63" ht="14.25" x14ac:dyDescent="0.2">
      <c r="BH2378" s="25"/>
      <c r="BI2378" s="25"/>
      <c r="BJ2378" s="25"/>
      <c r="BK2378" s="25"/>
    </row>
    <row r="2379" spans="60:63" ht="14.25" x14ac:dyDescent="0.2">
      <c r="BH2379" s="25"/>
      <c r="BI2379" s="25"/>
      <c r="BJ2379" s="25"/>
      <c r="BK2379" s="25"/>
    </row>
    <row r="2380" spans="60:63" ht="14.25" x14ac:dyDescent="0.2">
      <c r="BH2380" s="25"/>
      <c r="BI2380" s="25"/>
      <c r="BJ2380" s="25"/>
      <c r="BK2380" s="25"/>
    </row>
    <row r="2381" spans="60:63" ht="14.25" x14ac:dyDescent="0.2">
      <c r="BH2381" s="25"/>
      <c r="BI2381" s="25"/>
      <c r="BJ2381" s="25"/>
      <c r="BK2381" s="25"/>
    </row>
    <row r="2382" spans="60:63" ht="14.25" x14ac:dyDescent="0.2">
      <c r="BH2382" s="25"/>
      <c r="BI2382" s="25"/>
      <c r="BJ2382" s="25"/>
      <c r="BK2382" s="25"/>
    </row>
    <row r="2383" spans="60:63" ht="14.25" x14ac:dyDescent="0.2">
      <c r="BH2383" s="25"/>
      <c r="BI2383" s="25"/>
      <c r="BJ2383" s="25"/>
      <c r="BK2383" s="25"/>
    </row>
    <row r="2384" spans="60:63" ht="14.25" x14ac:dyDescent="0.2">
      <c r="BH2384" s="25"/>
      <c r="BI2384" s="25"/>
      <c r="BJ2384" s="25"/>
      <c r="BK2384" s="25"/>
    </row>
    <row r="2385" spans="60:63" ht="14.25" x14ac:dyDescent="0.2">
      <c r="BH2385" s="25"/>
      <c r="BI2385" s="25"/>
      <c r="BJ2385" s="25"/>
      <c r="BK2385" s="25"/>
    </row>
    <row r="2386" spans="60:63" ht="14.25" x14ac:dyDescent="0.2">
      <c r="BH2386" s="25"/>
      <c r="BI2386" s="25"/>
      <c r="BJ2386" s="25"/>
      <c r="BK2386" s="25"/>
    </row>
    <row r="2387" spans="60:63" ht="14.25" x14ac:dyDescent="0.2">
      <c r="BH2387" s="25"/>
      <c r="BI2387" s="25"/>
      <c r="BJ2387" s="25"/>
      <c r="BK2387" s="25"/>
    </row>
    <row r="2388" spans="60:63" ht="14.25" x14ac:dyDescent="0.2">
      <c r="BH2388" s="25"/>
      <c r="BI2388" s="25"/>
      <c r="BJ2388" s="25"/>
      <c r="BK2388" s="25"/>
    </row>
    <row r="2389" spans="60:63" ht="14.25" x14ac:dyDescent="0.2">
      <c r="BH2389" s="25"/>
      <c r="BI2389" s="25"/>
      <c r="BJ2389" s="25"/>
      <c r="BK2389" s="25"/>
    </row>
    <row r="2390" spans="60:63" ht="14.25" x14ac:dyDescent="0.2">
      <c r="BH2390" s="25"/>
      <c r="BI2390" s="25"/>
      <c r="BJ2390" s="25"/>
      <c r="BK2390" s="25"/>
    </row>
    <row r="2391" spans="60:63" ht="14.25" x14ac:dyDescent="0.2">
      <c r="BH2391" s="25"/>
      <c r="BI2391" s="25"/>
      <c r="BJ2391" s="25"/>
      <c r="BK2391" s="25"/>
    </row>
    <row r="2392" spans="60:63" ht="14.25" x14ac:dyDescent="0.2">
      <c r="BH2392" s="25"/>
      <c r="BI2392" s="25"/>
      <c r="BJ2392" s="25"/>
      <c r="BK2392" s="25"/>
    </row>
    <row r="2393" spans="60:63" ht="14.25" x14ac:dyDescent="0.2">
      <c r="BH2393" s="25"/>
      <c r="BI2393" s="25"/>
      <c r="BJ2393" s="25"/>
      <c r="BK2393" s="25"/>
    </row>
    <row r="2394" spans="60:63" ht="14.25" x14ac:dyDescent="0.2">
      <c r="BH2394" s="25"/>
      <c r="BI2394" s="25"/>
      <c r="BJ2394" s="25"/>
      <c r="BK2394" s="25"/>
    </row>
    <row r="2395" spans="60:63" ht="14.25" x14ac:dyDescent="0.2">
      <c r="BH2395" s="25"/>
      <c r="BI2395" s="25"/>
      <c r="BJ2395" s="25"/>
      <c r="BK2395" s="25"/>
    </row>
    <row r="2396" spans="60:63" ht="14.25" x14ac:dyDescent="0.2">
      <c r="BH2396" s="25"/>
      <c r="BI2396" s="25"/>
      <c r="BJ2396" s="25"/>
      <c r="BK2396" s="25"/>
    </row>
    <row r="2397" spans="60:63" ht="14.25" x14ac:dyDescent="0.2">
      <c r="BH2397" s="25"/>
      <c r="BI2397" s="25"/>
      <c r="BJ2397" s="25"/>
      <c r="BK2397" s="25"/>
    </row>
    <row r="2398" spans="60:63" ht="14.25" x14ac:dyDescent="0.2">
      <c r="BH2398" s="25"/>
      <c r="BI2398" s="25"/>
      <c r="BJ2398" s="25"/>
      <c r="BK2398" s="25"/>
    </row>
    <row r="2399" spans="60:63" ht="14.25" x14ac:dyDescent="0.2">
      <c r="BH2399" s="25"/>
      <c r="BI2399" s="25"/>
      <c r="BJ2399" s="25"/>
      <c r="BK2399" s="25"/>
    </row>
    <row r="2400" spans="60:63" ht="14.25" x14ac:dyDescent="0.2">
      <c r="BH2400" s="25"/>
      <c r="BI2400" s="25"/>
      <c r="BJ2400" s="25"/>
      <c r="BK2400" s="25"/>
    </row>
    <row r="2401" spans="60:63" ht="14.25" x14ac:dyDescent="0.2">
      <c r="BH2401" s="25"/>
      <c r="BI2401" s="25"/>
      <c r="BJ2401" s="25"/>
      <c r="BK2401" s="25"/>
    </row>
    <row r="2402" spans="60:63" ht="14.25" x14ac:dyDescent="0.2">
      <c r="BH2402" s="25"/>
      <c r="BI2402" s="25"/>
      <c r="BJ2402" s="25"/>
      <c r="BK2402" s="25"/>
    </row>
    <row r="2403" spans="60:63" ht="14.25" x14ac:dyDescent="0.2">
      <c r="BH2403" s="25"/>
      <c r="BI2403" s="25"/>
      <c r="BJ2403" s="25"/>
      <c r="BK2403" s="25"/>
    </row>
    <row r="2404" spans="60:63" ht="14.25" x14ac:dyDescent="0.2">
      <c r="BH2404" s="25"/>
      <c r="BI2404" s="25"/>
      <c r="BJ2404" s="25"/>
      <c r="BK2404" s="25"/>
    </row>
    <row r="2405" spans="60:63" ht="14.25" x14ac:dyDescent="0.2">
      <c r="BH2405" s="25"/>
      <c r="BI2405" s="25"/>
      <c r="BJ2405" s="25"/>
      <c r="BK2405" s="25"/>
    </row>
    <row r="2406" spans="60:63" ht="14.25" x14ac:dyDescent="0.2">
      <c r="BH2406" s="25"/>
      <c r="BI2406" s="25"/>
      <c r="BJ2406" s="25"/>
      <c r="BK2406" s="25"/>
    </row>
    <row r="2407" spans="60:63" ht="14.25" x14ac:dyDescent="0.2">
      <c r="BH2407" s="25"/>
      <c r="BI2407" s="25"/>
      <c r="BJ2407" s="25"/>
      <c r="BK2407" s="25"/>
    </row>
    <row r="2408" spans="60:63" ht="14.25" x14ac:dyDescent="0.2">
      <c r="BH2408" s="25"/>
      <c r="BI2408" s="25"/>
      <c r="BJ2408" s="25"/>
      <c r="BK2408" s="25"/>
    </row>
    <row r="2409" spans="60:63" ht="14.25" x14ac:dyDescent="0.2">
      <c r="BH2409" s="25"/>
      <c r="BI2409" s="25"/>
      <c r="BJ2409" s="25"/>
      <c r="BK2409" s="25"/>
    </row>
    <row r="2410" spans="60:63" ht="14.25" x14ac:dyDescent="0.2">
      <c r="BH2410" s="25"/>
      <c r="BI2410" s="25"/>
      <c r="BJ2410" s="25"/>
      <c r="BK2410" s="25"/>
    </row>
    <row r="2411" spans="60:63" ht="14.25" x14ac:dyDescent="0.2">
      <c r="BH2411" s="25"/>
      <c r="BI2411" s="25"/>
      <c r="BJ2411" s="25"/>
      <c r="BK2411" s="25"/>
    </row>
    <row r="2412" spans="60:63" ht="14.25" x14ac:dyDescent="0.2">
      <c r="BH2412" s="25"/>
      <c r="BI2412" s="25"/>
      <c r="BJ2412" s="25"/>
      <c r="BK2412" s="25"/>
    </row>
    <row r="2413" spans="60:63" ht="14.25" x14ac:dyDescent="0.2">
      <c r="BH2413" s="25"/>
      <c r="BI2413" s="25"/>
      <c r="BJ2413" s="25"/>
      <c r="BK2413" s="25"/>
    </row>
    <row r="2414" spans="60:63" ht="14.25" x14ac:dyDescent="0.2">
      <c r="BH2414" s="25"/>
      <c r="BI2414" s="25"/>
      <c r="BJ2414" s="25"/>
      <c r="BK2414" s="25"/>
    </row>
    <row r="2415" spans="60:63" ht="14.25" x14ac:dyDescent="0.2">
      <c r="BH2415" s="25"/>
      <c r="BI2415" s="25"/>
      <c r="BJ2415" s="25"/>
      <c r="BK2415" s="25"/>
    </row>
    <row r="2416" spans="60:63" ht="14.25" x14ac:dyDescent="0.2">
      <c r="BH2416" s="25"/>
      <c r="BI2416" s="25"/>
      <c r="BJ2416" s="25"/>
      <c r="BK2416" s="25"/>
    </row>
    <row r="2417" spans="60:63" ht="14.25" x14ac:dyDescent="0.2">
      <c r="BH2417" s="25"/>
      <c r="BI2417" s="25"/>
      <c r="BJ2417" s="25"/>
      <c r="BK2417" s="25"/>
    </row>
    <row r="2418" spans="60:63" ht="14.25" x14ac:dyDescent="0.2">
      <c r="BH2418" s="25"/>
      <c r="BI2418" s="25"/>
      <c r="BJ2418" s="25"/>
      <c r="BK2418" s="25"/>
    </row>
    <row r="2419" spans="60:63" ht="14.25" x14ac:dyDescent="0.2">
      <c r="BH2419" s="25"/>
      <c r="BI2419" s="25"/>
      <c r="BJ2419" s="25"/>
      <c r="BK2419" s="25"/>
    </row>
    <row r="2420" spans="60:63" ht="14.25" x14ac:dyDescent="0.2">
      <c r="BH2420" s="25"/>
      <c r="BI2420" s="25"/>
      <c r="BJ2420" s="25"/>
      <c r="BK2420" s="25"/>
    </row>
    <row r="2421" spans="60:63" ht="14.25" x14ac:dyDescent="0.2">
      <c r="BH2421" s="25"/>
      <c r="BI2421" s="25"/>
      <c r="BJ2421" s="25"/>
      <c r="BK2421" s="25"/>
    </row>
    <row r="2422" spans="60:63" ht="14.25" x14ac:dyDescent="0.2">
      <c r="BH2422" s="25"/>
      <c r="BI2422" s="25"/>
      <c r="BJ2422" s="25"/>
      <c r="BK2422" s="25"/>
    </row>
    <row r="2423" spans="60:63" ht="14.25" x14ac:dyDescent="0.2">
      <c r="BH2423" s="25"/>
      <c r="BI2423" s="25"/>
      <c r="BJ2423" s="25"/>
      <c r="BK2423" s="25"/>
    </row>
    <row r="2424" spans="60:63" ht="14.25" x14ac:dyDescent="0.2">
      <c r="BH2424" s="25"/>
      <c r="BI2424" s="25"/>
      <c r="BJ2424" s="25"/>
      <c r="BK2424" s="25"/>
    </row>
    <row r="2425" spans="60:63" ht="14.25" x14ac:dyDescent="0.2">
      <c r="BH2425" s="25"/>
      <c r="BI2425" s="25"/>
      <c r="BJ2425" s="25"/>
      <c r="BK2425" s="25"/>
    </row>
    <row r="2426" spans="60:63" ht="14.25" x14ac:dyDescent="0.2">
      <c r="BH2426" s="25"/>
      <c r="BI2426" s="25"/>
      <c r="BJ2426" s="25"/>
      <c r="BK2426" s="25"/>
    </row>
    <row r="2427" spans="60:63" ht="14.25" x14ac:dyDescent="0.2">
      <c r="BH2427" s="25"/>
      <c r="BI2427" s="25"/>
      <c r="BJ2427" s="25"/>
      <c r="BK2427" s="25"/>
    </row>
    <row r="2428" spans="60:63" ht="14.25" x14ac:dyDescent="0.2">
      <c r="BH2428" s="25"/>
      <c r="BI2428" s="25"/>
      <c r="BJ2428" s="25"/>
      <c r="BK2428" s="25"/>
    </row>
    <row r="2429" spans="60:63" ht="14.25" x14ac:dyDescent="0.2">
      <c r="BH2429" s="25"/>
      <c r="BI2429" s="25"/>
      <c r="BJ2429" s="25"/>
      <c r="BK2429" s="25"/>
    </row>
    <row r="2430" spans="60:63" ht="14.25" x14ac:dyDescent="0.2">
      <c r="BH2430" s="25"/>
      <c r="BI2430" s="25"/>
      <c r="BJ2430" s="25"/>
      <c r="BK2430" s="25"/>
    </row>
    <row r="2431" spans="60:63" ht="14.25" x14ac:dyDescent="0.2">
      <c r="BH2431" s="25"/>
      <c r="BI2431" s="25"/>
      <c r="BJ2431" s="25"/>
      <c r="BK2431" s="25"/>
    </row>
    <row r="2432" spans="60:63" ht="14.25" x14ac:dyDescent="0.2">
      <c r="BH2432" s="25"/>
      <c r="BI2432" s="25"/>
      <c r="BJ2432" s="25"/>
      <c r="BK2432" s="25"/>
    </row>
    <row r="2433" spans="60:63" ht="14.25" x14ac:dyDescent="0.2">
      <c r="BH2433" s="25"/>
      <c r="BI2433" s="25"/>
      <c r="BJ2433" s="25"/>
      <c r="BK2433" s="25"/>
    </row>
    <row r="2434" spans="60:63" ht="14.25" x14ac:dyDescent="0.2">
      <c r="BH2434" s="25"/>
      <c r="BI2434" s="25"/>
      <c r="BJ2434" s="25"/>
      <c r="BK2434" s="25"/>
    </row>
    <row r="2435" spans="60:63" ht="14.25" x14ac:dyDescent="0.2">
      <c r="BH2435" s="25"/>
      <c r="BI2435" s="25"/>
      <c r="BJ2435" s="25"/>
      <c r="BK2435" s="25"/>
    </row>
    <row r="2436" spans="60:63" ht="14.25" x14ac:dyDescent="0.2">
      <c r="BH2436" s="25"/>
      <c r="BI2436" s="25"/>
      <c r="BJ2436" s="25"/>
      <c r="BK2436" s="25"/>
    </row>
    <row r="2437" spans="60:63" ht="14.25" x14ac:dyDescent="0.2">
      <c r="BH2437" s="25"/>
      <c r="BI2437" s="25"/>
      <c r="BJ2437" s="25"/>
      <c r="BK2437" s="25"/>
    </row>
    <row r="2438" spans="60:63" ht="14.25" x14ac:dyDescent="0.2">
      <c r="BH2438" s="25"/>
      <c r="BI2438" s="25"/>
      <c r="BJ2438" s="25"/>
      <c r="BK2438" s="25"/>
    </row>
    <row r="2439" spans="60:63" ht="14.25" x14ac:dyDescent="0.2">
      <c r="BH2439" s="25"/>
      <c r="BI2439" s="25"/>
      <c r="BJ2439" s="25"/>
      <c r="BK2439" s="25"/>
    </row>
    <row r="2440" spans="60:63" ht="14.25" x14ac:dyDescent="0.2">
      <c r="BH2440" s="25"/>
      <c r="BI2440" s="25"/>
      <c r="BJ2440" s="25"/>
      <c r="BK2440" s="25"/>
    </row>
    <row r="2441" spans="60:63" ht="14.25" x14ac:dyDescent="0.2">
      <c r="BH2441" s="25"/>
      <c r="BI2441" s="25"/>
      <c r="BJ2441" s="25"/>
      <c r="BK2441" s="25"/>
    </row>
    <row r="2442" spans="60:63" ht="14.25" x14ac:dyDescent="0.2">
      <c r="BH2442" s="25"/>
      <c r="BI2442" s="25"/>
      <c r="BJ2442" s="25"/>
      <c r="BK2442" s="25"/>
    </row>
    <row r="2443" spans="60:63" ht="14.25" x14ac:dyDescent="0.2">
      <c r="BH2443" s="25"/>
      <c r="BI2443" s="25"/>
      <c r="BJ2443" s="25"/>
      <c r="BK2443" s="25"/>
    </row>
    <row r="2444" spans="60:63" ht="14.25" x14ac:dyDescent="0.2">
      <c r="BH2444" s="25"/>
      <c r="BI2444" s="25"/>
      <c r="BJ2444" s="25"/>
      <c r="BK2444" s="25"/>
    </row>
    <row r="2445" spans="60:63" ht="14.25" x14ac:dyDescent="0.2">
      <c r="BH2445" s="25"/>
      <c r="BI2445" s="25"/>
      <c r="BJ2445" s="25"/>
      <c r="BK2445" s="25"/>
    </row>
    <row r="2446" spans="60:63" ht="14.25" x14ac:dyDescent="0.2">
      <c r="BH2446" s="25"/>
      <c r="BI2446" s="25"/>
      <c r="BJ2446" s="25"/>
      <c r="BK2446" s="25"/>
    </row>
    <row r="2447" spans="60:63" ht="14.25" x14ac:dyDescent="0.2">
      <c r="BH2447" s="25"/>
      <c r="BI2447" s="25"/>
      <c r="BJ2447" s="25"/>
      <c r="BK2447" s="25"/>
    </row>
    <row r="2448" spans="60:63" ht="14.25" x14ac:dyDescent="0.2">
      <c r="BH2448" s="25"/>
      <c r="BI2448" s="25"/>
      <c r="BJ2448" s="25"/>
      <c r="BK2448" s="25"/>
    </row>
    <row r="2449" spans="60:63" ht="14.25" x14ac:dyDescent="0.2">
      <c r="BH2449" s="25"/>
      <c r="BI2449" s="25"/>
      <c r="BJ2449" s="25"/>
      <c r="BK2449" s="25"/>
    </row>
    <row r="2450" spans="60:63" ht="14.25" x14ac:dyDescent="0.2">
      <c r="BH2450" s="25"/>
      <c r="BI2450" s="25"/>
      <c r="BJ2450" s="25"/>
      <c r="BK2450" s="25"/>
    </row>
    <row r="2451" spans="60:63" ht="14.25" x14ac:dyDescent="0.2">
      <c r="BH2451" s="25"/>
      <c r="BI2451" s="25"/>
      <c r="BJ2451" s="25"/>
      <c r="BK2451" s="25"/>
    </row>
    <row r="2452" spans="60:63" ht="14.25" x14ac:dyDescent="0.2">
      <c r="BH2452" s="25"/>
      <c r="BI2452" s="25"/>
      <c r="BJ2452" s="25"/>
      <c r="BK2452" s="25"/>
    </row>
    <row r="2453" spans="60:63" ht="14.25" x14ac:dyDescent="0.2">
      <c r="BH2453" s="25"/>
      <c r="BI2453" s="25"/>
      <c r="BJ2453" s="25"/>
      <c r="BK2453" s="25"/>
    </row>
    <row r="2454" spans="60:63" ht="14.25" x14ac:dyDescent="0.2">
      <c r="BH2454" s="25"/>
      <c r="BI2454" s="25"/>
      <c r="BJ2454" s="25"/>
      <c r="BK2454" s="25"/>
    </row>
    <row r="2455" spans="60:63" ht="14.25" x14ac:dyDescent="0.2">
      <c r="BH2455" s="25"/>
      <c r="BI2455" s="25"/>
      <c r="BJ2455" s="25"/>
      <c r="BK2455" s="25"/>
    </row>
    <row r="2456" spans="60:63" ht="14.25" x14ac:dyDescent="0.2">
      <c r="BH2456" s="25"/>
      <c r="BI2456" s="25"/>
      <c r="BJ2456" s="25"/>
      <c r="BK2456" s="25"/>
    </row>
    <row r="2457" spans="60:63" ht="14.25" x14ac:dyDescent="0.2">
      <c r="BH2457" s="25"/>
      <c r="BI2457" s="25"/>
      <c r="BJ2457" s="25"/>
      <c r="BK2457" s="25"/>
    </row>
    <row r="2458" spans="60:63" ht="14.25" x14ac:dyDescent="0.2">
      <c r="BH2458" s="25"/>
      <c r="BI2458" s="25"/>
      <c r="BJ2458" s="25"/>
      <c r="BK2458" s="25"/>
    </row>
    <row r="2459" spans="60:63" ht="14.25" x14ac:dyDescent="0.2">
      <c r="BH2459" s="25"/>
      <c r="BI2459" s="25"/>
      <c r="BJ2459" s="25"/>
      <c r="BK2459" s="25"/>
    </row>
    <row r="2460" spans="60:63" ht="14.25" x14ac:dyDescent="0.2">
      <c r="BH2460" s="25"/>
      <c r="BI2460" s="25"/>
      <c r="BJ2460" s="25"/>
      <c r="BK2460" s="25"/>
    </row>
    <row r="2461" spans="60:63" ht="14.25" x14ac:dyDescent="0.2">
      <c r="BH2461" s="25"/>
      <c r="BI2461" s="25"/>
      <c r="BJ2461" s="25"/>
      <c r="BK2461" s="25"/>
    </row>
    <row r="2462" spans="60:63" ht="14.25" x14ac:dyDescent="0.2">
      <c r="BH2462" s="25"/>
      <c r="BI2462" s="25"/>
      <c r="BJ2462" s="25"/>
      <c r="BK2462" s="25"/>
    </row>
    <row r="2463" spans="60:63" ht="14.25" x14ac:dyDescent="0.2">
      <c r="BH2463" s="25"/>
      <c r="BI2463" s="25"/>
      <c r="BJ2463" s="25"/>
      <c r="BK2463" s="25"/>
    </row>
    <row r="2464" spans="60:63" ht="14.25" x14ac:dyDescent="0.2">
      <c r="BH2464" s="25"/>
      <c r="BI2464" s="25"/>
      <c r="BJ2464" s="25"/>
      <c r="BK2464" s="25"/>
    </row>
    <row r="2465" spans="60:63" ht="14.25" x14ac:dyDescent="0.2">
      <c r="BH2465" s="25"/>
      <c r="BI2465" s="25"/>
      <c r="BJ2465" s="25"/>
      <c r="BK2465" s="25"/>
    </row>
    <row r="2466" spans="60:63" ht="14.25" x14ac:dyDescent="0.2">
      <c r="BH2466" s="25"/>
      <c r="BI2466" s="25"/>
      <c r="BJ2466" s="25"/>
      <c r="BK2466" s="25"/>
    </row>
    <row r="2467" spans="60:63" ht="14.25" x14ac:dyDescent="0.2">
      <c r="BH2467" s="25"/>
      <c r="BI2467" s="25"/>
      <c r="BJ2467" s="25"/>
      <c r="BK2467" s="25"/>
    </row>
    <row r="2468" spans="60:63" ht="14.25" x14ac:dyDescent="0.2">
      <c r="BH2468" s="25"/>
      <c r="BI2468" s="25"/>
      <c r="BJ2468" s="25"/>
      <c r="BK2468" s="25"/>
    </row>
    <row r="2469" spans="60:63" ht="14.25" x14ac:dyDescent="0.2">
      <c r="BH2469" s="25"/>
      <c r="BI2469" s="25"/>
      <c r="BJ2469" s="25"/>
      <c r="BK2469" s="25"/>
    </row>
    <row r="2470" spans="60:63" ht="14.25" x14ac:dyDescent="0.2">
      <c r="BH2470" s="25"/>
      <c r="BI2470" s="25"/>
      <c r="BJ2470" s="25"/>
      <c r="BK2470" s="25"/>
    </row>
    <row r="2471" spans="60:63" ht="14.25" x14ac:dyDescent="0.2">
      <c r="BH2471" s="25"/>
      <c r="BI2471" s="25"/>
      <c r="BJ2471" s="25"/>
      <c r="BK2471" s="25"/>
    </row>
    <row r="2472" spans="60:63" ht="14.25" x14ac:dyDescent="0.2">
      <c r="BH2472" s="25"/>
      <c r="BI2472" s="25"/>
      <c r="BJ2472" s="25"/>
      <c r="BK2472" s="25"/>
    </row>
    <row r="2473" spans="60:63" ht="14.25" x14ac:dyDescent="0.2">
      <c r="BH2473" s="25"/>
      <c r="BI2473" s="25"/>
      <c r="BJ2473" s="25"/>
      <c r="BK2473" s="25"/>
    </row>
    <row r="2474" spans="60:63" ht="14.25" x14ac:dyDescent="0.2">
      <c r="BH2474" s="25"/>
      <c r="BI2474" s="25"/>
      <c r="BJ2474" s="25"/>
      <c r="BK2474" s="25"/>
    </row>
    <row r="2475" spans="60:63" ht="14.25" x14ac:dyDescent="0.2">
      <c r="BH2475" s="25"/>
      <c r="BI2475" s="25"/>
      <c r="BJ2475" s="25"/>
      <c r="BK2475" s="25"/>
    </row>
    <row r="2476" spans="60:63" ht="14.25" x14ac:dyDescent="0.2">
      <c r="BH2476" s="25"/>
      <c r="BI2476" s="25"/>
      <c r="BJ2476" s="25"/>
      <c r="BK2476" s="25"/>
    </row>
    <row r="2477" spans="60:63" ht="14.25" x14ac:dyDescent="0.2">
      <c r="BH2477" s="25"/>
      <c r="BI2477" s="25"/>
      <c r="BJ2477" s="25"/>
      <c r="BK2477" s="25"/>
    </row>
    <row r="2478" spans="60:63" ht="14.25" x14ac:dyDescent="0.2">
      <c r="BH2478" s="25"/>
      <c r="BI2478" s="25"/>
      <c r="BJ2478" s="25"/>
      <c r="BK2478" s="25"/>
    </row>
    <row r="2479" spans="60:63" ht="14.25" x14ac:dyDescent="0.2">
      <c r="BH2479" s="25"/>
      <c r="BI2479" s="25"/>
      <c r="BJ2479" s="25"/>
      <c r="BK2479" s="25"/>
    </row>
    <row r="2480" spans="60:63" ht="14.25" x14ac:dyDescent="0.2">
      <c r="BH2480" s="25"/>
      <c r="BI2480" s="25"/>
      <c r="BJ2480" s="25"/>
      <c r="BK2480" s="25"/>
    </row>
    <row r="2481" spans="60:63" ht="14.25" x14ac:dyDescent="0.2">
      <c r="BH2481" s="25"/>
      <c r="BI2481" s="25"/>
      <c r="BJ2481" s="25"/>
      <c r="BK2481" s="25"/>
    </row>
    <row r="2482" spans="60:63" ht="14.25" x14ac:dyDescent="0.2">
      <c r="BH2482" s="25"/>
      <c r="BI2482" s="25"/>
      <c r="BJ2482" s="25"/>
      <c r="BK2482" s="25"/>
    </row>
    <row r="2483" spans="60:63" ht="14.25" x14ac:dyDescent="0.2">
      <c r="BH2483" s="25"/>
      <c r="BI2483" s="25"/>
      <c r="BJ2483" s="25"/>
      <c r="BK2483" s="25"/>
    </row>
    <row r="2484" spans="60:63" ht="14.25" x14ac:dyDescent="0.2">
      <c r="BH2484" s="25"/>
      <c r="BI2484" s="25"/>
      <c r="BJ2484" s="25"/>
      <c r="BK2484" s="25"/>
    </row>
    <row r="2485" spans="60:63" ht="14.25" x14ac:dyDescent="0.2">
      <c r="BH2485" s="25"/>
      <c r="BI2485" s="25"/>
      <c r="BJ2485" s="25"/>
      <c r="BK2485" s="25"/>
    </row>
    <row r="2486" spans="60:63" ht="14.25" x14ac:dyDescent="0.2">
      <c r="BH2486" s="25"/>
      <c r="BI2486" s="25"/>
      <c r="BJ2486" s="25"/>
      <c r="BK2486" s="25"/>
    </row>
    <row r="2487" spans="60:63" ht="14.25" x14ac:dyDescent="0.2">
      <c r="BH2487" s="25"/>
      <c r="BI2487" s="25"/>
      <c r="BJ2487" s="25"/>
      <c r="BK2487" s="25"/>
    </row>
    <row r="2488" spans="60:63" ht="14.25" x14ac:dyDescent="0.2">
      <c r="BH2488" s="25"/>
      <c r="BI2488" s="25"/>
      <c r="BJ2488" s="25"/>
      <c r="BK2488" s="25"/>
    </row>
    <row r="2489" spans="60:63" ht="14.25" x14ac:dyDescent="0.2">
      <c r="BH2489" s="25"/>
      <c r="BI2489" s="25"/>
      <c r="BJ2489" s="25"/>
      <c r="BK2489" s="25"/>
    </row>
    <row r="2490" spans="60:63" ht="14.25" x14ac:dyDescent="0.2">
      <c r="BH2490" s="25"/>
      <c r="BI2490" s="25"/>
      <c r="BJ2490" s="25"/>
      <c r="BK2490" s="25"/>
    </row>
    <row r="2491" spans="60:63" ht="14.25" x14ac:dyDescent="0.2">
      <c r="BH2491" s="25"/>
      <c r="BI2491" s="25"/>
      <c r="BJ2491" s="25"/>
      <c r="BK2491" s="25"/>
    </row>
    <row r="2492" spans="60:63" ht="14.25" x14ac:dyDescent="0.2">
      <c r="BH2492" s="25"/>
      <c r="BI2492" s="25"/>
      <c r="BJ2492" s="25"/>
      <c r="BK2492" s="25"/>
    </row>
    <row r="2493" spans="60:63" ht="14.25" x14ac:dyDescent="0.2">
      <c r="BH2493" s="25"/>
      <c r="BI2493" s="25"/>
      <c r="BJ2493" s="25"/>
      <c r="BK2493" s="25"/>
    </row>
    <row r="2494" spans="60:63" ht="14.25" x14ac:dyDescent="0.2">
      <c r="BH2494" s="25"/>
      <c r="BI2494" s="25"/>
      <c r="BJ2494" s="25"/>
      <c r="BK2494" s="25"/>
    </row>
    <row r="2495" spans="60:63" ht="14.25" x14ac:dyDescent="0.2">
      <c r="BH2495" s="25"/>
      <c r="BI2495" s="25"/>
      <c r="BJ2495" s="25"/>
      <c r="BK2495" s="25"/>
    </row>
    <row r="2496" spans="60:63" ht="14.25" x14ac:dyDescent="0.2">
      <c r="BH2496" s="25"/>
      <c r="BI2496" s="25"/>
      <c r="BJ2496" s="25"/>
      <c r="BK2496" s="25"/>
    </row>
    <row r="2497" spans="60:63" ht="14.25" x14ac:dyDescent="0.2">
      <c r="BH2497" s="25"/>
      <c r="BI2497" s="25"/>
      <c r="BJ2497" s="25"/>
      <c r="BK2497" s="25"/>
    </row>
    <row r="2498" spans="60:63" ht="14.25" x14ac:dyDescent="0.2">
      <c r="BH2498" s="25"/>
      <c r="BI2498" s="25"/>
      <c r="BJ2498" s="25"/>
      <c r="BK2498" s="25"/>
    </row>
    <row r="2499" spans="60:63" ht="14.25" x14ac:dyDescent="0.2">
      <c r="BH2499" s="25"/>
      <c r="BI2499" s="25"/>
      <c r="BJ2499" s="25"/>
      <c r="BK2499" s="25"/>
    </row>
    <row r="2500" spans="60:63" ht="14.25" x14ac:dyDescent="0.2">
      <c r="BH2500" s="25"/>
      <c r="BI2500" s="25"/>
      <c r="BJ2500" s="25"/>
      <c r="BK2500" s="25"/>
    </row>
    <row r="2501" spans="60:63" ht="14.25" x14ac:dyDescent="0.2">
      <c r="BH2501" s="25"/>
      <c r="BI2501" s="25"/>
      <c r="BJ2501" s="25"/>
      <c r="BK2501" s="25"/>
    </row>
    <row r="2502" spans="60:63" ht="14.25" x14ac:dyDescent="0.2">
      <c r="BH2502" s="25"/>
      <c r="BI2502" s="25"/>
      <c r="BJ2502" s="25"/>
      <c r="BK2502" s="25"/>
    </row>
    <row r="2503" spans="60:63" ht="14.25" x14ac:dyDescent="0.2">
      <c r="BH2503" s="25"/>
      <c r="BI2503" s="25"/>
      <c r="BJ2503" s="25"/>
      <c r="BK2503" s="25"/>
    </row>
    <row r="2504" spans="60:63" ht="14.25" x14ac:dyDescent="0.2">
      <c r="BH2504" s="25"/>
      <c r="BI2504" s="25"/>
      <c r="BJ2504" s="25"/>
      <c r="BK2504" s="25"/>
    </row>
    <row r="2505" spans="60:63" ht="14.25" x14ac:dyDescent="0.2">
      <c r="BH2505" s="25"/>
      <c r="BI2505" s="25"/>
      <c r="BJ2505" s="25"/>
      <c r="BK2505" s="25"/>
    </row>
    <row r="2506" spans="60:63" ht="14.25" x14ac:dyDescent="0.2">
      <c r="BH2506" s="25"/>
      <c r="BI2506" s="25"/>
      <c r="BJ2506" s="25"/>
      <c r="BK2506" s="25"/>
    </row>
    <row r="2507" spans="60:63" ht="14.25" x14ac:dyDescent="0.2">
      <c r="BH2507" s="25"/>
      <c r="BI2507" s="25"/>
      <c r="BJ2507" s="25"/>
      <c r="BK2507" s="25"/>
    </row>
    <row r="2508" spans="60:63" ht="14.25" x14ac:dyDescent="0.2">
      <c r="BH2508" s="25"/>
      <c r="BI2508" s="25"/>
      <c r="BJ2508" s="25"/>
      <c r="BK2508" s="25"/>
    </row>
    <row r="2509" spans="60:63" ht="14.25" x14ac:dyDescent="0.2">
      <c r="BH2509" s="25"/>
      <c r="BI2509" s="25"/>
      <c r="BJ2509" s="25"/>
      <c r="BK2509" s="25"/>
    </row>
    <row r="2510" spans="60:63" ht="14.25" x14ac:dyDescent="0.2">
      <c r="BH2510" s="25"/>
      <c r="BI2510" s="25"/>
      <c r="BJ2510" s="25"/>
      <c r="BK2510" s="25"/>
    </row>
    <row r="2511" spans="60:63" ht="14.25" x14ac:dyDescent="0.2">
      <c r="BH2511" s="25"/>
      <c r="BI2511" s="25"/>
      <c r="BJ2511" s="25"/>
      <c r="BK2511" s="25"/>
    </row>
    <row r="2512" spans="60:63" ht="14.25" x14ac:dyDescent="0.2">
      <c r="BH2512" s="25"/>
      <c r="BI2512" s="25"/>
      <c r="BJ2512" s="25"/>
      <c r="BK2512" s="25"/>
    </row>
    <row r="2513" spans="60:63" ht="14.25" x14ac:dyDescent="0.2">
      <c r="BH2513" s="25"/>
      <c r="BI2513" s="25"/>
      <c r="BJ2513" s="25"/>
      <c r="BK2513" s="25"/>
    </row>
    <row r="2514" spans="60:63" ht="14.25" x14ac:dyDescent="0.2">
      <c r="BH2514" s="25"/>
      <c r="BI2514" s="25"/>
      <c r="BJ2514" s="25"/>
      <c r="BK2514" s="25"/>
    </row>
    <row r="2515" spans="60:63" ht="14.25" x14ac:dyDescent="0.2">
      <c r="BH2515" s="25"/>
      <c r="BI2515" s="25"/>
      <c r="BJ2515" s="25"/>
      <c r="BK2515" s="25"/>
    </row>
    <row r="2516" spans="60:63" ht="14.25" x14ac:dyDescent="0.2">
      <c r="BH2516" s="25"/>
      <c r="BI2516" s="25"/>
      <c r="BJ2516" s="25"/>
      <c r="BK2516" s="25"/>
    </row>
    <row r="2517" spans="60:63" ht="14.25" x14ac:dyDescent="0.2">
      <c r="BH2517" s="25"/>
      <c r="BI2517" s="25"/>
      <c r="BJ2517" s="25"/>
      <c r="BK2517" s="25"/>
    </row>
    <row r="2518" spans="60:63" ht="14.25" x14ac:dyDescent="0.2">
      <c r="BH2518" s="25"/>
      <c r="BI2518" s="25"/>
      <c r="BJ2518" s="25"/>
      <c r="BK2518" s="25"/>
    </row>
    <row r="2519" spans="60:63" ht="14.25" x14ac:dyDescent="0.2">
      <c r="BH2519" s="25"/>
      <c r="BI2519" s="25"/>
      <c r="BJ2519" s="25"/>
      <c r="BK2519" s="25"/>
    </row>
    <row r="2520" spans="60:63" ht="14.25" x14ac:dyDescent="0.2">
      <c r="BH2520" s="25"/>
      <c r="BI2520" s="25"/>
      <c r="BJ2520" s="25"/>
      <c r="BK2520" s="25"/>
    </row>
    <row r="2521" spans="60:63" ht="14.25" x14ac:dyDescent="0.2">
      <c r="BH2521" s="25"/>
      <c r="BI2521" s="25"/>
      <c r="BJ2521" s="25"/>
      <c r="BK2521" s="25"/>
    </row>
    <row r="2522" spans="60:63" ht="14.25" x14ac:dyDescent="0.2">
      <c r="BH2522" s="25"/>
      <c r="BI2522" s="25"/>
      <c r="BJ2522" s="25"/>
      <c r="BK2522" s="25"/>
    </row>
    <row r="2523" spans="60:63" ht="14.25" x14ac:dyDescent="0.2">
      <c r="BH2523" s="25"/>
      <c r="BI2523" s="25"/>
      <c r="BJ2523" s="25"/>
      <c r="BK2523" s="25"/>
    </row>
    <row r="2524" spans="60:63" ht="14.25" x14ac:dyDescent="0.2">
      <c r="BH2524" s="25"/>
      <c r="BI2524" s="25"/>
      <c r="BJ2524" s="25"/>
      <c r="BK2524" s="25"/>
    </row>
    <row r="2525" spans="60:63" ht="14.25" x14ac:dyDescent="0.2">
      <c r="BH2525" s="25"/>
      <c r="BI2525" s="25"/>
      <c r="BJ2525" s="25"/>
      <c r="BK2525" s="25"/>
    </row>
    <row r="2526" spans="60:63" ht="14.25" x14ac:dyDescent="0.2">
      <c r="BH2526" s="25"/>
      <c r="BI2526" s="25"/>
      <c r="BJ2526" s="25"/>
      <c r="BK2526" s="25"/>
    </row>
    <row r="2527" spans="60:63" ht="14.25" x14ac:dyDescent="0.2">
      <c r="BH2527" s="25"/>
      <c r="BI2527" s="25"/>
      <c r="BJ2527" s="25"/>
      <c r="BK2527" s="25"/>
    </row>
    <row r="2528" spans="60:63" ht="14.25" x14ac:dyDescent="0.2">
      <c r="BH2528" s="25"/>
      <c r="BI2528" s="25"/>
      <c r="BJ2528" s="25"/>
      <c r="BK2528" s="25"/>
    </row>
    <row r="2529" spans="60:63" ht="14.25" x14ac:dyDescent="0.2">
      <c r="BH2529" s="25"/>
      <c r="BI2529" s="25"/>
      <c r="BJ2529" s="25"/>
      <c r="BK2529" s="25"/>
    </row>
    <row r="2530" spans="60:63" ht="14.25" x14ac:dyDescent="0.2">
      <c r="BH2530" s="25"/>
      <c r="BI2530" s="25"/>
      <c r="BJ2530" s="25"/>
      <c r="BK2530" s="25"/>
    </row>
    <row r="2531" spans="60:63" ht="14.25" x14ac:dyDescent="0.2">
      <c r="BH2531" s="25"/>
      <c r="BI2531" s="25"/>
      <c r="BJ2531" s="25"/>
      <c r="BK2531" s="25"/>
    </row>
    <row r="2532" spans="60:63" ht="14.25" x14ac:dyDescent="0.2">
      <c r="BH2532" s="25"/>
      <c r="BI2532" s="25"/>
      <c r="BJ2532" s="25"/>
      <c r="BK2532" s="25"/>
    </row>
    <row r="2533" spans="60:63" ht="14.25" x14ac:dyDescent="0.2">
      <c r="BH2533" s="25"/>
      <c r="BI2533" s="25"/>
      <c r="BJ2533" s="25"/>
      <c r="BK2533" s="25"/>
    </row>
    <row r="2534" spans="60:63" ht="14.25" x14ac:dyDescent="0.2">
      <c r="BH2534" s="25"/>
      <c r="BI2534" s="25"/>
      <c r="BJ2534" s="25"/>
      <c r="BK2534" s="25"/>
    </row>
    <row r="2535" spans="60:63" ht="14.25" x14ac:dyDescent="0.2">
      <c r="BH2535" s="25"/>
      <c r="BI2535" s="25"/>
      <c r="BJ2535" s="25"/>
      <c r="BK2535" s="25"/>
    </row>
    <row r="2536" spans="60:63" ht="14.25" x14ac:dyDescent="0.2">
      <c r="BH2536" s="25"/>
      <c r="BI2536" s="25"/>
      <c r="BJ2536" s="25"/>
      <c r="BK2536" s="25"/>
    </row>
    <row r="2537" spans="60:63" ht="14.25" x14ac:dyDescent="0.2">
      <c r="BH2537" s="25"/>
      <c r="BI2537" s="25"/>
      <c r="BJ2537" s="25"/>
      <c r="BK2537" s="25"/>
    </row>
    <row r="2538" spans="60:63" ht="14.25" x14ac:dyDescent="0.2">
      <c r="BH2538" s="25"/>
      <c r="BI2538" s="25"/>
      <c r="BJ2538" s="25"/>
      <c r="BK2538" s="25"/>
    </row>
    <row r="2539" spans="60:63" ht="14.25" x14ac:dyDescent="0.2">
      <c r="BH2539" s="25"/>
      <c r="BI2539" s="25"/>
      <c r="BJ2539" s="25"/>
      <c r="BK2539" s="25"/>
    </row>
    <row r="2540" spans="60:63" ht="14.25" x14ac:dyDescent="0.2">
      <c r="BH2540" s="25"/>
      <c r="BI2540" s="25"/>
      <c r="BJ2540" s="25"/>
      <c r="BK2540" s="25"/>
    </row>
    <row r="2541" spans="60:63" ht="14.25" x14ac:dyDescent="0.2">
      <c r="BH2541" s="25"/>
      <c r="BI2541" s="25"/>
      <c r="BJ2541" s="25"/>
      <c r="BK2541" s="25"/>
    </row>
    <row r="2542" spans="60:63" ht="14.25" x14ac:dyDescent="0.2">
      <c r="BH2542" s="25"/>
      <c r="BI2542" s="25"/>
      <c r="BJ2542" s="25"/>
      <c r="BK2542" s="25"/>
    </row>
    <row r="2543" spans="60:63" ht="14.25" x14ac:dyDescent="0.2">
      <c r="BH2543" s="25"/>
      <c r="BI2543" s="25"/>
      <c r="BJ2543" s="25"/>
      <c r="BK2543" s="25"/>
    </row>
    <row r="2544" spans="60:63" ht="14.25" x14ac:dyDescent="0.2">
      <c r="BH2544" s="25"/>
      <c r="BI2544" s="25"/>
      <c r="BJ2544" s="25"/>
      <c r="BK2544" s="25"/>
    </row>
    <row r="2545" spans="60:63" ht="14.25" x14ac:dyDescent="0.2">
      <c r="BH2545" s="25"/>
      <c r="BI2545" s="25"/>
      <c r="BJ2545" s="25"/>
      <c r="BK2545" s="25"/>
    </row>
    <row r="2546" spans="60:63" ht="14.25" x14ac:dyDescent="0.2">
      <c r="BH2546" s="25"/>
      <c r="BI2546" s="25"/>
      <c r="BJ2546" s="25"/>
      <c r="BK2546" s="25"/>
    </row>
    <row r="2547" spans="60:63" ht="14.25" x14ac:dyDescent="0.2">
      <c r="BH2547" s="25"/>
      <c r="BI2547" s="25"/>
      <c r="BJ2547" s="25"/>
      <c r="BK2547" s="25"/>
    </row>
    <row r="2548" spans="60:63" ht="14.25" x14ac:dyDescent="0.2">
      <c r="BH2548" s="25"/>
      <c r="BI2548" s="25"/>
      <c r="BJ2548" s="25"/>
      <c r="BK2548" s="25"/>
    </row>
    <row r="2549" spans="60:63" ht="14.25" x14ac:dyDescent="0.2">
      <c r="BH2549" s="25"/>
      <c r="BI2549" s="25"/>
      <c r="BJ2549" s="25"/>
      <c r="BK2549" s="25"/>
    </row>
    <row r="2550" spans="60:63" ht="14.25" x14ac:dyDescent="0.2">
      <c r="BH2550" s="25"/>
      <c r="BI2550" s="25"/>
      <c r="BJ2550" s="25"/>
      <c r="BK2550" s="25"/>
    </row>
    <row r="2551" spans="60:63" ht="14.25" x14ac:dyDescent="0.2">
      <c r="BH2551" s="25"/>
      <c r="BI2551" s="25"/>
      <c r="BJ2551" s="25"/>
      <c r="BK2551" s="25"/>
    </row>
    <row r="2552" spans="60:63" ht="14.25" x14ac:dyDescent="0.2">
      <c r="BH2552" s="25"/>
      <c r="BI2552" s="25"/>
      <c r="BJ2552" s="25"/>
      <c r="BK2552" s="25"/>
    </row>
    <row r="2553" spans="60:63" ht="14.25" x14ac:dyDescent="0.2">
      <c r="BH2553" s="25"/>
      <c r="BI2553" s="25"/>
      <c r="BJ2553" s="25"/>
      <c r="BK2553" s="25"/>
    </row>
    <row r="2554" spans="60:63" ht="14.25" x14ac:dyDescent="0.2">
      <c r="BH2554" s="25"/>
      <c r="BI2554" s="25"/>
      <c r="BJ2554" s="25"/>
      <c r="BK2554" s="25"/>
    </row>
    <row r="2555" spans="60:63" ht="14.25" x14ac:dyDescent="0.2">
      <c r="BH2555" s="25"/>
      <c r="BI2555" s="25"/>
      <c r="BJ2555" s="25"/>
      <c r="BK2555" s="25"/>
    </row>
    <row r="2556" spans="60:63" ht="14.25" x14ac:dyDescent="0.2">
      <c r="BH2556" s="25"/>
      <c r="BI2556" s="25"/>
      <c r="BJ2556" s="25"/>
      <c r="BK2556" s="25"/>
    </row>
    <row r="2557" spans="60:63" ht="14.25" x14ac:dyDescent="0.2">
      <c r="BH2557" s="25"/>
      <c r="BI2557" s="25"/>
      <c r="BJ2557" s="25"/>
      <c r="BK2557" s="25"/>
    </row>
    <row r="2558" spans="60:63" ht="14.25" x14ac:dyDescent="0.2">
      <c r="BH2558" s="25"/>
      <c r="BI2558" s="25"/>
      <c r="BJ2558" s="25"/>
      <c r="BK2558" s="25"/>
    </row>
    <row r="2559" spans="60:63" ht="14.25" x14ac:dyDescent="0.2">
      <c r="BH2559" s="25"/>
      <c r="BI2559" s="25"/>
      <c r="BJ2559" s="25"/>
      <c r="BK2559" s="25"/>
    </row>
    <row r="2560" spans="60:63" ht="14.25" x14ac:dyDescent="0.2">
      <c r="BH2560" s="25"/>
      <c r="BI2560" s="25"/>
      <c r="BJ2560" s="25"/>
      <c r="BK2560" s="25"/>
    </row>
    <row r="2561" spans="60:63" ht="14.25" x14ac:dyDescent="0.2">
      <c r="BH2561" s="25"/>
      <c r="BI2561" s="25"/>
      <c r="BJ2561" s="25"/>
      <c r="BK2561" s="25"/>
    </row>
    <row r="2562" spans="60:63" ht="14.25" x14ac:dyDescent="0.2">
      <c r="BH2562" s="25"/>
      <c r="BI2562" s="25"/>
      <c r="BJ2562" s="25"/>
      <c r="BK2562" s="25"/>
    </row>
    <row r="2563" spans="60:63" ht="14.25" x14ac:dyDescent="0.2">
      <c r="BH2563" s="25"/>
      <c r="BI2563" s="25"/>
      <c r="BJ2563" s="25"/>
      <c r="BK2563" s="25"/>
    </row>
    <row r="2564" spans="60:63" ht="14.25" x14ac:dyDescent="0.2">
      <c r="BH2564" s="25"/>
      <c r="BI2564" s="25"/>
      <c r="BJ2564" s="25"/>
      <c r="BK2564" s="25"/>
    </row>
    <row r="2565" spans="60:63" ht="14.25" x14ac:dyDescent="0.2">
      <c r="BH2565" s="25"/>
      <c r="BI2565" s="25"/>
      <c r="BJ2565" s="25"/>
      <c r="BK2565" s="25"/>
    </row>
    <row r="2566" spans="60:63" ht="14.25" x14ac:dyDescent="0.2">
      <c r="BH2566" s="25"/>
      <c r="BI2566" s="25"/>
      <c r="BJ2566" s="25"/>
      <c r="BK2566" s="25"/>
    </row>
    <row r="2567" spans="60:63" ht="14.25" x14ac:dyDescent="0.2">
      <c r="BH2567" s="25"/>
      <c r="BI2567" s="25"/>
      <c r="BJ2567" s="25"/>
      <c r="BK2567" s="25"/>
    </row>
    <row r="2568" spans="60:63" ht="14.25" x14ac:dyDescent="0.2">
      <c r="BH2568" s="25"/>
      <c r="BI2568" s="25"/>
      <c r="BJ2568" s="25"/>
      <c r="BK2568" s="25"/>
    </row>
    <row r="2569" spans="60:63" ht="14.25" x14ac:dyDescent="0.2">
      <c r="BH2569" s="25"/>
      <c r="BI2569" s="25"/>
      <c r="BJ2569" s="25"/>
      <c r="BK2569" s="25"/>
    </row>
    <row r="2570" spans="60:63" ht="14.25" x14ac:dyDescent="0.2">
      <c r="BH2570" s="25"/>
      <c r="BI2570" s="25"/>
      <c r="BJ2570" s="25"/>
      <c r="BK2570" s="25"/>
    </row>
    <row r="2571" spans="60:63" ht="14.25" x14ac:dyDescent="0.2">
      <c r="BH2571" s="25"/>
      <c r="BI2571" s="25"/>
      <c r="BJ2571" s="25"/>
      <c r="BK2571" s="25"/>
    </row>
    <row r="2572" spans="60:63" ht="14.25" x14ac:dyDescent="0.2">
      <c r="BH2572" s="25"/>
      <c r="BI2572" s="25"/>
      <c r="BJ2572" s="25"/>
      <c r="BK2572" s="25"/>
    </row>
    <row r="2573" spans="60:63" ht="14.25" x14ac:dyDescent="0.2">
      <c r="BH2573" s="25"/>
      <c r="BI2573" s="25"/>
      <c r="BJ2573" s="25"/>
      <c r="BK2573" s="25"/>
    </row>
    <row r="2574" spans="60:63" ht="14.25" x14ac:dyDescent="0.2">
      <c r="BH2574" s="25"/>
      <c r="BI2574" s="25"/>
      <c r="BJ2574" s="25"/>
      <c r="BK2574" s="25"/>
    </row>
    <row r="2575" spans="60:63" ht="14.25" x14ac:dyDescent="0.2">
      <c r="BH2575" s="25"/>
      <c r="BI2575" s="25"/>
      <c r="BJ2575" s="25"/>
      <c r="BK2575" s="25"/>
    </row>
    <row r="2576" spans="60:63" ht="14.25" x14ac:dyDescent="0.2">
      <c r="BH2576" s="25"/>
      <c r="BI2576" s="25"/>
      <c r="BJ2576" s="25"/>
      <c r="BK2576" s="25"/>
    </row>
    <row r="2577" spans="60:63" ht="14.25" x14ac:dyDescent="0.2">
      <c r="BH2577" s="25"/>
      <c r="BI2577" s="25"/>
      <c r="BJ2577" s="25"/>
      <c r="BK2577" s="25"/>
    </row>
    <row r="2578" spans="60:63" ht="14.25" x14ac:dyDescent="0.2">
      <c r="BH2578" s="25"/>
      <c r="BI2578" s="25"/>
      <c r="BJ2578" s="25"/>
      <c r="BK2578" s="25"/>
    </row>
    <row r="2579" spans="60:63" ht="14.25" x14ac:dyDescent="0.2">
      <c r="BH2579" s="25"/>
      <c r="BI2579" s="25"/>
      <c r="BJ2579" s="25"/>
      <c r="BK2579" s="25"/>
    </row>
    <row r="2580" spans="60:63" ht="14.25" x14ac:dyDescent="0.2">
      <c r="BH2580" s="25"/>
      <c r="BI2580" s="25"/>
      <c r="BJ2580" s="25"/>
      <c r="BK2580" s="25"/>
    </row>
    <row r="2581" spans="60:63" ht="14.25" x14ac:dyDescent="0.2">
      <c r="BH2581" s="25"/>
      <c r="BI2581" s="25"/>
      <c r="BJ2581" s="25"/>
      <c r="BK2581" s="25"/>
    </row>
    <row r="2582" spans="60:63" ht="14.25" x14ac:dyDescent="0.2">
      <c r="BH2582" s="25"/>
      <c r="BI2582" s="25"/>
      <c r="BJ2582" s="25"/>
      <c r="BK2582" s="25"/>
    </row>
    <row r="2583" spans="60:63" ht="14.25" x14ac:dyDescent="0.2">
      <c r="BH2583" s="25"/>
      <c r="BI2583" s="25"/>
      <c r="BJ2583" s="25"/>
      <c r="BK2583" s="25"/>
    </row>
    <row r="2584" spans="60:63" ht="14.25" x14ac:dyDescent="0.2">
      <c r="BH2584" s="25"/>
      <c r="BI2584" s="25"/>
      <c r="BJ2584" s="25"/>
      <c r="BK2584" s="25"/>
    </row>
    <row r="2585" spans="60:63" ht="14.25" x14ac:dyDescent="0.2">
      <c r="BH2585" s="25"/>
      <c r="BI2585" s="25"/>
      <c r="BJ2585" s="25"/>
      <c r="BK2585" s="25"/>
    </row>
    <row r="2586" spans="60:63" ht="14.25" x14ac:dyDescent="0.2">
      <c r="BH2586" s="25"/>
      <c r="BI2586" s="25"/>
      <c r="BJ2586" s="25"/>
      <c r="BK2586" s="25"/>
    </row>
    <row r="2587" spans="60:63" ht="14.25" x14ac:dyDescent="0.2">
      <c r="BH2587" s="25"/>
      <c r="BI2587" s="25"/>
      <c r="BJ2587" s="25"/>
      <c r="BK2587" s="25"/>
    </row>
    <row r="2588" spans="60:63" ht="14.25" x14ac:dyDescent="0.2">
      <c r="BH2588" s="25"/>
      <c r="BI2588" s="25"/>
      <c r="BJ2588" s="25"/>
      <c r="BK2588" s="25"/>
    </row>
    <row r="2589" spans="60:63" ht="14.25" x14ac:dyDescent="0.2">
      <c r="BH2589" s="25"/>
      <c r="BI2589" s="25"/>
      <c r="BJ2589" s="25"/>
      <c r="BK2589" s="25"/>
    </row>
    <row r="2590" spans="60:63" ht="14.25" x14ac:dyDescent="0.2">
      <c r="BH2590" s="25"/>
      <c r="BI2590" s="25"/>
      <c r="BJ2590" s="25"/>
      <c r="BK2590" s="25"/>
    </row>
    <row r="2591" spans="60:63" ht="14.25" x14ac:dyDescent="0.2">
      <c r="BH2591" s="25"/>
      <c r="BI2591" s="25"/>
      <c r="BJ2591" s="25"/>
      <c r="BK2591" s="25"/>
    </row>
    <row r="2592" spans="60:63" ht="14.25" x14ac:dyDescent="0.2">
      <c r="BH2592" s="25"/>
      <c r="BI2592" s="25"/>
      <c r="BJ2592" s="25"/>
      <c r="BK2592" s="25"/>
    </row>
    <row r="2593" spans="60:63" ht="14.25" x14ac:dyDescent="0.2">
      <c r="BH2593" s="25"/>
      <c r="BI2593" s="25"/>
      <c r="BJ2593" s="25"/>
      <c r="BK2593" s="25"/>
    </row>
    <row r="2594" spans="60:63" ht="14.25" x14ac:dyDescent="0.2">
      <c r="BH2594" s="25"/>
      <c r="BI2594" s="25"/>
      <c r="BJ2594" s="25"/>
      <c r="BK2594" s="25"/>
    </row>
    <row r="2595" spans="60:63" ht="14.25" x14ac:dyDescent="0.2">
      <c r="BH2595" s="25"/>
      <c r="BI2595" s="25"/>
      <c r="BJ2595" s="25"/>
      <c r="BK2595" s="25"/>
    </row>
    <row r="2596" spans="60:63" ht="14.25" x14ac:dyDescent="0.2">
      <c r="BH2596" s="25"/>
      <c r="BI2596" s="25"/>
      <c r="BJ2596" s="25"/>
      <c r="BK2596" s="25"/>
    </row>
    <row r="2597" spans="60:63" ht="14.25" x14ac:dyDescent="0.2">
      <c r="BH2597" s="25"/>
      <c r="BI2597" s="25"/>
      <c r="BJ2597" s="25"/>
      <c r="BK2597" s="25"/>
    </row>
    <row r="2598" spans="60:63" ht="14.25" x14ac:dyDescent="0.2">
      <c r="BH2598" s="25"/>
      <c r="BI2598" s="25"/>
      <c r="BJ2598" s="25"/>
      <c r="BK2598" s="25"/>
    </row>
    <row r="2599" spans="60:63" ht="14.25" x14ac:dyDescent="0.2">
      <c r="BH2599" s="25"/>
      <c r="BI2599" s="25"/>
      <c r="BJ2599" s="25"/>
      <c r="BK2599" s="25"/>
    </row>
    <row r="2600" spans="60:63" ht="14.25" x14ac:dyDescent="0.2">
      <c r="BH2600" s="25"/>
      <c r="BI2600" s="25"/>
      <c r="BJ2600" s="25"/>
      <c r="BK2600" s="25"/>
    </row>
    <row r="2601" spans="60:63" ht="14.25" x14ac:dyDescent="0.2">
      <c r="BH2601" s="25"/>
      <c r="BI2601" s="25"/>
      <c r="BJ2601" s="25"/>
      <c r="BK2601" s="25"/>
    </row>
    <row r="2602" spans="60:63" ht="14.25" x14ac:dyDescent="0.2">
      <c r="BH2602" s="25"/>
      <c r="BI2602" s="25"/>
      <c r="BJ2602" s="25"/>
      <c r="BK2602" s="25"/>
    </row>
    <row r="2603" spans="60:63" ht="14.25" x14ac:dyDescent="0.2">
      <c r="BH2603" s="25"/>
      <c r="BI2603" s="25"/>
      <c r="BJ2603" s="25"/>
      <c r="BK2603" s="25"/>
    </row>
    <row r="2604" spans="60:63" ht="14.25" x14ac:dyDescent="0.2">
      <c r="BH2604" s="25"/>
      <c r="BI2604" s="25"/>
      <c r="BJ2604" s="25"/>
      <c r="BK2604" s="25"/>
    </row>
    <row r="2605" spans="60:63" ht="14.25" x14ac:dyDescent="0.2">
      <c r="BH2605" s="25"/>
      <c r="BI2605" s="25"/>
      <c r="BJ2605" s="25"/>
      <c r="BK2605" s="25"/>
    </row>
    <row r="2606" spans="60:63" ht="14.25" x14ac:dyDescent="0.2">
      <c r="BH2606" s="25"/>
      <c r="BI2606" s="25"/>
      <c r="BJ2606" s="25"/>
      <c r="BK2606" s="25"/>
    </row>
    <row r="2607" spans="60:63" ht="14.25" x14ac:dyDescent="0.2">
      <c r="BH2607" s="25"/>
      <c r="BI2607" s="25"/>
      <c r="BJ2607" s="25"/>
      <c r="BK2607" s="25"/>
    </row>
    <row r="2608" spans="60:63" ht="14.25" x14ac:dyDescent="0.2">
      <c r="BH2608" s="25"/>
      <c r="BI2608" s="25"/>
      <c r="BJ2608" s="25"/>
      <c r="BK2608" s="25"/>
    </row>
    <row r="2609" spans="60:63" ht="14.25" x14ac:dyDescent="0.2">
      <c r="BH2609" s="25"/>
      <c r="BI2609" s="25"/>
      <c r="BJ2609" s="25"/>
      <c r="BK2609" s="25"/>
    </row>
    <row r="2610" spans="60:63" ht="14.25" x14ac:dyDescent="0.2">
      <c r="BH2610" s="25"/>
      <c r="BI2610" s="25"/>
      <c r="BJ2610" s="25"/>
      <c r="BK2610" s="25"/>
    </row>
    <row r="2611" spans="60:63" ht="14.25" x14ac:dyDescent="0.2">
      <c r="BH2611" s="25"/>
      <c r="BI2611" s="25"/>
      <c r="BJ2611" s="25"/>
      <c r="BK2611" s="25"/>
    </row>
    <row r="2612" spans="60:63" ht="14.25" x14ac:dyDescent="0.2">
      <c r="BH2612" s="25"/>
      <c r="BI2612" s="25"/>
      <c r="BJ2612" s="25"/>
      <c r="BK2612" s="25"/>
    </row>
    <row r="2613" spans="60:63" ht="14.25" x14ac:dyDescent="0.2">
      <c r="BH2613" s="25"/>
      <c r="BI2613" s="25"/>
      <c r="BJ2613" s="25"/>
      <c r="BK2613" s="25"/>
    </row>
    <row r="2614" spans="60:63" ht="14.25" x14ac:dyDescent="0.2">
      <c r="BH2614" s="25"/>
      <c r="BI2614" s="25"/>
      <c r="BJ2614" s="25"/>
      <c r="BK2614" s="25"/>
    </row>
    <row r="2615" spans="60:63" ht="14.25" x14ac:dyDescent="0.2">
      <c r="BH2615" s="25"/>
      <c r="BI2615" s="25"/>
      <c r="BJ2615" s="25"/>
      <c r="BK2615" s="25"/>
    </row>
    <row r="2616" spans="60:63" ht="14.25" x14ac:dyDescent="0.2">
      <c r="BH2616" s="25"/>
      <c r="BI2616" s="25"/>
      <c r="BJ2616" s="25"/>
      <c r="BK2616" s="25"/>
    </row>
    <row r="2617" spans="60:63" ht="14.25" x14ac:dyDescent="0.2">
      <c r="BH2617" s="25"/>
      <c r="BI2617" s="25"/>
      <c r="BJ2617" s="25"/>
      <c r="BK2617" s="25"/>
    </row>
    <row r="2618" spans="60:63" ht="14.25" x14ac:dyDescent="0.2">
      <c r="BH2618" s="25"/>
      <c r="BI2618" s="25"/>
      <c r="BJ2618" s="25"/>
      <c r="BK2618" s="25"/>
    </row>
    <row r="2619" spans="60:63" ht="14.25" x14ac:dyDescent="0.2">
      <c r="BH2619" s="25"/>
      <c r="BI2619" s="25"/>
      <c r="BJ2619" s="25"/>
      <c r="BK2619" s="25"/>
    </row>
    <row r="2620" spans="60:63" ht="14.25" x14ac:dyDescent="0.2">
      <c r="BH2620" s="25"/>
      <c r="BI2620" s="25"/>
      <c r="BJ2620" s="25"/>
      <c r="BK2620" s="25"/>
    </row>
    <row r="2621" spans="60:63" ht="14.25" x14ac:dyDescent="0.2">
      <c r="BH2621" s="25"/>
      <c r="BI2621" s="25"/>
      <c r="BJ2621" s="25"/>
      <c r="BK2621" s="25"/>
    </row>
    <row r="2622" spans="60:63" ht="14.25" x14ac:dyDescent="0.2">
      <c r="BH2622" s="25"/>
      <c r="BI2622" s="25"/>
      <c r="BJ2622" s="25"/>
      <c r="BK2622" s="25"/>
    </row>
    <row r="2623" spans="60:63" ht="14.25" x14ac:dyDescent="0.2">
      <c r="BH2623" s="25"/>
      <c r="BI2623" s="25"/>
      <c r="BJ2623" s="25"/>
      <c r="BK2623" s="25"/>
    </row>
    <row r="2624" spans="60:63" ht="14.25" x14ac:dyDescent="0.2">
      <c r="BH2624" s="25"/>
      <c r="BI2624" s="25"/>
      <c r="BJ2624" s="25"/>
      <c r="BK2624" s="25"/>
    </row>
    <row r="2625" spans="60:63" ht="14.25" x14ac:dyDescent="0.2">
      <c r="BH2625" s="25"/>
      <c r="BI2625" s="25"/>
      <c r="BJ2625" s="25"/>
      <c r="BK2625" s="25"/>
    </row>
    <row r="2626" spans="60:63" ht="14.25" x14ac:dyDescent="0.2">
      <c r="BH2626" s="25"/>
      <c r="BI2626" s="25"/>
      <c r="BJ2626" s="25"/>
      <c r="BK2626" s="25"/>
    </row>
    <row r="2627" spans="60:63" ht="14.25" x14ac:dyDescent="0.2">
      <c r="BH2627" s="25"/>
      <c r="BI2627" s="25"/>
      <c r="BJ2627" s="25"/>
      <c r="BK2627" s="25"/>
    </row>
    <row r="2628" spans="60:63" ht="14.25" x14ac:dyDescent="0.2">
      <c r="BH2628" s="25"/>
      <c r="BI2628" s="25"/>
      <c r="BJ2628" s="25"/>
      <c r="BK2628" s="25"/>
    </row>
    <row r="2629" spans="60:63" ht="14.25" x14ac:dyDescent="0.2">
      <c r="BH2629" s="25"/>
      <c r="BI2629" s="25"/>
      <c r="BJ2629" s="25"/>
      <c r="BK2629" s="25"/>
    </row>
    <row r="2630" spans="60:63" ht="14.25" x14ac:dyDescent="0.2">
      <c r="BH2630" s="25"/>
      <c r="BI2630" s="25"/>
      <c r="BJ2630" s="25"/>
      <c r="BK2630" s="25"/>
    </row>
    <row r="2631" spans="60:63" ht="14.25" x14ac:dyDescent="0.2">
      <c r="BH2631" s="25"/>
      <c r="BI2631" s="25"/>
      <c r="BJ2631" s="25"/>
      <c r="BK2631" s="25"/>
    </row>
    <row r="2632" spans="60:63" ht="14.25" x14ac:dyDescent="0.2">
      <c r="BH2632" s="25"/>
      <c r="BI2632" s="25"/>
      <c r="BJ2632" s="25"/>
      <c r="BK2632" s="25"/>
    </row>
    <row r="2633" spans="60:63" ht="14.25" x14ac:dyDescent="0.2">
      <c r="BH2633" s="25"/>
      <c r="BI2633" s="25"/>
      <c r="BJ2633" s="25"/>
      <c r="BK2633" s="25"/>
    </row>
    <row r="2634" spans="60:63" ht="14.25" x14ac:dyDescent="0.2">
      <c r="BH2634" s="25"/>
      <c r="BI2634" s="25"/>
      <c r="BJ2634" s="25"/>
      <c r="BK2634" s="25"/>
    </row>
    <row r="2635" spans="60:63" ht="14.25" x14ac:dyDescent="0.2">
      <c r="BH2635" s="25"/>
      <c r="BI2635" s="25"/>
      <c r="BJ2635" s="25"/>
      <c r="BK2635" s="25"/>
    </row>
    <row r="2636" spans="60:63" ht="14.25" x14ac:dyDescent="0.2">
      <c r="BH2636" s="25"/>
      <c r="BI2636" s="25"/>
      <c r="BJ2636" s="25"/>
      <c r="BK2636" s="25"/>
    </row>
    <row r="2637" spans="60:63" ht="14.25" x14ac:dyDescent="0.2">
      <c r="BH2637" s="25"/>
      <c r="BI2637" s="25"/>
      <c r="BJ2637" s="25"/>
      <c r="BK2637" s="25"/>
    </row>
    <row r="2638" spans="60:63" ht="14.25" x14ac:dyDescent="0.2">
      <c r="BH2638" s="25"/>
      <c r="BI2638" s="25"/>
      <c r="BJ2638" s="25"/>
      <c r="BK2638" s="25"/>
    </row>
    <row r="2639" spans="60:63" ht="14.25" x14ac:dyDescent="0.2">
      <c r="BH2639" s="25"/>
      <c r="BI2639" s="25"/>
      <c r="BJ2639" s="25"/>
      <c r="BK2639" s="25"/>
    </row>
    <row r="2640" spans="60:63" ht="14.25" x14ac:dyDescent="0.2">
      <c r="BH2640" s="25"/>
      <c r="BI2640" s="25"/>
      <c r="BJ2640" s="25"/>
      <c r="BK2640" s="25"/>
    </row>
    <row r="2641" spans="60:63" ht="14.25" x14ac:dyDescent="0.2">
      <c r="BH2641" s="25"/>
      <c r="BI2641" s="25"/>
      <c r="BJ2641" s="25"/>
      <c r="BK2641" s="25"/>
    </row>
    <row r="2642" spans="60:63" ht="14.25" x14ac:dyDescent="0.2">
      <c r="BH2642" s="25"/>
      <c r="BI2642" s="25"/>
      <c r="BJ2642" s="25"/>
      <c r="BK2642" s="25"/>
    </row>
    <row r="2643" spans="60:63" ht="14.25" x14ac:dyDescent="0.2">
      <c r="BH2643" s="25"/>
      <c r="BI2643" s="25"/>
      <c r="BJ2643" s="25"/>
      <c r="BK2643" s="25"/>
    </row>
    <row r="2644" spans="60:63" ht="14.25" x14ac:dyDescent="0.2">
      <c r="BH2644" s="25"/>
      <c r="BI2644" s="25"/>
      <c r="BJ2644" s="25"/>
      <c r="BK2644" s="25"/>
    </row>
    <row r="2645" spans="60:63" ht="14.25" x14ac:dyDescent="0.2">
      <c r="BH2645" s="25"/>
      <c r="BI2645" s="25"/>
      <c r="BJ2645" s="25"/>
      <c r="BK2645" s="25"/>
    </row>
    <row r="2646" spans="60:63" ht="14.25" x14ac:dyDescent="0.2">
      <c r="BH2646" s="25"/>
      <c r="BI2646" s="25"/>
      <c r="BJ2646" s="25"/>
      <c r="BK2646" s="25"/>
    </row>
    <row r="2647" spans="60:63" ht="14.25" x14ac:dyDescent="0.2">
      <c r="BH2647" s="25"/>
      <c r="BI2647" s="25"/>
      <c r="BJ2647" s="25"/>
      <c r="BK2647" s="25"/>
    </row>
    <row r="2648" spans="60:63" ht="14.25" x14ac:dyDescent="0.2">
      <c r="BH2648" s="25"/>
      <c r="BI2648" s="25"/>
      <c r="BJ2648" s="25"/>
      <c r="BK2648" s="25"/>
    </row>
    <row r="2649" spans="60:63" ht="14.25" x14ac:dyDescent="0.2">
      <c r="BH2649" s="25"/>
      <c r="BI2649" s="25"/>
      <c r="BJ2649" s="25"/>
      <c r="BK2649" s="25"/>
    </row>
    <row r="2650" spans="60:63" ht="14.25" x14ac:dyDescent="0.2">
      <c r="BH2650" s="25"/>
      <c r="BI2650" s="25"/>
      <c r="BJ2650" s="25"/>
      <c r="BK2650" s="25"/>
    </row>
    <row r="2651" spans="60:63" ht="14.25" x14ac:dyDescent="0.2">
      <c r="BH2651" s="25"/>
      <c r="BI2651" s="25"/>
      <c r="BJ2651" s="25"/>
      <c r="BK2651" s="25"/>
    </row>
    <row r="2652" spans="60:63" ht="14.25" x14ac:dyDescent="0.2">
      <c r="BH2652" s="25"/>
      <c r="BI2652" s="25"/>
      <c r="BJ2652" s="25"/>
      <c r="BK2652" s="25"/>
    </row>
    <row r="2653" spans="60:63" ht="14.25" x14ac:dyDescent="0.2">
      <c r="BH2653" s="25"/>
      <c r="BI2653" s="25"/>
      <c r="BJ2653" s="25"/>
      <c r="BK2653" s="25"/>
    </row>
    <row r="2654" spans="60:63" ht="14.25" x14ac:dyDescent="0.2">
      <c r="BH2654" s="25"/>
      <c r="BI2654" s="25"/>
      <c r="BJ2654" s="25"/>
      <c r="BK2654" s="25"/>
    </row>
    <row r="2655" spans="60:63" ht="14.25" x14ac:dyDescent="0.2">
      <c r="BH2655" s="25"/>
      <c r="BI2655" s="25"/>
      <c r="BJ2655" s="25"/>
      <c r="BK2655" s="25"/>
    </row>
    <row r="2656" spans="60:63" ht="14.25" x14ac:dyDescent="0.2">
      <c r="BH2656" s="25"/>
      <c r="BI2656" s="25"/>
      <c r="BJ2656" s="25"/>
      <c r="BK2656" s="25"/>
    </row>
    <row r="2657" spans="60:63" ht="14.25" x14ac:dyDescent="0.2">
      <c r="BH2657" s="25"/>
      <c r="BI2657" s="25"/>
      <c r="BJ2657" s="25"/>
      <c r="BK2657" s="25"/>
    </row>
    <row r="2658" spans="60:63" ht="14.25" x14ac:dyDescent="0.2">
      <c r="BH2658" s="25"/>
      <c r="BI2658" s="25"/>
      <c r="BJ2658" s="25"/>
      <c r="BK2658" s="25"/>
    </row>
    <row r="2659" spans="60:63" ht="14.25" x14ac:dyDescent="0.2">
      <c r="BH2659" s="25"/>
      <c r="BI2659" s="25"/>
      <c r="BJ2659" s="25"/>
      <c r="BK2659" s="25"/>
    </row>
    <row r="2660" spans="60:63" ht="14.25" x14ac:dyDescent="0.2">
      <c r="BH2660" s="25"/>
      <c r="BI2660" s="25"/>
      <c r="BJ2660" s="25"/>
      <c r="BK2660" s="25"/>
    </row>
    <row r="2661" spans="60:63" ht="14.25" x14ac:dyDescent="0.2">
      <c r="BH2661" s="25"/>
      <c r="BI2661" s="25"/>
      <c r="BJ2661" s="25"/>
      <c r="BK2661" s="25"/>
    </row>
    <row r="2662" spans="60:63" ht="14.25" x14ac:dyDescent="0.2">
      <c r="BH2662" s="25"/>
      <c r="BI2662" s="25"/>
      <c r="BJ2662" s="25"/>
      <c r="BK2662" s="25"/>
    </row>
    <row r="2663" spans="60:63" ht="14.25" x14ac:dyDescent="0.2">
      <c r="BH2663" s="25"/>
      <c r="BI2663" s="25"/>
      <c r="BJ2663" s="25"/>
      <c r="BK2663" s="25"/>
    </row>
    <row r="2664" spans="60:63" ht="14.25" x14ac:dyDescent="0.2">
      <c r="BH2664" s="25"/>
      <c r="BI2664" s="25"/>
      <c r="BJ2664" s="25"/>
      <c r="BK2664" s="25"/>
    </row>
    <row r="2665" spans="60:63" ht="14.25" x14ac:dyDescent="0.2">
      <c r="BH2665" s="25"/>
      <c r="BI2665" s="25"/>
      <c r="BJ2665" s="25"/>
      <c r="BK2665" s="25"/>
    </row>
    <row r="2666" spans="60:63" ht="14.25" x14ac:dyDescent="0.2">
      <c r="BH2666" s="25"/>
      <c r="BI2666" s="25"/>
      <c r="BJ2666" s="25"/>
      <c r="BK2666" s="25"/>
    </row>
    <row r="2667" spans="60:63" ht="14.25" x14ac:dyDescent="0.2">
      <c r="BH2667" s="25"/>
      <c r="BI2667" s="25"/>
      <c r="BJ2667" s="25"/>
      <c r="BK2667" s="25"/>
    </row>
    <row r="2668" spans="60:63" ht="14.25" x14ac:dyDescent="0.2">
      <c r="BH2668" s="25"/>
      <c r="BI2668" s="25"/>
      <c r="BJ2668" s="25"/>
      <c r="BK2668" s="25"/>
    </row>
    <row r="2669" spans="60:63" ht="14.25" x14ac:dyDescent="0.2">
      <c r="BH2669" s="25"/>
      <c r="BI2669" s="25"/>
      <c r="BJ2669" s="25"/>
      <c r="BK2669" s="25"/>
    </row>
    <row r="2670" spans="60:63" ht="14.25" x14ac:dyDescent="0.2">
      <c r="BH2670" s="25"/>
      <c r="BI2670" s="25"/>
      <c r="BJ2670" s="25"/>
      <c r="BK2670" s="25"/>
    </row>
    <row r="2671" spans="60:63" ht="14.25" x14ac:dyDescent="0.2">
      <c r="BH2671" s="25"/>
      <c r="BI2671" s="25"/>
      <c r="BJ2671" s="25"/>
      <c r="BK2671" s="25"/>
    </row>
    <row r="2672" spans="60:63" ht="14.25" x14ac:dyDescent="0.2">
      <c r="BH2672" s="25"/>
      <c r="BI2672" s="25"/>
      <c r="BJ2672" s="25"/>
      <c r="BK2672" s="25"/>
    </row>
    <row r="2673" spans="60:63" ht="14.25" x14ac:dyDescent="0.2">
      <c r="BH2673" s="25"/>
      <c r="BI2673" s="25"/>
      <c r="BJ2673" s="25"/>
      <c r="BK2673" s="25"/>
    </row>
    <row r="2674" spans="60:63" ht="14.25" x14ac:dyDescent="0.2">
      <c r="BH2674" s="25"/>
      <c r="BI2674" s="25"/>
      <c r="BJ2674" s="25"/>
      <c r="BK2674" s="25"/>
    </row>
    <row r="2675" spans="60:63" ht="14.25" x14ac:dyDescent="0.2">
      <c r="BH2675" s="25"/>
      <c r="BI2675" s="25"/>
      <c r="BJ2675" s="25"/>
      <c r="BK2675" s="25"/>
    </row>
    <row r="2676" spans="60:63" ht="14.25" x14ac:dyDescent="0.2">
      <c r="BH2676" s="25"/>
      <c r="BI2676" s="25"/>
      <c r="BJ2676" s="25"/>
      <c r="BK2676" s="25"/>
    </row>
    <row r="2677" spans="60:63" ht="14.25" x14ac:dyDescent="0.2">
      <c r="BH2677" s="25"/>
      <c r="BI2677" s="25"/>
      <c r="BJ2677" s="25"/>
      <c r="BK2677" s="25"/>
    </row>
    <row r="2678" spans="60:63" ht="14.25" x14ac:dyDescent="0.2">
      <c r="BH2678" s="25"/>
      <c r="BI2678" s="25"/>
      <c r="BJ2678" s="25"/>
      <c r="BK2678" s="25"/>
    </row>
    <row r="2679" spans="60:63" ht="14.25" x14ac:dyDescent="0.2">
      <c r="BH2679" s="25"/>
      <c r="BI2679" s="25"/>
      <c r="BJ2679" s="25"/>
      <c r="BK2679" s="25"/>
    </row>
    <row r="2680" spans="60:63" ht="14.25" x14ac:dyDescent="0.2">
      <c r="BH2680" s="25"/>
      <c r="BI2680" s="25"/>
      <c r="BJ2680" s="25"/>
      <c r="BK2680" s="25"/>
    </row>
    <row r="2681" spans="60:63" ht="14.25" x14ac:dyDescent="0.2">
      <c r="BH2681" s="25"/>
      <c r="BI2681" s="25"/>
      <c r="BJ2681" s="25"/>
      <c r="BK2681" s="25"/>
    </row>
    <row r="2682" spans="60:63" ht="14.25" x14ac:dyDescent="0.2">
      <c r="BH2682" s="25"/>
      <c r="BI2682" s="25"/>
      <c r="BJ2682" s="25"/>
      <c r="BK2682" s="25"/>
    </row>
    <row r="2683" spans="60:63" ht="14.25" x14ac:dyDescent="0.2">
      <c r="BH2683" s="25"/>
      <c r="BI2683" s="25"/>
      <c r="BJ2683" s="25"/>
      <c r="BK2683" s="25"/>
    </row>
    <row r="2684" spans="60:63" ht="14.25" x14ac:dyDescent="0.2">
      <c r="BH2684" s="25"/>
      <c r="BI2684" s="25"/>
      <c r="BJ2684" s="25"/>
      <c r="BK2684" s="25"/>
    </row>
    <row r="2685" spans="60:63" ht="14.25" x14ac:dyDescent="0.2">
      <c r="BH2685" s="25"/>
      <c r="BI2685" s="25"/>
      <c r="BJ2685" s="25"/>
      <c r="BK2685" s="25"/>
    </row>
    <row r="2686" spans="60:63" ht="14.25" x14ac:dyDescent="0.2">
      <c r="BH2686" s="25"/>
      <c r="BI2686" s="25"/>
      <c r="BJ2686" s="25"/>
      <c r="BK2686" s="25"/>
    </row>
    <row r="2687" spans="60:63" ht="14.25" x14ac:dyDescent="0.2">
      <c r="BH2687" s="25"/>
      <c r="BI2687" s="25"/>
      <c r="BJ2687" s="25"/>
      <c r="BK2687" s="25"/>
    </row>
    <row r="2688" spans="60:63" ht="14.25" x14ac:dyDescent="0.2">
      <c r="BH2688" s="25"/>
      <c r="BI2688" s="25"/>
      <c r="BJ2688" s="25"/>
      <c r="BK2688" s="25"/>
    </row>
    <row r="2689" spans="60:63" ht="14.25" x14ac:dyDescent="0.2">
      <c r="BH2689" s="25"/>
      <c r="BI2689" s="25"/>
      <c r="BJ2689" s="25"/>
      <c r="BK2689" s="25"/>
    </row>
    <row r="2690" spans="60:63" ht="14.25" x14ac:dyDescent="0.2">
      <c r="BH2690" s="25"/>
      <c r="BI2690" s="25"/>
      <c r="BJ2690" s="25"/>
      <c r="BK2690" s="25"/>
    </row>
    <row r="2691" spans="60:63" ht="14.25" x14ac:dyDescent="0.2">
      <c r="BH2691" s="25"/>
      <c r="BI2691" s="25"/>
      <c r="BJ2691" s="25"/>
      <c r="BK2691" s="25"/>
    </row>
    <row r="2692" spans="60:63" ht="14.25" x14ac:dyDescent="0.2">
      <c r="BH2692" s="25"/>
      <c r="BI2692" s="25"/>
      <c r="BJ2692" s="25"/>
      <c r="BK2692" s="25"/>
    </row>
    <row r="2693" spans="60:63" ht="14.25" x14ac:dyDescent="0.2">
      <c r="BH2693" s="25"/>
      <c r="BI2693" s="25"/>
      <c r="BJ2693" s="25"/>
      <c r="BK2693" s="25"/>
    </row>
    <row r="2694" spans="60:63" ht="14.25" x14ac:dyDescent="0.2">
      <c r="BH2694" s="25"/>
      <c r="BI2694" s="25"/>
      <c r="BJ2694" s="25"/>
      <c r="BK2694" s="25"/>
    </row>
    <row r="2695" spans="60:63" ht="14.25" x14ac:dyDescent="0.2">
      <c r="BH2695" s="25"/>
      <c r="BI2695" s="25"/>
      <c r="BJ2695" s="25"/>
      <c r="BK2695" s="25"/>
    </row>
    <row r="2696" spans="60:63" ht="14.25" x14ac:dyDescent="0.2">
      <c r="BH2696" s="25"/>
      <c r="BI2696" s="25"/>
      <c r="BJ2696" s="25"/>
      <c r="BK2696" s="25"/>
    </row>
    <row r="2697" spans="60:63" ht="14.25" x14ac:dyDescent="0.2">
      <c r="BH2697" s="25"/>
      <c r="BI2697" s="25"/>
      <c r="BJ2697" s="25"/>
      <c r="BK2697" s="25"/>
    </row>
    <row r="2698" spans="60:63" ht="14.25" x14ac:dyDescent="0.2">
      <c r="BH2698" s="25"/>
      <c r="BI2698" s="25"/>
      <c r="BJ2698" s="25"/>
      <c r="BK2698" s="25"/>
    </row>
    <row r="2699" spans="60:63" ht="14.25" x14ac:dyDescent="0.2">
      <c r="BH2699" s="25"/>
      <c r="BI2699" s="25"/>
      <c r="BJ2699" s="25"/>
      <c r="BK2699" s="25"/>
    </row>
    <row r="2700" spans="60:63" ht="14.25" x14ac:dyDescent="0.2">
      <c r="BH2700" s="25"/>
      <c r="BI2700" s="25"/>
      <c r="BJ2700" s="25"/>
      <c r="BK2700" s="25"/>
    </row>
    <row r="2701" spans="60:63" ht="14.25" x14ac:dyDescent="0.2">
      <c r="BH2701" s="25"/>
      <c r="BI2701" s="25"/>
      <c r="BJ2701" s="25"/>
      <c r="BK2701" s="25"/>
    </row>
    <row r="2702" spans="60:63" ht="14.25" x14ac:dyDescent="0.2">
      <c r="BH2702" s="25"/>
      <c r="BI2702" s="25"/>
      <c r="BJ2702" s="25"/>
      <c r="BK2702" s="25"/>
    </row>
    <row r="2703" spans="60:63" ht="14.25" x14ac:dyDescent="0.2">
      <c r="BH2703" s="25"/>
      <c r="BI2703" s="25"/>
      <c r="BJ2703" s="25"/>
      <c r="BK2703" s="25"/>
    </row>
    <row r="2704" spans="60:63" ht="14.25" x14ac:dyDescent="0.2">
      <c r="BH2704" s="25"/>
      <c r="BI2704" s="25"/>
      <c r="BJ2704" s="25"/>
      <c r="BK2704" s="25"/>
    </row>
    <row r="2705" spans="60:63" ht="14.25" x14ac:dyDescent="0.2">
      <c r="BH2705" s="25"/>
      <c r="BI2705" s="25"/>
      <c r="BJ2705" s="25"/>
      <c r="BK2705" s="25"/>
    </row>
    <row r="2706" spans="60:63" ht="14.25" x14ac:dyDescent="0.2">
      <c r="BH2706" s="25"/>
      <c r="BI2706" s="25"/>
      <c r="BJ2706" s="25"/>
      <c r="BK2706" s="25"/>
    </row>
    <row r="2707" spans="60:63" ht="14.25" x14ac:dyDescent="0.2">
      <c r="BH2707" s="25"/>
      <c r="BI2707" s="25"/>
      <c r="BJ2707" s="25"/>
      <c r="BK2707" s="25"/>
    </row>
    <row r="2708" spans="60:63" ht="14.25" x14ac:dyDescent="0.2">
      <c r="BH2708" s="25"/>
      <c r="BI2708" s="25"/>
      <c r="BJ2708" s="25"/>
      <c r="BK2708" s="25"/>
    </row>
    <row r="2709" spans="60:63" ht="14.25" x14ac:dyDescent="0.2">
      <c r="BH2709" s="25"/>
      <c r="BI2709" s="25"/>
      <c r="BJ2709" s="25"/>
      <c r="BK2709" s="25"/>
    </row>
    <row r="2710" spans="60:63" ht="14.25" x14ac:dyDescent="0.2">
      <c r="BH2710" s="25"/>
      <c r="BI2710" s="25"/>
      <c r="BJ2710" s="25"/>
      <c r="BK2710" s="25"/>
    </row>
    <row r="2711" spans="60:63" ht="14.25" x14ac:dyDescent="0.2">
      <c r="BH2711" s="25"/>
      <c r="BI2711" s="25"/>
      <c r="BJ2711" s="25"/>
      <c r="BK2711" s="25"/>
    </row>
    <row r="2712" spans="60:63" ht="14.25" x14ac:dyDescent="0.2">
      <c r="BH2712" s="25"/>
      <c r="BI2712" s="25"/>
      <c r="BJ2712" s="25"/>
      <c r="BK2712" s="25"/>
    </row>
    <row r="2713" spans="60:63" ht="14.25" x14ac:dyDescent="0.2">
      <c r="BH2713" s="25"/>
      <c r="BI2713" s="25"/>
      <c r="BJ2713" s="25"/>
      <c r="BK2713" s="25"/>
    </row>
    <row r="2714" spans="60:63" ht="14.25" x14ac:dyDescent="0.2">
      <c r="BH2714" s="25"/>
      <c r="BI2714" s="25"/>
      <c r="BJ2714" s="25"/>
      <c r="BK2714" s="25"/>
    </row>
    <row r="2715" spans="60:63" ht="14.25" x14ac:dyDescent="0.2">
      <c r="BH2715" s="25"/>
      <c r="BI2715" s="25"/>
      <c r="BJ2715" s="25"/>
      <c r="BK2715" s="25"/>
    </row>
    <row r="2716" spans="60:63" ht="14.25" x14ac:dyDescent="0.2">
      <c r="BH2716" s="25"/>
      <c r="BI2716" s="25"/>
      <c r="BJ2716" s="25"/>
      <c r="BK2716" s="25"/>
    </row>
    <row r="2717" spans="60:63" ht="14.25" x14ac:dyDescent="0.2">
      <c r="BH2717" s="25"/>
      <c r="BI2717" s="25"/>
      <c r="BJ2717" s="25"/>
      <c r="BK2717" s="25"/>
    </row>
    <row r="2718" spans="60:63" ht="14.25" x14ac:dyDescent="0.2">
      <c r="BH2718" s="25"/>
      <c r="BI2718" s="25"/>
      <c r="BJ2718" s="25"/>
      <c r="BK2718" s="25"/>
    </row>
    <row r="2719" spans="60:63" ht="14.25" x14ac:dyDescent="0.2">
      <c r="BH2719" s="25"/>
      <c r="BI2719" s="25"/>
      <c r="BJ2719" s="25"/>
      <c r="BK2719" s="25"/>
    </row>
    <row r="2720" spans="60:63" ht="14.25" x14ac:dyDescent="0.2">
      <c r="BH2720" s="25"/>
      <c r="BI2720" s="25"/>
      <c r="BJ2720" s="25"/>
      <c r="BK2720" s="25"/>
    </row>
    <row r="2721" spans="60:63" ht="14.25" x14ac:dyDescent="0.2">
      <c r="BH2721" s="25"/>
      <c r="BI2721" s="25"/>
      <c r="BJ2721" s="25"/>
      <c r="BK2721" s="25"/>
    </row>
    <row r="2722" spans="60:63" ht="14.25" x14ac:dyDescent="0.2">
      <c r="BH2722" s="25"/>
      <c r="BI2722" s="25"/>
      <c r="BJ2722" s="25"/>
      <c r="BK2722" s="25"/>
    </row>
    <row r="2723" spans="60:63" ht="14.25" x14ac:dyDescent="0.2">
      <c r="BH2723" s="25"/>
      <c r="BI2723" s="25"/>
      <c r="BJ2723" s="25"/>
      <c r="BK2723" s="25"/>
    </row>
    <row r="2724" spans="60:63" ht="14.25" x14ac:dyDescent="0.2">
      <c r="BH2724" s="25"/>
      <c r="BI2724" s="25"/>
      <c r="BJ2724" s="25"/>
      <c r="BK2724" s="25"/>
    </row>
    <row r="2725" spans="60:63" ht="14.25" x14ac:dyDescent="0.2">
      <c r="BH2725" s="25"/>
      <c r="BI2725" s="25"/>
      <c r="BJ2725" s="25"/>
      <c r="BK2725" s="25"/>
    </row>
    <row r="2726" spans="60:63" ht="14.25" x14ac:dyDescent="0.2">
      <c r="BH2726" s="25"/>
      <c r="BI2726" s="25"/>
      <c r="BJ2726" s="25"/>
      <c r="BK2726" s="25"/>
    </row>
    <row r="2727" spans="60:63" ht="14.25" x14ac:dyDescent="0.2">
      <c r="BH2727" s="25"/>
      <c r="BI2727" s="25"/>
      <c r="BJ2727" s="25"/>
      <c r="BK2727" s="25"/>
    </row>
    <row r="2728" spans="60:63" ht="14.25" x14ac:dyDescent="0.2">
      <c r="BH2728" s="25"/>
      <c r="BI2728" s="25"/>
      <c r="BJ2728" s="25"/>
      <c r="BK2728" s="25"/>
    </row>
    <row r="2729" spans="60:63" ht="14.25" x14ac:dyDescent="0.2">
      <c r="BH2729" s="25"/>
      <c r="BI2729" s="25"/>
      <c r="BJ2729" s="25"/>
      <c r="BK2729" s="25"/>
    </row>
    <row r="2730" spans="60:63" ht="14.25" x14ac:dyDescent="0.2">
      <c r="BH2730" s="25"/>
      <c r="BI2730" s="25"/>
      <c r="BJ2730" s="25"/>
      <c r="BK2730" s="25"/>
    </row>
    <row r="2731" spans="60:63" ht="14.25" x14ac:dyDescent="0.2">
      <c r="BH2731" s="25"/>
      <c r="BI2731" s="25"/>
      <c r="BJ2731" s="25"/>
      <c r="BK2731" s="25"/>
    </row>
    <row r="2732" spans="60:63" ht="14.25" x14ac:dyDescent="0.2">
      <c r="BH2732" s="25"/>
      <c r="BI2732" s="25"/>
      <c r="BJ2732" s="25"/>
      <c r="BK2732" s="25"/>
    </row>
    <row r="2733" spans="60:63" ht="14.25" x14ac:dyDescent="0.2">
      <c r="BH2733" s="25"/>
      <c r="BI2733" s="25"/>
      <c r="BJ2733" s="25"/>
      <c r="BK2733" s="25"/>
    </row>
    <row r="2734" spans="60:63" ht="14.25" x14ac:dyDescent="0.2">
      <c r="BH2734" s="25"/>
      <c r="BI2734" s="25"/>
      <c r="BJ2734" s="25"/>
      <c r="BK2734" s="25"/>
    </row>
    <row r="2735" spans="60:63" ht="14.25" x14ac:dyDescent="0.2">
      <c r="BH2735" s="25"/>
      <c r="BI2735" s="25"/>
      <c r="BJ2735" s="25"/>
      <c r="BK2735" s="25"/>
    </row>
    <row r="2736" spans="60:63" ht="14.25" x14ac:dyDescent="0.2">
      <c r="BH2736" s="25"/>
      <c r="BI2736" s="25"/>
      <c r="BJ2736" s="25"/>
      <c r="BK2736" s="25"/>
    </row>
    <row r="2737" spans="60:63" ht="14.25" x14ac:dyDescent="0.2">
      <c r="BH2737" s="25"/>
      <c r="BI2737" s="25"/>
      <c r="BJ2737" s="25"/>
      <c r="BK2737" s="25"/>
    </row>
    <row r="2738" spans="60:63" ht="14.25" x14ac:dyDescent="0.2">
      <c r="BH2738" s="25"/>
      <c r="BI2738" s="25"/>
      <c r="BJ2738" s="25"/>
      <c r="BK2738" s="25"/>
    </row>
    <row r="2739" spans="60:63" ht="14.25" x14ac:dyDescent="0.2">
      <c r="BH2739" s="25"/>
      <c r="BI2739" s="25"/>
      <c r="BJ2739" s="25"/>
      <c r="BK2739" s="25"/>
    </row>
    <row r="2740" spans="60:63" ht="14.25" x14ac:dyDescent="0.2">
      <c r="BH2740" s="25"/>
      <c r="BI2740" s="25"/>
      <c r="BJ2740" s="25"/>
      <c r="BK2740" s="25"/>
    </row>
    <row r="2741" spans="60:63" ht="14.25" x14ac:dyDescent="0.2">
      <c r="BH2741" s="25"/>
      <c r="BI2741" s="25"/>
      <c r="BJ2741" s="25"/>
      <c r="BK2741" s="25"/>
    </row>
    <row r="2742" spans="60:63" ht="14.25" x14ac:dyDescent="0.2">
      <c r="BH2742" s="25"/>
      <c r="BI2742" s="25"/>
      <c r="BJ2742" s="25"/>
      <c r="BK2742" s="25"/>
    </row>
    <row r="2743" spans="60:63" ht="14.25" x14ac:dyDescent="0.2">
      <c r="BH2743" s="25"/>
      <c r="BI2743" s="25"/>
      <c r="BJ2743" s="25"/>
      <c r="BK2743" s="25"/>
    </row>
    <row r="2744" spans="60:63" ht="14.25" x14ac:dyDescent="0.2">
      <c r="BH2744" s="25"/>
      <c r="BI2744" s="25"/>
      <c r="BJ2744" s="25"/>
      <c r="BK2744" s="25"/>
    </row>
    <row r="2745" spans="60:63" ht="14.25" x14ac:dyDescent="0.2">
      <c r="BH2745" s="25"/>
      <c r="BI2745" s="25"/>
      <c r="BJ2745" s="25"/>
      <c r="BK2745" s="25"/>
    </row>
    <row r="2746" spans="60:63" ht="14.25" x14ac:dyDescent="0.2">
      <c r="BH2746" s="25"/>
      <c r="BI2746" s="25"/>
      <c r="BJ2746" s="25"/>
      <c r="BK2746" s="25"/>
    </row>
    <row r="2747" spans="60:63" ht="14.25" x14ac:dyDescent="0.2">
      <c r="BH2747" s="25"/>
      <c r="BI2747" s="25"/>
      <c r="BJ2747" s="25"/>
      <c r="BK2747" s="25"/>
    </row>
    <row r="2748" spans="60:63" ht="14.25" x14ac:dyDescent="0.2">
      <c r="BH2748" s="25"/>
      <c r="BI2748" s="25"/>
      <c r="BJ2748" s="25"/>
      <c r="BK2748" s="25"/>
    </row>
    <row r="2749" spans="60:63" ht="14.25" x14ac:dyDescent="0.2">
      <c r="BH2749" s="25"/>
      <c r="BI2749" s="25"/>
      <c r="BJ2749" s="25"/>
      <c r="BK2749" s="25"/>
    </row>
    <row r="2750" spans="60:63" ht="14.25" x14ac:dyDescent="0.2">
      <c r="BH2750" s="25"/>
      <c r="BI2750" s="25"/>
      <c r="BJ2750" s="25"/>
      <c r="BK2750" s="25"/>
    </row>
    <row r="2751" spans="60:63" ht="14.25" x14ac:dyDescent="0.2">
      <c r="BH2751" s="25"/>
      <c r="BI2751" s="25"/>
      <c r="BJ2751" s="25"/>
      <c r="BK2751" s="25"/>
    </row>
    <row r="2752" spans="60:63" ht="14.25" x14ac:dyDescent="0.2">
      <c r="BH2752" s="25"/>
      <c r="BI2752" s="25"/>
      <c r="BJ2752" s="25"/>
      <c r="BK2752" s="25"/>
    </row>
    <row r="2753" spans="60:63" ht="14.25" x14ac:dyDescent="0.2">
      <c r="BH2753" s="25"/>
      <c r="BI2753" s="25"/>
      <c r="BJ2753" s="25"/>
      <c r="BK2753" s="25"/>
    </row>
    <row r="2754" spans="60:63" ht="14.25" x14ac:dyDescent="0.2">
      <c r="BH2754" s="25"/>
      <c r="BI2754" s="25"/>
      <c r="BJ2754" s="25"/>
      <c r="BK2754" s="25"/>
    </row>
    <row r="2755" spans="60:63" ht="14.25" x14ac:dyDescent="0.2">
      <c r="BH2755" s="25"/>
      <c r="BI2755" s="25"/>
      <c r="BJ2755" s="25"/>
      <c r="BK2755" s="25"/>
    </row>
    <row r="2756" spans="60:63" ht="14.25" x14ac:dyDescent="0.2">
      <c r="BH2756" s="25"/>
      <c r="BI2756" s="25"/>
      <c r="BJ2756" s="25"/>
      <c r="BK2756" s="25"/>
    </row>
    <row r="2757" spans="60:63" ht="14.25" x14ac:dyDescent="0.2">
      <c r="BH2757" s="25"/>
      <c r="BI2757" s="25"/>
      <c r="BJ2757" s="25"/>
      <c r="BK2757" s="25"/>
    </row>
    <row r="2758" spans="60:63" ht="14.25" x14ac:dyDescent="0.2">
      <c r="BH2758" s="25"/>
      <c r="BI2758" s="25"/>
      <c r="BJ2758" s="25"/>
      <c r="BK2758" s="25"/>
    </row>
    <row r="2759" spans="60:63" ht="14.25" x14ac:dyDescent="0.2">
      <c r="BH2759" s="25"/>
      <c r="BI2759" s="25"/>
      <c r="BJ2759" s="25"/>
      <c r="BK2759" s="25"/>
    </row>
    <row r="2760" spans="60:63" ht="14.25" x14ac:dyDescent="0.2">
      <c r="BH2760" s="25"/>
      <c r="BI2760" s="25"/>
      <c r="BJ2760" s="25"/>
      <c r="BK2760" s="25"/>
    </row>
    <row r="2761" spans="60:63" ht="14.25" x14ac:dyDescent="0.2">
      <c r="BH2761" s="25"/>
      <c r="BI2761" s="25"/>
      <c r="BJ2761" s="25"/>
      <c r="BK2761" s="25"/>
    </row>
    <row r="2762" spans="60:63" ht="14.25" x14ac:dyDescent="0.2">
      <c r="BH2762" s="25"/>
      <c r="BI2762" s="25"/>
      <c r="BJ2762" s="25"/>
      <c r="BK2762" s="25"/>
    </row>
    <row r="2763" spans="60:63" ht="14.25" x14ac:dyDescent="0.2">
      <c r="BH2763" s="25"/>
      <c r="BI2763" s="25"/>
      <c r="BJ2763" s="25"/>
      <c r="BK2763" s="25"/>
    </row>
    <row r="2764" spans="60:63" ht="14.25" x14ac:dyDescent="0.2">
      <c r="BH2764" s="25"/>
      <c r="BI2764" s="25"/>
      <c r="BJ2764" s="25"/>
      <c r="BK2764" s="25"/>
    </row>
    <row r="2765" spans="60:63" ht="14.25" x14ac:dyDescent="0.2">
      <c r="BH2765" s="25"/>
      <c r="BI2765" s="25"/>
      <c r="BJ2765" s="25"/>
      <c r="BK2765" s="25"/>
    </row>
    <row r="2766" spans="60:63" ht="14.25" x14ac:dyDescent="0.2">
      <c r="BH2766" s="25"/>
      <c r="BI2766" s="25"/>
      <c r="BJ2766" s="25"/>
      <c r="BK2766" s="25"/>
    </row>
    <row r="2767" spans="60:63" ht="14.25" x14ac:dyDescent="0.2">
      <c r="BH2767" s="25"/>
      <c r="BI2767" s="25"/>
      <c r="BJ2767" s="25"/>
      <c r="BK2767" s="25"/>
    </row>
    <row r="2768" spans="60:63" ht="14.25" x14ac:dyDescent="0.2">
      <c r="BH2768" s="25"/>
      <c r="BI2768" s="25"/>
      <c r="BJ2768" s="25"/>
      <c r="BK2768" s="25"/>
    </row>
    <row r="2769" spans="60:63" ht="14.25" x14ac:dyDescent="0.2">
      <c r="BH2769" s="25"/>
      <c r="BI2769" s="25"/>
      <c r="BJ2769" s="25"/>
      <c r="BK2769" s="25"/>
    </row>
    <row r="2770" spans="60:63" ht="14.25" x14ac:dyDescent="0.2">
      <c r="BH2770" s="25"/>
      <c r="BI2770" s="25"/>
      <c r="BJ2770" s="25"/>
      <c r="BK2770" s="25"/>
    </row>
    <row r="2771" spans="60:63" ht="14.25" x14ac:dyDescent="0.2">
      <c r="BH2771" s="25"/>
      <c r="BI2771" s="25"/>
      <c r="BJ2771" s="25"/>
      <c r="BK2771" s="25"/>
    </row>
    <row r="2772" spans="60:63" ht="14.25" x14ac:dyDescent="0.2">
      <c r="BH2772" s="25"/>
      <c r="BI2772" s="25"/>
      <c r="BJ2772" s="25"/>
      <c r="BK2772" s="25"/>
    </row>
    <row r="2773" spans="60:63" ht="14.25" x14ac:dyDescent="0.2">
      <c r="BH2773" s="25"/>
      <c r="BI2773" s="25"/>
      <c r="BJ2773" s="25"/>
      <c r="BK2773" s="25"/>
    </row>
    <row r="2774" spans="60:63" ht="14.25" x14ac:dyDescent="0.2">
      <c r="BH2774" s="25"/>
      <c r="BI2774" s="25"/>
      <c r="BJ2774" s="25"/>
      <c r="BK2774" s="25"/>
    </row>
    <row r="2775" spans="60:63" ht="14.25" x14ac:dyDescent="0.2">
      <c r="BH2775" s="25"/>
      <c r="BI2775" s="25"/>
      <c r="BJ2775" s="25"/>
      <c r="BK2775" s="25"/>
    </row>
    <row r="2776" spans="60:63" ht="14.25" x14ac:dyDescent="0.2">
      <c r="BH2776" s="25"/>
      <c r="BI2776" s="25"/>
      <c r="BJ2776" s="25"/>
      <c r="BK2776" s="25"/>
    </row>
    <row r="2777" spans="60:63" ht="14.25" x14ac:dyDescent="0.2">
      <c r="BH2777" s="25"/>
      <c r="BI2777" s="25"/>
      <c r="BJ2777" s="25"/>
      <c r="BK2777" s="25"/>
    </row>
    <row r="2778" spans="60:63" ht="14.25" x14ac:dyDescent="0.2">
      <c r="BH2778" s="25"/>
      <c r="BI2778" s="25"/>
      <c r="BJ2778" s="25"/>
      <c r="BK2778" s="25"/>
    </row>
    <row r="2779" spans="60:63" ht="14.25" x14ac:dyDescent="0.2">
      <c r="BH2779" s="25"/>
      <c r="BI2779" s="25"/>
      <c r="BJ2779" s="25"/>
      <c r="BK2779" s="25"/>
    </row>
    <row r="2780" spans="60:63" ht="14.25" x14ac:dyDescent="0.2">
      <c r="BH2780" s="25"/>
      <c r="BI2780" s="25"/>
      <c r="BJ2780" s="25"/>
      <c r="BK2780" s="25"/>
    </row>
    <row r="2781" spans="60:63" ht="14.25" x14ac:dyDescent="0.2">
      <c r="BH2781" s="25"/>
      <c r="BI2781" s="25"/>
      <c r="BJ2781" s="25"/>
      <c r="BK2781" s="25"/>
    </row>
    <row r="2782" spans="60:63" ht="14.25" x14ac:dyDescent="0.2">
      <c r="BH2782" s="25"/>
      <c r="BI2782" s="25"/>
      <c r="BJ2782" s="25"/>
      <c r="BK2782" s="25"/>
    </row>
    <row r="2783" spans="60:63" ht="14.25" x14ac:dyDescent="0.2">
      <c r="BH2783" s="25"/>
      <c r="BI2783" s="25"/>
      <c r="BJ2783" s="25"/>
      <c r="BK2783" s="25"/>
    </row>
    <row r="2784" spans="60:63" ht="14.25" x14ac:dyDescent="0.2">
      <c r="BH2784" s="25"/>
      <c r="BI2784" s="25"/>
      <c r="BJ2784" s="25"/>
      <c r="BK2784" s="25"/>
    </row>
    <row r="2785" spans="60:63" ht="14.25" x14ac:dyDescent="0.2">
      <c r="BH2785" s="25"/>
      <c r="BI2785" s="25"/>
      <c r="BJ2785" s="25"/>
      <c r="BK2785" s="25"/>
    </row>
    <row r="2786" spans="60:63" ht="14.25" x14ac:dyDescent="0.2">
      <c r="BH2786" s="25"/>
      <c r="BI2786" s="25"/>
      <c r="BJ2786" s="25"/>
      <c r="BK2786" s="25"/>
    </row>
    <row r="2787" spans="60:63" ht="14.25" x14ac:dyDescent="0.2">
      <c r="BH2787" s="25"/>
      <c r="BI2787" s="25"/>
      <c r="BJ2787" s="25"/>
      <c r="BK2787" s="25"/>
    </row>
    <row r="2788" spans="60:63" ht="14.25" x14ac:dyDescent="0.2">
      <c r="BH2788" s="25"/>
      <c r="BI2788" s="25"/>
      <c r="BJ2788" s="25"/>
      <c r="BK2788" s="25"/>
    </row>
    <row r="2789" spans="60:63" ht="14.25" x14ac:dyDescent="0.2">
      <c r="BH2789" s="25"/>
      <c r="BI2789" s="25"/>
      <c r="BJ2789" s="25"/>
      <c r="BK2789" s="25"/>
    </row>
    <row r="2790" spans="60:63" ht="14.25" x14ac:dyDescent="0.2">
      <c r="BH2790" s="25"/>
      <c r="BI2790" s="25"/>
      <c r="BJ2790" s="25"/>
      <c r="BK2790" s="25"/>
    </row>
    <row r="2791" spans="60:63" ht="14.25" x14ac:dyDescent="0.2">
      <c r="BH2791" s="25"/>
      <c r="BI2791" s="25"/>
      <c r="BJ2791" s="25"/>
      <c r="BK2791" s="25"/>
    </row>
    <row r="2792" spans="60:63" ht="14.25" x14ac:dyDescent="0.2">
      <c r="BH2792" s="25"/>
      <c r="BI2792" s="25"/>
      <c r="BJ2792" s="25"/>
      <c r="BK2792" s="25"/>
    </row>
    <row r="2793" spans="60:63" ht="14.25" x14ac:dyDescent="0.2">
      <c r="BH2793" s="25"/>
      <c r="BI2793" s="25"/>
      <c r="BJ2793" s="25"/>
      <c r="BK2793" s="25"/>
    </row>
    <row r="2794" spans="60:63" ht="14.25" x14ac:dyDescent="0.2">
      <c r="BH2794" s="25"/>
      <c r="BI2794" s="25"/>
      <c r="BJ2794" s="25"/>
      <c r="BK2794" s="25"/>
    </row>
    <row r="2795" spans="60:63" ht="14.25" x14ac:dyDescent="0.2">
      <c r="BH2795" s="25"/>
      <c r="BI2795" s="25"/>
      <c r="BJ2795" s="25"/>
      <c r="BK2795" s="25"/>
    </row>
    <row r="2796" spans="60:63" ht="14.25" x14ac:dyDescent="0.2">
      <c r="BH2796" s="25"/>
      <c r="BI2796" s="25"/>
      <c r="BJ2796" s="25"/>
      <c r="BK2796" s="25"/>
    </row>
    <row r="2797" spans="60:63" ht="14.25" x14ac:dyDescent="0.2">
      <c r="BH2797" s="25"/>
      <c r="BI2797" s="25"/>
      <c r="BJ2797" s="25"/>
      <c r="BK2797" s="25"/>
    </row>
    <row r="2798" spans="60:63" ht="14.25" x14ac:dyDescent="0.2">
      <c r="BH2798" s="25"/>
      <c r="BI2798" s="25"/>
      <c r="BJ2798" s="25"/>
      <c r="BK2798" s="25"/>
    </row>
    <row r="2799" spans="60:63" ht="14.25" x14ac:dyDescent="0.2">
      <c r="BH2799" s="25"/>
      <c r="BI2799" s="25"/>
      <c r="BJ2799" s="25"/>
      <c r="BK2799" s="25"/>
    </row>
    <row r="2800" spans="60:63" ht="14.25" x14ac:dyDescent="0.2">
      <c r="BH2800" s="25"/>
      <c r="BI2800" s="25"/>
      <c r="BJ2800" s="25"/>
      <c r="BK2800" s="25"/>
    </row>
    <row r="2801" spans="60:63" ht="14.25" x14ac:dyDescent="0.2">
      <c r="BH2801" s="25"/>
      <c r="BI2801" s="25"/>
      <c r="BJ2801" s="25"/>
      <c r="BK2801" s="25"/>
    </row>
    <row r="2802" spans="60:63" ht="14.25" x14ac:dyDescent="0.2">
      <c r="BH2802" s="25"/>
      <c r="BI2802" s="25"/>
      <c r="BJ2802" s="25"/>
      <c r="BK2802" s="25"/>
    </row>
    <row r="2803" spans="60:63" ht="14.25" x14ac:dyDescent="0.2">
      <c r="BH2803" s="25"/>
      <c r="BI2803" s="25"/>
      <c r="BJ2803" s="25"/>
      <c r="BK2803" s="25"/>
    </row>
    <row r="2804" spans="60:63" ht="14.25" x14ac:dyDescent="0.2">
      <c r="BH2804" s="25"/>
      <c r="BI2804" s="25"/>
      <c r="BJ2804" s="25"/>
      <c r="BK2804" s="25"/>
    </row>
    <row r="2805" spans="60:63" ht="14.25" x14ac:dyDescent="0.2">
      <c r="BH2805" s="25"/>
      <c r="BI2805" s="25"/>
      <c r="BJ2805" s="25"/>
      <c r="BK2805" s="25"/>
    </row>
    <row r="2806" spans="60:63" ht="14.25" x14ac:dyDescent="0.2">
      <c r="BH2806" s="25"/>
      <c r="BI2806" s="25"/>
      <c r="BJ2806" s="25"/>
      <c r="BK2806" s="25"/>
    </row>
    <row r="2807" spans="60:63" ht="14.25" x14ac:dyDescent="0.2">
      <c r="BH2807" s="25"/>
      <c r="BI2807" s="25"/>
      <c r="BJ2807" s="25"/>
      <c r="BK2807" s="25"/>
    </row>
    <row r="2808" spans="60:63" ht="14.25" x14ac:dyDescent="0.2">
      <c r="BH2808" s="25"/>
      <c r="BI2808" s="25"/>
      <c r="BJ2808" s="25"/>
      <c r="BK2808" s="25"/>
    </row>
    <row r="2809" spans="60:63" ht="14.25" x14ac:dyDescent="0.2">
      <c r="BH2809" s="25"/>
      <c r="BI2809" s="25"/>
      <c r="BJ2809" s="25"/>
      <c r="BK2809" s="25"/>
    </row>
    <row r="2810" spans="60:63" ht="14.25" x14ac:dyDescent="0.2">
      <c r="BH2810" s="25"/>
      <c r="BI2810" s="25"/>
      <c r="BJ2810" s="25"/>
      <c r="BK2810" s="25"/>
    </row>
    <row r="2811" spans="60:63" ht="14.25" x14ac:dyDescent="0.2">
      <c r="BH2811" s="25"/>
      <c r="BI2811" s="25"/>
      <c r="BJ2811" s="25"/>
      <c r="BK2811" s="25"/>
    </row>
    <row r="2812" spans="60:63" ht="14.25" x14ac:dyDescent="0.2">
      <c r="BH2812" s="25"/>
      <c r="BI2812" s="25"/>
      <c r="BJ2812" s="25"/>
      <c r="BK2812" s="25"/>
    </row>
    <row r="2813" spans="60:63" ht="14.25" x14ac:dyDescent="0.2">
      <c r="BH2813" s="25"/>
      <c r="BI2813" s="25"/>
      <c r="BJ2813" s="25"/>
      <c r="BK2813" s="25"/>
    </row>
    <row r="2814" spans="60:63" ht="14.25" x14ac:dyDescent="0.2">
      <c r="BH2814" s="25"/>
      <c r="BI2814" s="25"/>
      <c r="BJ2814" s="25"/>
      <c r="BK2814" s="25"/>
    </row>
    <row r="2815" spans="60:63" ht="14.25" x14ac:dyDescent="0.2">
      <c r="BH2815" s="25"/>
      <c r="BI2815" s="25"/>
      <c r="BJ2815" s="25"/>
      <c r="BK2815" s="25"/>
    </row>
    <row r="2816" spans="60:63" ht="14.25" x14ac:dyDescent="0.2">
      <c r="BH2816" s="25"/>
      <c r="BI2816" s="25"/>
      <c r="BJ2816" s="25"/>
      <c r="BK2816" s="25"/>
    </row>
    <row r="2817" spans="60:63" ht="14.25" x14ac:dyDescent="0.2">
      <c r="BH2817" s="25"/>
      <c r="BI2817" s="25"/>
      <c r="BJ2817" s="25"/>
      <c r="BK2817" s="25"/>
    </row>
    <row r="2818" spans="60:63" ht="14.25" x14ac:dyDescent="0.2">
      <c r="BH2818" s="25"/>
      <c r="BI2818" s="25"/>
      <c r="BJ2818" s="25"/>
      <c r="BK2818" s="25"/>
    </row>
    <row r="2819" spans="60:63" ht="14.25" x14ac:dyDescent="0.2">
      <c r="BH2819" s="25"/>
      <c r="BI2819" s="25"/>
      <c r="BJ2819" s="25"/>
      <c r="BK2819" s="25"/>
    </row>
    <row r="2820" spans="60:63" ht="14.25" x14ac:dyDescent="0.2">
      <c r="BH2820" s="25"/>
      <c r="BI2820" s="25"/>
      <c r="BJ2820" s="25"/>
      <c r="BK2820" s="25"/>
    </row>
    <row r="2821" spans="60:63" ht="14.25" x14ac:dyDescent="0.2">
      <c r="BH2821" s="25"/>
      <c r="BI2821" s="25"/>
      <c r="BJ2821" s="25"/>
      <c r="BK2821" s="25"/>
    </row>
    <row r="2822" spans="60:63" ht="14.25" x14ac:dyDescent="0.2">
      <c r="BH2822" s="25"/>
      <c r="BI2822" s="25"/>
      <c r="BJ2822" s="25"/>
      <c r="BK2822" s="25"/>
    </row>
    <row r="2823" spans="60:63" ht="14.25" x14ac:dyDescent="0.2">
      <c r="BH2823" s="25"/>
      <c r="BI2823" s="25"/>
      <c r="BJ2823" s="25"/>
      <c r="BK2823" s="25"/>
    </row>
    <row r="2824" spans="60:63" ht="14.25" x14ac:dyDescent="0.2">
      <c r="BH2824" s="25"/>
      <c r="BI2824" s="25"/>
      <c r="BJ2824" s="25"/>
      <c r="BK2824" s="25"/>
    </row>
    <row r="2825" spans="60:63" ht="14.25" x14ac:dyDescent="0.2">
      <c r="BH2825" s="25"/>
      <c r="BI2825" s="25"/>
      <c r="BJ2825" s="25"/>
      <c r="BK2825" s="25"/>
    </row>
    <row r="2826" spans="60:63" ht="14.25" x14ac:dyDescent="0.2">
      <c r="BH2826" s="25"/>
      <c r="BI2826" s="25"/>
      <c r="BJ2826" s="25"/>
      <c r="BK2826" s="25"/>
    </row>
    <row r="2827" spans="60:63" ht="14.25" x14ac:dyDescent="0.2">
      <c r="BH2827" s="25"/>
      <c r="BI2827" s="25"/>
      <c r="BJ2827" s="25"/>
      <c r="BK2827" s="25"/>
    </row>
    <row r="2828" spans="60:63" ht="14.25" x14ac:dyDescent="0.2">
      <c r="BH2828" s="25"/>
      <c r="BI2828" s="25"/>
      <c r="BJ2828" s="25"/>
      <c r="BK2828" s="25"/>
    </row>
    <row r="2829" spans="60:63" ht="14.25" x14ac:dyDescent="0.2">
      <c r="BH2829" s="25"/>
      <c r="BI2829" s="25"/>
      <c r="BJ2829" s="25"/>
      <c r="BK2829" s="25"/>
    </row>
    <row r="2830" spans="60:63" ht="14.25" x14ac:dyDescent="0.2">
      <c r="BH2830" s="25"/>
      <c r="BI2830" s="25"/>
      <c r="BJ2830" s="25"/>
      <c r="BK2830" s="25"/>
    </row>
    <row r="2831" spans="60:63" ht="14.25" x14ac:dyDescent="0.2">
      <c r="BH2831" s="25"/>
      <c r="BI2831" s="25"/>
      <c r="BJ2831" s="25"/>
      <c r="BK2831" s="25"/>
    </row>
    <row r="2832" spans="60:63" ht="14.25" x14ac:dyDescent="0.2">
      <c r="BH2832" s="25"/>
      <c r="BI2832" s="25"/>
      <c r="BJ2832" s="25"/>
      <c r="BK2832" s="25"/>
    </row>
    <row r="2833" spans="60:63" ht="14.25" x14ac:dyDescent="0.2">
      <c r="BH2833" s="25"/>
      <c r="BI2833" s="25"/>
      <c r="BJ2833" s="25"/>
      <c r="BK2833" s="25"/>
    </row>
    <row r="2834" spans="60:63" ht="14.25" x14ac:dyDescent="0.2">
      <c r="BH2834" s="25"/>
      <c r="BI2834" s="25"/>
      <c r="BJ2834" s="25"/>
      <c r="BK2834" s="25"/>
    </row>
    <row r="2835" spans="60:63" ht="14.25" x14ac:dyDescent="0.2">
      <c r="BH2835" s="25"/>
      <c r="BI2835" s="25"/>
      <c r="BJ2835" s="25"/>
      <c r="BK2835" s="25"/>
    </row>
    <row r="2836" spans="60:63" ht="14.25" x14ac:dyDescent="0.2">
      <c r="BH2836" s="25"/>
      <c r="BI2836" s="25"/>
      <c r="BJ2836" s="25"/>
      <c r="BK2836" s="25"/>
    </row>
    <row r="2837" spans="60:63" ht="14.25" x14ac:dyDescent="0.2">
      <c r="BH2837" s="25"/>
      <c r="BI2837" s="25"/>
      <c r="BJ2837" s="25"/>
      <c r="BK2837" s="25"/>
    </row>
    <row r="2838" spans="60:63" ht="14.25" x14ac:dyDescent="0.2">
      <c r="BH2838" s="25"/>
      <c r="BI2838" s="25"/>
      <c r="BJ2838" s="25"/>
      <c r="BK2838" s="25"/>
    </row>
    <row r="2839" spans="60:63" ht="14.25" x14ac:dyDescent="0.2">
      <c r="BH2839" s="25"/>
      <c r="BI2839" s="25"/>
      <c r="BJ2839" s="25"/>
      <c r="BK2839" s="25"/>
    </row>
    <row r="2840" spans="60:63" ht="14.25" x14ac:dyDescent="0.2">
      <c r="BH2840" s="25"/>
      <c r="BI2840" s="25"/>
      <c r="BJ2840" s="25"/>
      <c r="BK2840" s="25"/>
    </row>
    <row r="2841" spans="60:63" ht="14.25" x14ac:dyDescent="0.2">
      <c r="BH2841" s="25"/>
      <c r="BI2841" s="25"/>
      <c r="BJ2841" s="25"/>
      <c r="BK2841" s="25"/>
    </row>
    <row r="2842" spans="60:63" ht="14.25" x14ac:dyDescent="0.2">
      <c r="BH2842" s="25"/>
      <c r="BI2842" s="25"/>
      <c r="BJ2842" s="25"/>
      <c r="BK2842" s="25"/>
    </row>
    <row r="2843" spans="60:63" ht="14.25" x14ac:dyDescent="0.2">
      <c r="BH2843" s="25"/>
      <c r="BI2843" s="25"/>
      <c r="BJ2843" s="25"/>
      <c r="BK2843" s="25"/>
    </row>
    <row r="2844" spans="60:63" ht="14.25" x14ac:dyDescent="0.2">
      <c r="BH2844" s="25"/>
      <c r="BI2844" s="25"/>
      <c r="BJ2844" s="25"/>
      <c r="BK2844" s="25"/>
    </row>
    <row r="2845" spans="60:63" ht="14.25" x14ac:dyDescent="0.2">
      <c r="BH2845" s="25"/>
      <c r="BI2845" s="25"/>
      <c r="BJ2845" s="25"/>
      <c r="BK2845" s="25"/>
    </row>
    <row r="2846" spans="60:63" ht="14.25" x14ac:dyDescent="0.2">
      <c r="BH2846" s="25"/>
      <c r="BI2846" s="25"/>
      <c r="BJ2846" s="25"/>
      <c r="BK2846" s="25"/>
    </row>
    <row r="2847" spans="60:63" ht="14.25" x14ac:dyDescent="0.2">
      <c r="BH2847" s="25"/>
      <c r="BI2847" s="25"/>
      <c r="BJ2847" s="25"/>
      <c r="BK2847" s="25"/>
    </row>
    <row r="2848" spans="60:63" ht="14.25" x14ac:dyDescent="0.2">
      <c r="BH2848" s="25"/>
      <c r="BI2848" s="25"/>
      <c r="BJ2848" s="25"/>
      <c r="BK2848" s="25"/>
    </row>
    <row r="2849" spans="60:63" ht="14.25" x14ac:dyDescent="0.2">
      <c r="BH2849" s="25"/>
      <c r="BI2849" s="25"/>
      <c r="BJ2849" s="25"/>
      <c r="BK2849" s="25"/>
    </row>
    <row r="2850" spans="60:63" ht="14.25" x14ac:dyDescent="0.2">
      <c r="BH2850" s="25"/>
      <c r="BI2850" s="25"/>
      <c r="BJ2850" s="25"/>
      <c r="BK2850" s="25"/>
    </row>
    <row r="2851" spans="60:63" ht="14.25" x14ac:dyDescent="0.2">
      <c r="BH2851" s="25"/>
      <c r="BI2851" s="25"/>
      <c r="BJ2851" s="25"/>
      <c r="BK2851" s="25"/>
    </row>
    <row r="2852" spans="60:63" ht="14.25" x14ac:dyDescent="0.2">
      <c r="BH2852" s="25"/>
      <c r="BI2852" s="25"/>
      <c r="BJ2852" s="25"/>
      <c r="BK2852" s="25"/>
    </row>
    <row r="2853" spans="60:63" ht="14.25" x14ac:dyDescent="0.2">
      <c r="BH2853" s="25"/>
      <c r="BI2853" s="25"/>
      <c r="BJ2853" s="25"/>
      <c r="BK2853" s="25"/>
    </row>
    <row r="2854" spans="60:63" ht="14.25" x14ac:dyDescent="0.2">
      <c r="BH2854" s="25"/>
      <c r="BI2854" s="25"/>
      <c r="BJ2854" s="25"/>
      <c r="BK2854" s="25"/>
    </row>
    <row r="2855" spans="60:63" ht="14.25" x14ac:dyDescent="0.2">
      <c r="BH2855" s="25"/>
      <c r="BI2855" s="25"/>
      <c r="BJ2855" s="25"/>
      <c r="BK2855" s="25"/>
    </row>
    <row r="2856" spans="60:63" ht="14.25" x14ac:dyDescent="0.2">
      <c r="BH2856" s="25"/>
      <c r="BI2856" s="25"/>
      <c r="BJ2856" s="25"/>
      <c r="BK2856" s="25"/>
    </row>
    <row r="2857" spans="60:63" ht="14.25" x14ac:dyDescent="0.2">
      <c r="BH2857" s="25"/>
      <c r="BI2857" s="25"/>
      <c r="BJ2857" s="25"/>
      <c r="BK2857" s="25"/>
    </row>
    <row r="2858" spans="60:63" ht="14.25" x14ac:dyDescent="0.2">
      <c r="BH2858" s="25"/>
      <c r="BI2858" s="25"/>
      <c r="BJ2858" s="25"/>
      <c r="BK2858" s="25"/>
    </row>
    <row r="2859" spans="60:63" ht="14.25" x14ac:dyDescent="0.2">
      <c r="BH2859" s="25"/>
      <c r="BI2859" s="25"/>
      <c r="BJ2859" s="25"/>
      <c r="BK2859" s="25"/>
    </row>
    <row r="2860" spans="60:63" ht="14.25" x14ac:dyDescent="0.2">
      <c r="BH2860" s="25"/>
      <c r="BI2860" s="25"/>
      <c r="BJ2860" s="25"/>
      <c r="BK2860" s="25"/>
    </row>
    <row r="2861" spans="60:63" ht="14.25" x14ac:dyDescent="0.2">
      <c r="BH2861" s="25"/>
      <c r="BI2861" s="25"/>
      <c r="BJ2861" s="25"/>
      <c r="BK2861" s="25"/>
    </row>
    <row r="2862" spans="60:63" ht="14.25" x14ac:dyDescent="0.2">
      <c r="BH2862" s="25"/>
      <c r="BI2862" s="25"/>
      <c r="BJ2862" s="25"/>
      <c r="BK2862" s="25"/>
    </row>
    <row r="2863" spans="60:63" ht="14.25" x14ac:dyDescent="0.2">
      <c r="BH2863" s="25"/>
      <c r="BI2863" s="25"/>
      <c r="BJ2863" s="25"/>
      <c r="BK2863" s="25"/>
    </row>
    <row r="2864" spans="60:63" ht="14.25" x14ac:dyDescent="0.2">
      <c r="BH2864" s="25"/>
      <c r="BI2864" s="25"/>
      <c r="BJ2864" s="25"/>
      <c r="BK2864" s="25"/>
    </row>
    <row r="2865" spans="60:63" ht="14.25" x14ac:dyDescent="0.2">
      <c r="BH2865" s="25"/>
      <c r="BI2865" s="25"/>
      <c r="BJ2865" s="25"/>
      <c r="BK2865" s="25"/>
    </row>
    <row r="2866" spans="60:63" ht="14.25" x14ac:dyDescent="0.2">
      <c r="BH2866" s="25"/>
      <c r="BI2866" s="25"/>
      <c r="BJ2866" s="25"/>
      <c r="BK2866" s="25"/>
    </row>
    <row r="2867" spans="60:63" ht="14.25" x14ac:dyDescent="0.2">
      <c r="BH2867" s="25"/>
      <c r="BI2867" s="25"/>
      <c r="BJ2867" s="25"/>
      <c r="BK2867" s="25"/>
    </row>
    <row r="2868" spans="60:63" ht="14.25" x14ac:dyDescent="0.2">
      <c r="BH2868" s="25"/>
      <c r="BI2868" s="25"/>
      <c r="BJ2868" s="25"/>
      <c r="BK2868" s="25"/>
    </row>
    <row r="2869" spans="60:63" ht="14.25" x14ac:dyDescent="0.2">
      <c r="BH2869" s="25"/>
      <c r="BI2869" s="25"/>
      <c r="BJ2869" s="25"/>
      <c r="BK2869" s="25"/>
    </row>
    <row r="2870" spans="60:63" ht="14.25" x14ac:dyDescent="0.2">
      <c r="BH2870" s="25"/>
      <c r="BI2870" s="25"/>
      <c r="BJ2870" s="25"/>
      <c r="BK2870" s="25"/>
    </row>
    <row r="2871" spans="60:63" ht="14.25" x14ac:dyDescent="0.2">
      <c r="BH2871" s="25"/>
      <c r="BI2871" s="25"/>
      <c r="BJ2871" s="25"/>
      <c r="BK2871" s="25"/>
    </row>
    <row r="2872" spans="60:63" ht="14.25" x14ac:dyDescent="0.2">
      <c r="BH2872" s="25"/>
      <c r="BI2872" s="25"/>
      <c r="BJ2872" s="25"/>
      <c r="BK2872" s="25"/>
    </row>
    <row r="2873" spans="60:63" ht="14.25" x14ac:dyDescent="0.2">
      <c r="BH2873" s="25"/>
      <c r="BI2873" s="25"/>
      <c r="BJ2873" s="25"/>
      <c r="BK2873" s="25"/>
    </row>
    <row r="2874" spans="60:63" ht="14.25" x14ac:dyDescent="0.2">
      <c r="BH2874" s="25"/>
      <c r="BI2874" s="25"/>
      <c r="BJ2874" s="25"/>
      <c r="BK2874" s="25"/>
    </row>
    <row r="2875" spans="60:63" ht="14.25" x14ac:dyDescent="0.2">
      <c r="BH2875" s="25"/>
      <c r="BI2875" s="25"/>
      <c r="BJ2875" s="25"/>
      <c r="BK2875" s="25"/>
    </row>
    <row r="2876" spans="60:63" ht="14.25" x14ac:dyDescent="0.2">
      <c r="BH2876" s="25"/>
      <c r="BI2876" s="25"/>
      <c r="BJ2876" s="25"/>
      <c r="BK2876" s="25"/>
    </row>
    <row r="2877" spans="60:63" ht="14.25" x14ac:dyDescent="0.2">
      <c r="BH2877" s="25"/>
      <c r="BI2877" s="25"/>
      <c r="BJ2877" s="25"/>
      <c r="BK2877" s="25"/>
    </row>
    <row r="2878" spans="60:63" ht="14.25" x14ac:dyDescent="0.2">
      <c r="BH2878" s="25"/>
      <c r="BI2878" s="25"/>
      <c r="BJ2878" s="25"/>
      <c r="BK2878" s="25"/>
    </row>
    <row r="2879" spans="60:63" ht="14.25" x14ac:dyDescent="0.2">
      <c r="BH2879" s="25"/>
      <c r="BI2879" s="25"/>
      <c r="BJ2879" s="25"/>
      <c r="BK2879" s="25"/>
    </row>
    <row r="2880" spans="60:63" ht="14.25" x14ac:dyDescent="0.2">
      <c r="BH2880" s="25"/>
      <c r="BI2880" s="25"/>
      <c r="BJ2880" s="25"/>
      <c r="BK2880" s="25"/>
    </row>
    <row r="2881" spans="60:63" ht="14.25" x14ac:dyDescent="0.2">
      <c r="BH2881" s="25"/>
      <c r="BI2881" s="25"/>
      <c r="BJ2881" s="25"/>
      <c r="BK2881" s="25"/>
    </row>
    <row r="2882" spans="60:63" ht="14.25" x14ac:dyDescent="0.2">
      <c r="BH2882" s="25"/>
      <c r="BI2882" s="25"/>
      <c r="BJ2882" s="25"/>
      <c r="BK2882" s="25"/>
    </row>
    <row r="2883" spans="60:63" ht="14.25" x14ac:dyDescent="0.2">
      <c r="BH2883" s="25"/>
      <c r="BI2883" s="25"/>
      <c r="BJ2883" s="25"/>
      <c r="BK2883" s="25"/>
    </row>
    <row r="2884" spans="60:63" ht="14.25" x14ac:dyDescent="0.2">
      <c r="BH2884" s="25"/>
      <c r="BI2884" s="25"/>
      <c r="BJ2884" s="25"/>
      <c r="BK2884" s="25"/>
    </row>
    <row r="2885" spans="60:63" ht="14.25" x14ac:dyDescent="0.2">
      <c r="BH2885" s="25"/>
      <c r="BI2885" s="25"/>
      <c r="BJ2885" s="25"/>
      <c r="BK2885" s="25"/>
    </row>
    <row r="2886" spans="60:63" ht="14.25" x14ac:dyDescent="0.2">
      <c r="BH2886" s="25"/>
      <c r="BI2886" s="25"/>
      <c r="BJ2886" s="25"/>
      <c r="BK2886" s="25"/>
    </row>
    <row r="2887" spans="60:63" ht="14.25" x14ac:dyDescent="0.2">
      <c r="BH2887" s="25"/>
      <c r="BI2887" s="25"/>
      <c r="BJ2887" s="25"/>
      <c r="BK2887" s="25"/>
    </row>
    <row r="2888" spans="60:63" ht="14.25" x14ac:dyDescent="0.2">
      <c r="BH2888" s="25"/>
      <c r="BI2888" s="25"/>
      <c r="BJ2888" s="25"/>
      <c r="BK2888" s="25"/>
    </row>
    <row r="2889" spans="60:63" ht="14.25" x14ac:dyDescent="0.2">
      <c r="BH2889" s="25"/>
      <c r="BI2889" s="25"/>
      <c r="BJ2889" s="25"/>
      <c r="BK2889" s="25"/>
    </row>
    <row r="2890" spans="60:63" ht="14.25" x14ac:dyDescent="0.2">
      <c r="BH2890" s="25"/>
      <c r="BI2890" s="25"/>
      <c r="BJ2890" s="25"/>
      <c r="BK2890" s="25"/>
    </row>
    <row r="2891" spans="60:63" ht="14.25" x14ac:dyDescent="0.2">
      <c r="BH2891" s="25"/>
      <c r="BI2891" s="25"/>
      <c r="BJ2891" s="25"/>
      <c r="BK2891" s="25"/>
    </row>
    <row r="2892" spans="60:63" ht="14.25" x14ac:dyDescent="0.2">
      <c r="BH2892" s="25"/>
      <c r="BI2892" s="25"/>
      <c r="BJ2892" s="25"/>
      <c r="BK2892" s="25"/>
    </row>
    <row r="2893" spans="60:63" ht="14.25" x14ac:dyDescent="0.2">
      <c r="BH2893" s="25"/>
      <c r="BI2893" s="25"/>
      <c r="BJ2893" s="25"/>
      <c r="BK2893" s="25"/>
    </row>
    <row r="2894" spans="60:63" ht="14.25" x14ac:dyDescent="0.2">
      <c r="BH2894" s="25"/>
      <c r="BI2894" s="25"/>
      <c r="BJ2894" s="25"/>
      <c r="BK2894" s="25"/>
    </row>
    <row r="2895" spans="60:63" ht="14.25" x14ac:dyDescent="0.2">
      <c r="BH2895" s="25"/>
      <c r="BI2895" s="25"/>
      <c r="BJ2895" s="25"/>
      <c r="BK2895" s="25"/>
    </row>
    <row r="2896" spans="60:63" ht="14.25" x14ac:dyDescent="0.2">
      <c r="BH2896" s="25"/>
      <c r="BI2896" s="25"/>
      <c r="BJ2896" s="25"/>
      <c r="BK2896" s="25"/>
    </row>
    <row r="2897" spans="60:63" ht="14.25" x14ac:dyDescent="0.2">
      <c r="BH2897" s="25"/>
      <c r="BI2897" s="25"/>
      <c r="BJ2897" s="25"/>
      <c r="BK2897" s="25"/>
    </row>
    <row r="2898" spans="60:63" ht="14.25" x14ac:dyDescent="0.2">
      <c r="BH2898" s="25"/>
      <c r="BI2898" s="25"/>
      <c r="BJ2898" s="25"/>
      <c r="BK2898" s="25"/>
    </row>
    <row r="2899" spans="60:63" ht="14.25" x14ac:dyDescent="0.2">
      <c r="BH2899" s="25"/>
      <c r="BI2899" s="25"/>
      <c r="BJ2899" s="25"/>
      <c r="BK2899" s="25"/>
    </row>
    <row r="2900" spans="60:63" ht="14.25" x14ac:dyDescent="0.2">
      <c r="BH2900" s="25"/>
      <c r="BI2900" s="25"/>
      <c r="BJ2900" s="25"/>
      <c r="BK2900" s="25"/>
    </row>
    <row r="2901" spans="60:63" ht="14.25" x14ac:dyDescent="0.2">
      <c r="BH2901" s="25"/>
      <c r="BI2901" s="25"/>
      <c r="BJ2901" s="25"/>
      <c r="BK2901" s="25"/>
    </row>
    <row r="2902" spans="60:63" ht="14.25" x14ac:dyDescent="0.2">
      <c r="BH2902" s="25"/>
      <c r="BI2902" s="25"/>
      <c r="BJ2902" s="25"/>
      <c r="BK2902" s="25"/>
    </row>
    <row r="2903" spans="60:63" ht="14.25" x14ac:dyDescent="0.2">
      <c r="BH2903" s="25"/>
      <c r="BI2903" s="25"/>
      <c r="BJ2903" s="25"/>
      <c r="BK2903" s="25"/>
    </row>
    <row r="2904" spans="60:63" ht="14.25" x14ac:dyDescent="0.2">
      <c r="BH2904" s="25"/>
      <c r="BI2904" s="25"/>
      <c r="BJ2904" s="25"/>
      <c r="BK2904" s="25"/>
    </row>
    <row r="2905" spans="60:63" ht="14.25" x14ac:dyDescent="0.2">
      <c r="BH2905" s="25"/>
      <c r="BI2905" s="25"/>
      <c r="BJ2905" s="25"/>
      <c r="BK2905" s="25"/>
    </row>
    <row r="2906" spans="60:63" ht="14.25" x14ac:dyDescent="0.2">
      <c r="BH2906" s="25"/>
      <c r="BI2906" s="25"/>
      <c r="BJ2906" s="25"/>
      <c r="BK2906" s="25"/>
    </row>
    <row r="2907" spans="60:63" ht="14.25" x14ac:dyDescent="0.2">
      <c r="BH2907" s="25"/>
      <c r="BI2907" s="25"/>
      <c r="BJ2907" s="25"/>
      <c r="BK2907" s="25"/>
    </row>
    <row r="2908" spans="60:63" ht="14.25" x14ac:dyDescent="0.2">
      <c r="BH2908" s="25"/>
      <c r="BI2908" s="25"/>
      <c r="BJ2908" s="25"/>
      <c r="BK2908" s="25"/>
    </row>
    <row r="2909" spans="60:63" ht="14.25" x14ac:dyDescent="0.2">
      <c r="BH2909" s="25"/>
      <c r="BI2909" s="25"/>
      <c r="BJ2909" s="25"/>
      <c r="BK2909" s="25"/>
    </row>
    <row r="2910" spans="60:63" ht="14.25" x14ac:dyDescent="0.2">
      <c r="BH2910" s="25"/>
      <c r="BI2910" s="25"/>
      <c r="BJ2910" s="25"/>
      <c r="BK2910" s="25"/>
    </row>
    <row r="2911" spans="60:63" ht="14.25" x14ac:dyDescent="0.2">
      <c r="BH2911" s="25"/>
      <c r="BI2911" s="25"/>
      <c r="BJ2911" s="25"/>
      <c r="BK2911" s="25"/>
    </row>
    <row r="2912" spans="60:63" ht="14.25" x14ac:dyDescent="0.2">
      <c r="BH2912" s="25"/>
      <c r="BI2912" s="25"/>
      <c r="BJ2912" s="25"/>
      <c r="BK2912" s="25"/>
    </row>
    <row r="2913" spans="60:63" ht="14.25" x14ac:dyDescent="0.2">
      <c r="BH2913" s="25"/>
      <c r="BI2913" s="25"/>
      <c r="BJ2913" s="25"/>
      <c r="BK2913" s="25"/>
    </row>
    <row r="2914" spans="60:63" ht="14.25" x14ac:dyDescent="0.2">
      <c r="BH2914" s="25"/>
      <c r="BI2914" s="25"/>
      <c r="BJ2914" s="25"/>
      <c r="BK2914" s="25"/>
    </row>
    <row r="2915" spans="60:63" ht="14.25" x14ac:dyDescent="0.2">
      <c r="BH2915" s="25"/>
      <c r="BI2915" s="25"/>
      <c r="BJ2915" s="25"/>
      <c r="BK2915" s="25"/>
    </row>
    <row r="2916" spans="60:63" ht="14.25" x14ac:dyDescent="0.2">
      <c r="BH2916" s="25"/>
      <c r="BI2916" s="25"/>
      <c r="BJ2916" s="25"/>
      <c r="BK2916" s="25"/>
    </row>
    <row r="2917" spans="60:63" ht="14.25" x14ac:dyDescent="0.2">
      <c r="BH2917" s="25"/>
      <c r="BI2917" s="25"/>
      <c r="BJ2917" s="25"/>
      <c r="BK2917" s="25"/>
    </row>
    <row r="2918" spans="60:63" ht="14.25" x14ac:dyDescent="0.2">
      <c r="BH2918" s="25"/>
      <c r="BI2918" s="25"/>
      <c r="BJ2918" s="25"/>
      <c r="BK2918" s="25"/>
    </row>
    <row r="2919" spans="60:63" ht="14.25" x14ac:dyDescent="0.2">
      <c r="BH2919" s="25"/>
      <c r="BI2919" s="25"/>
      <c r="BJ2919" s="25"/>
      <c r="BK2919" s="25"/>
    </row>
    <row r="2920" spans="60:63" ht="14.25" x14ac:dyDescent="0.2">
      <c r="BH2920" s="25"/>
      <c r="BI2920" s="25"/>
      <c r="BJ2920" s="25"/>
      <c r="BK2920" s="25"/>
    </row>
    <row r="2921" spans="60:63" ht="14.25" x14ac:dyDescent="0.2">
      <c r="BH2921" s="25"/>
      <c r="BI2921" s="25"/>
      <c r="BJ2921" s="25"/>
      <c r="BK2921" s="25"/>
    </row>
    <row r="2922" spans="60:63" ht="14.25" x14ac:dyDescent="0.2">
      <c r="BH2922" s="25"/>
      <c r="BI2922" s="25"/>
      <c r="BJ2922" s="25"/>
      <c r="BK2922" s="25"/>
    </row>
    <row r="2923" spans="60:63" ht="14.25" x14ac:dyDescent="0.2">
      <c r="BH2923" s="25"/>
      <c r="BI2923" s="25"/>
      <c r="BJ2923" s="25"/>
      <c r="BK2923" s="25"/>
    </row>
    <row r="2924" spans="60:63" ht="14.25" x14ac:dyDescent="0.2">
      <c r="BH2924" s="25"/>
      <c r="BI2924" s="25"/>
      <c r="BJ2924" s="25"/>
      <c r="BK2924" s="25"/>
    </row>
    <row r="2925" spans="60:63" ht="14.25" x14ac:dyDescent="0.2">
      <c r="BH2925" s="25"/>
      <c r="BI2925" s="25"/>
      <c r="BJ2925" s="25"/>
      <c r="BK2925" s="25"/>
    </row>
    <row r="2926" spans="60:63" ht="14.25" x14ac:dyDescent="0.2">
      <c r="BH2926" s="25"/>
      <c r="BI2926" s="25"/>
      <c r="BJ2926" s="25"/>
      <c r="BK2926" s="25"/>
    </row>
    <row r="2927" spans="60:63" ht="14.25" x14ac:dyDescent="0.2">
      <c r="BH2927" s="25"/>
      <c r="BI2927" s="25"/>
      <c r="BJ2927" s="25"/>
      <c r="BK2927" s="25"/>
    </row>
    <row r="2928" spans="60:63" ht="14.25" x14ac:dyDescent="0.2">
      <c r="BH2928" s="25"/>
      <c r="BI2928" s="25"/>
      <c r="BJ2928" s="25"/>
      <c r="BK2928" s="25"/>
    </row>
    <row r="2929" spans="60:63" ht="14.25" x14ac:dyDescent="0.2">
      <c r="BH2929" s="25"/>
      <c r="BI2929" s="25"/>
      <c r="BJ2929" s="25"/>
      <c r="BK2929" s="25"/>
    </row>
    <row r="2930" spans="60:63" ht="14.25" x14ac:dyDescent="0.2">
      <c r="BH2930" s="25"/>
      <c r="BI2930" s="25"/>
      <c r="BJ2930" s="25"/>
      <c r="BK2930" s="25"/>
    </row>
    <row r="2931" spans="60:63" ht="14.25" x14ac:dyDescent="0.2">
      <c r="BH2931" s="25"/>
      <c r="BI2931" s="25"/>
      <c r="BJ2931" s="25"/>
      <c r="BK2931" s="25"/>
    </row>
    <row r="2932" spans="60:63" ht="14.25" x14ac:dyDescent="0.2">
      <c r="BH2932" s="25"/>
      <c r="BI2932" s="25"/>
      <c r="BJ2932" s="25"/>
      <c r="BK2932" s="25"/>
    </row>
    <row r="2933" spans="60:63" ht="14.25" x14ac:dyDescent="0.2">
      <c r="BH2933" s="25"/>
      <c r="BI2933" s="25"/>
      <c r="BJ2933" s="25"/>
      <c r="BK2933" s="25"/>
    </row>
    <row r="2934" spans="60:63" ht="14.25" x14ac:dyDescent="0.2">
      <c r="BH2934" s="25"/>
      <c r="BI2934" s="25"/>
      <c r="BJ2934" s="25"/>
      <c r="BK2934" s="25"/>
    </row>
    <row r="2935" spans="60:63" ht="14.25" x14ac:dyDescent="0.2">
      <c r="BH2935" s="25"/>
      <c r="BI2935" s="25"/>
      <c r="BJ2935" s="25"/>
      <c r="BK2935" s="25"/>
    </row>
    <row r="2936" spans="60:63" ht="14.25" x14ac:dyDescent="0.2">
      <c r="BH2936" s="25"/>
      <c r="BI2936" s="25"/>
      <c r="BJ2936" s="25"/>
      <c r="BK2936" s="25"/>
    </row>
    <row r="2937" spans="60:63" ht="14.25" x14ac:dyDescent="0.2">
      <c r="BH2937" s="25"/>
      <c r="BI2937" s="25"/>
      <c r="BJ2937" s="25"/>
      <c r="BK2937" s="25"/>
    </row>
    <row r="2938" spans="60:63" ht="14.25" x14ac:dyDescent="0.2">
      <c r="BH2938" s="25"/>
      <c r="BI2938" s="25"/>
      <c r="BJ2938" s="25"/>
      <c r="BK2938" s="25"/>
    </row>
    <row r="2939" spans="60:63" ht="14.25" x14ac:dyDescent="0.2">
      <c r="BH2939" s="25"/>
      <c r="BI2939" s="25"/>
      <c r="BJ2939" s="25"/>
      <c r="BK2939" s="25"/>
    </row>
    <row r="2940" spans="60:63" ht="14.25" x14ac:dyDescent="0.2">
      <c r="BH2940" s="25"/>
      <c r="BI2940" s="25"/>
      <c r="BJ2940" s="25"/>
      <c r="BK2940" s="25"/>
    </row>
    <row r="2941" spans="60:63" ht="14.25" x14ac:dyDescent="0.2">
      <c r="BH2941" s="25"/>
      <c r="BI2941" s="25"/>
      <c r="BJ2941" s="25"/>
      <c r="BK2941" s="25"/>
    </row>
    <row r="2942" spans="60:63" ht="14.25" x14ac:dyDescent="0.2">
      <c r="BH2942" s="25"/>
      <c r="BI2942" s="25"/>
      <c r="BJ2942" s="25"/>
      <c r="BK2942" s="25"/>
    </row>
    <row r="2943" spans="60:63" ht="14.25" x14ac:dyDescent="0.2">
      <c r="BH2943" s="25"/>
      <c r="BI2943" s="25"/>
      <c r="BJ2943" s="25"/>
      <c r="BK2943" s="25"/>
    </row>
    <row r="2944" spans="60:63" ht="14.25" x14ac:dyDescent="0.2">
      <c r="BH2944" s="25"/>
      <c r="BI2944" s="25"/>
      <c r="BJ2944" s="25"/>
      <c r="BK2944" s="25"/>
    </row>
    <row r="2945" spans="60:63" ht="14.25" x14ac:dyDescent="0.2">
      <c r="BH2945" s="25"/>
      <c r="BI2945" s="25"/>
      <c r="BJ2945" s="25"/>
      <c r="BK2945" s="25"/>
    </row>
    <row r="2946" spans="60:63" ht="14.25" x14ac:dyDescent="0.2">
      <c r="BH2946" s="25"/>
      <c r="BI2946" s="25"/>
      <c r="BJ2946" s="25"/>
      <c r="BK2946" s="25"/>
    </row>
    <row r="2947" spans="60:63" ht="14.25" x14ac:dyDescent="0.2">
      <c r="BH2947" s="25"/>
      <c r="BI2947" s="25"/>
      <c r="BJ2947" s="25"/>
      <c r="BK2947" s="25"/>
    </row>
    <row r="2948" spans="60:63" ht="14.25" x14ac:dyDescent="0.2">
      <c r="BH2948" s="25"/>
      <c r="BI2948" s="25"/>
      <c r="BJ2948" s="25"/>
      <c r="BK2948" s="25"/>
    </row>
    <row r="2949" spans="60:63" ht="14.25" x14ac:dyDescent="0.2">
      <c r="BH2949" s="25"/>
      <c r="BI2949" s="25"/>
      <c r="BJ2949" s="25"/>
      <c r="BK2949" s="25"/>
    </row>
    <row r="2950" spans="60:63" ht="14.25" x14ac:dyDescent="0.2">
      <c r="BH2950" s="25"/>
      <c r="BI2950" s="25"/>
      <c r="BJ2950" s="25"/>
      <c r="BK2950" s="25"/>
    </row>
    <row r="2951" spans="60:63" ht="14.25" x14ac:dyDescent="0.2">
      <c r="BH2951" s="25"/>
      <c r="BI2951" s="25"/>
      <c r="BJ2951" s="25"/>
      <c r="BK2951" s="25"/>
    </row>
    <row r="2952" spans="60:63" ht="14.25" x14ac:dyDescent="0.2">
      <c r="BH2952" s="25"/>
      <c r="BI2952" s="25"/>
      <c r="BJ2952" s="25"/>
      <c r="BK2952" s="25"/>
    </row>
    <row r="2953" spans="60:63" ht="14.25" x14ac:dyDescent="0.2">
      <c r="BH2953" s="25"/>
      <c r="BI2953" s="25"/>
      <c r="BJ2953" s="25"/>
      <c r="BK2953" s="25"/>
    </row>
    <row r="2954" spans="60:63" ht="14.25" x14ac:dyDescent="0.2">
      <c r="BH2954" s="25"/>
      <c r="BI2954" s="25"/>
      <c r="BJ2954" s="25"/>
      <c r="BK2954" s="25"/>
    </row>
    <row r="2955" spans="60:63" ht="14.25" x14ac:dyDescent="0.2">
      <c r="BH2955" s="25"/>
      <c r="BI2955" s="25"/>
      <c r="BJ2955" s="25"/>
      <c r="BK2955" s="25"/>
    </row>
    <row r="2956" spans="60:63" ht="14.25" x14ac:dyDescent="0.2">
      <c r="BH2956" s="25"/>
      <c r="BI2956" s="25"/>
      <c r="BJ2956" s="25"/>
      <c r="BK2956" s="25"/>
    </row>
    <row r="2957" spans="60:63" ht="14.25" x14ac:dyDescent="0.2">
      <c r="BH2957" s="25"/>
      <c r="BI2957" s="25"/>
      <c r="BJ2957" s="25"/>
      <c r="BK2957" s="25"/>
    </row>
    <row r="2958" spans="60:63" ht="14.25" x14ac:dyDescent="0.2">
      <c r="BH2958" s="25"/>
      <c r="BI2958" s="25"/>
      <c r="BJ2958" s="25"/>
      <c r="BK2958" s="25"/>
    </row>
    <row r="2959" spans="60:63" ht="14.25" x14ac:dyDescent="0.2">
      <c r="BH2959" s="25"/>
      <c r="BI2959" s="25"/>
      <c r="BJ2959" s="25"/>
      <c r="BK2959" s="25"/>
    </row>
    <row r="2960" spans="60:63" ht="14.25" x14ac:dyDescent="0.2">
      <c r="BH2960" s="25"/>
      <c r="BI2960" s="25"/>
      <c r="BJ2960" s="25"/>
      <c r="BK2960" s="25"/>
    </row>
    <row r="2961" spans="60:63" ht="14.25" x14ac:dyDescent="0.2">
      <c r="BH2961" s="25"/>
      <c r="BI2961" s="25"/>
      <c r="BJ2961" s="25"/>
      <c r="BK2961" s="25"/>
    </row>
    <row r="2962" spans="60:63" ht="14.25" x14ac:dyDescent="0.2">
      <c r="BH2962" s="25"/>
      <c r="BI2962" s="25"/>
      <c r="BJ2962" s="25"/>
      <c r="BK2962" s="25"/>
    </row>
    <row r="2963" spans="60:63" ht="14.25" x14ac:dyDescent="0.2">
      <c r="BH2963" s="25"/>
      <c r="BI2963" s="25"/>
      <c r="BJ2963" s="25"/>
      <c r="BK2963" s="25"/>
    </row>
    <row r="2964" spans="60:63" ht="14.25" x14ac:dyDescent="0.2">
      <c r="BH2964" s="25"/>
      <c r="BI2964" s="25"/>
      <c r="BJ2964" s="25"/>
      <c r="BK2964" s="25"/>
    </row>
    <row r="2965" spans="60:63" ht="14.25" x14ac:dyDescent="0.2">
      <c r="BH2965" s="25"/>
      <c r="BI2965" s="25"/>
      <c r="BJ2965" s="25"/>
      <c r="BK2965" s="25"/>
    </row>
    <row r="2966" spans="60:63" ht="14.25" x14ac:dyDescent="0.2">
      <c r="BH2966" s="25"/>
      <c r="BI2966" s="25"/>
      <c r="BJ2966" s="25"/>
      <c r="BK2966" s="25"/>
    </row>
    <row r="2967" spans="60:63" ht="14.25" x14ac:dyDescent="0.2">
      <c r="BH2967" s="25"/>
      <c r="BI2967" s="25"/>
      <c r="BJ2967" s="25"/>
      <c r="BK2967" s="25"/>
    </row>
    <row r="2968" spans="60:63" ht="14.25" x14ac:dyDescent="0.2">
      <c r="BH2968" s="25"/>
      <c r="BI2968" s="25"/>
      <c r="BJ2968" s="25"/>
      <c r="BK2968" s="25"/>
    </row>
    <row r="2969" spans="60:63" ht="14.25" x14ac:dyDescent="0.2">
      <c r="BH2969" s="25"/>
      <c r="BI2969" s="25"/>
      <c r="BJ2969" s="25"/>
      <c r="BK2969" s="25"/>
    </row>
    <row r="2970" spans="60:63" ht="14.25" x14ac:dyDescent="0.2">
      <c r="BH2970" s="25"/>
      <c r="BI2970" s="25"/>
      <c r="BJ2970" s="25"/>
      <c r="BK2970" s="25"/>
    </row>
    <row r="2971" spans="60:63" ht="14.25" x14ac:dyDescent="0.2">
      <c r="BH2971" s="25"/>
      <c r="BI2971" s="25"/>
      <c r="BJ2971" s="25"/>
      <c r="BK2971" s="25"/>
    </row>
    <row r="2972" spans="60:63" ht="14.25" x14ac:dyDescent="0.2">
      <c r="BH2972" s="25"/>
      <c r="BI2972" s="25"/>
      <c r="BJ2972" s="25"/>
      <c r="BK2972" s="25"/>
    </row>
    <row r="2973" spans="60:63" ht="14.25" x14ac:dyDescent="0.2">
      <c r="BH2973" s="25"/>
      <c r="BI2973" s="25"/>
      <c r="BJ2973" s="25"/>
      <c r="BK2973" s="25"/>
    </row>
    <row r="2974" spans="60:63" ht="14.25" x14ac:dyDescent="0.2">
      <c r="BH2974" s="25"/>
      <c r="BI2974" s="25"/>
      <c r="BJ2974" s="25"/>
      <c r="BK2974" s="25"/>
    </row>
    <row r="2975" spans="60:63" ht="14.25" x14ac:dyDescent="0.2">
      <c r="BH2975" s="25"/>
      <c r="BI2975" s="25"/>
      <c r="BJ2975" s="25"/>
      <c r="BK2975" s="25"/>
    </row>
    <row r="2976" spans="60:63" ht="14.25" x14ac:dyDescent="0.2">
      <c r="BH2976" s="25"/>
      <c r="BI2976" s="25"/>
      <c r="BJ2976" s="25"/>
      <c r="BK2976" s="25"/>
    </row>
    <row r="2977" spans="60:63" ht="14.25" x14ac:dyDescent="0.2">
      <c r="BH2977" s="25"/>
      <c r="BI2977" s="25"/>
      <c r="BJ2977" s="25"/>
      <c r="BK2977" s="25"/>
    </row>
    <row r="2978" spans="60:63" ht="14.25" x14ac:dyDescent="0.2">
      <c r="BH2978" s="25"/>
      <c r="BI2978" s="25"/>
      <c r="BJ2978" s="25"/>
      <c r="BK2978" s="25"/>
    </row>
    <row r="2979" spans="60:63" ht="14.25" x14ac:dyDescent="0.2">
      <c r="BH2979" s="25"/>
      <c r="BI2979" s="25"/>
      <c r="BJ2979" s="25"/>
      <c r="BK2979" s="25"/>
    </row>
    <row r="2980" spans="60:63" ht="14.25" x14ac:dyDescent="0.2">
      <c r="BH2980" s="25"/>
      <c r="BI2980" s="25"/>
      <c r="BJ2980" s="25"/>
      <c r="BK2980" s="25"/>
    </row>
    <row r="2981" spans="60:63" ht="14.25" x14ac:dyDescent="0.2">
      <c r="BH2981" s="25"/>
      <c r="BI2981" s="25"/>
      <c r="BJ2981" s="25"/>
      <c r="BK2981" s="25"/>
    </row>
    <row r="2982" spans="60:63" ht="14.25" x14ac:dyDescent="0.2">
      <c r="BH2982" s="25"/>
      <c r="BI2982" s="25"/>
      <c r="BJ2982" s="25"/>
      <c r="BK2982" s="25"/>
    </row>
    <row r="2983" spans="60:63" ht="14.25" x14ac:dyDescent="0.2">
      <c r="BH2983" s="25"/>
      <c r="BI2983" s="25"/>
      <c r="BJ2983" s="25"/>
      <c r="BK2983" s="25"/>
    </row>
    <row r="2984" spans="60:63" ht="14.25" x14ac:dyDescent="0.2">
      <c r="BH2984" s="25"/>
      <c r="BI2984" s="25"/>
      <c r="BJ2984" s="25"/>
      <c r="BK2984" s="25"/>
    </row>
    <row r="2985" spans="60:63" ht="14.25" x14ac:dyDescent="0.2">
      <c r="BH2985" s="25"/>
      <c r="BI2985" s="25"/>
      <c r="BJ2985" s="25"/>
      <c r="BK2985" s="25"/>
    </row>
    <row r="2986" spans="60:63" ht="14.25" x14ac:dyDescent="0.2">
      <c r="BH2986" s="25"/>
      <c r="BI2986" s="25"/>
      <c r="BJ2986" s="25"/>
      <c r="BK2986" s="25"/>
    </row>
    <row r="2987" spans="60:63" ht="14.25" x14ac:dyDescent="0.2">
      <c r="BH2987" s="25"/>
      <c r="BI2987" s="25"/>
      <c r="BJ2987" s="25"/>
      <c r="BK2987" s="25"/>
    </row>
    <row r="2988" spans="60:63" ht="14.25" x14ac:dyDescent="0.2">
      <c r="BH2988" s="25"/>
      <c r="BI2988" s="25"/>
      <c r="BJ2988" s="25"/>
      <c r="BK2988" s="25"/>
    </row>
    <row r="2989" spans="60:63" ht="14.25" x14ac:dyDescent="0.2">
      <c r="BH2989" s="25"/>
      <c r="BI2989" s="25"/>
      <c r="BJ2989" s="25"/>
      <c r="BK2989" s="25"/>
    </row>
    <row r="2990" spans="60:63" ht="14.25" x14ac:dyDescent="0.2">
      <c r="BH2990" s="25"/>
      <c r="BI2990" s="25"/>
      <c r="BJ2990" s="25"/>
      <c r="BK2990" s="25"/>
    </row>
    <row r="2991" spans="60:63" ht="14.25" x14ac:dyDescent="0.2">
      <c r="BH2991" s="25"/>
      <c r="BI2991" s="25"/>
      <c r="BJ2991" s="25"/>
      <c r="BK2991" s="25"/>
    </row>
    <row r="2992" spans="60:63" ht="14.25" x14ac:dyDescent="0.2">
      <c r="BH2992" s="25"/>
      <c r="BI2992" s="25"/>
      <c r="BJ2992" s="25"/>
      <c r="BK2992" s="25"/>
    </row>
    <row r="2993" spans="60:63" ht="14.25" x14ac:dyDescent="0.2">
      <c r="BH2993" s="25"/>
      <c r="BI2993" s="25"/>
      <c r="BJ2993" s="25"/>
      <c r="BK2993" s="25"/>
    </row>
    <row r="2994" spans="60:63" ht="14.25" x14ac:dyDescent="0.2">
      <c r="BH2994" s="25"/>
      <c r="BI2994" s="25"/>
      <c r="BJ2994" s="25"/>
      <c r="BK2994" s="25"/>
    </row>
    <row r="2995" spans="60:63" ht="14.25" x14ac:dyDescent="0.2">
      <c r="BH2995" s="25"/>
      <c r="BI2995" s="25"/>
      <c r="BJ2995" s="25"/>
      <c r="BK2995" s="25"/>
    </row>
    <row r="2996" spans="60:63" ht="14.25" x14ac:dyDescent="0.2">
      <c r="BH2996" s="25"/>
      <c r="BI2996" s="25"/>
      <c r="BJ2996" s="25"/>
      <c r="BK2996" s="25"/>
    </row>
    <row r="2997" spans="60:63" ht="14.25" x14ac:dyDescent="0.2">
      <c r="BH2997" s="25"/>
      <c r="BI2997" s="25"/>
      <c r="BJ2997" s="25"/>
      <c r="BK2997" s="25"/>
    </row>
    <row r="2998" spans="60:63" ht="14.25" x14ac:dyDescent="0.2">
      <c r="BH2998" s="25"/>
      <c r="BI2998" s="25"/>
      <c r="BJ2998" s="25"/>
      <c r="BK2998" s="25"/>
    </row>
    <row r="2999" spans="60:63" ht="14.25" x14ac:dyDescent="0.2">
      <c r="BH2999" s="25"/>
      <c r="BI2999" s="25"/>
      <c r="BJ2999" s="25"/>
      <c r="BK2999" s="25"/>
    </row>
    <row r="3000" spans="60:63" ht="14.25" x14ac:dyDescent="0.2">
      <c r="BH3000" s="25"/>
      <c r="BI3000" s="25"/>
      <c r="BJ3000" s="25"/>
      <c r="BK3000" s="25"/>
    </row>
    <row r="3001" spans="60:63" ht="14.25" x14ac:dyDescent="0.2">
      <c r="BH3001" s="25"/>
      <c r="BI3001" s="25"/>
      <c r="BJ3001" s="25"/>
      <c r="BK3001" s="25"/>
    </row>
    <row r="3002" spans="60:63" ht="14.25" x14ac:dyDescent="0.2">
      <c r="BH3002" s="25"/>
      <c r="BI3002" s="25"/>
      <c r="BJ3002" s="25"/>
      <c r="BK3002" s="25"/>
    </row>
    <row r="3003" spans="60:63" ht="14.25" x14ac:dyDescent="0.2">
      <c r="BH3003" s="25"/>
      <c r="BI3003" s="25"/>
      <c r="BJ3003" s="25"/>
      <c r="BK3003" s="25"/>
    </row>
    <row r="3004" spans="60:63" ht="14.25" x14ac:dyDescent="0.2">
      <c r="BH3004" s="25"/>
      <c r="BI3004" s="25"/>
      <c r="BJ3004" s="25"/>
      <c r="BK3004" s="25"/>
    </row>
    <row r="3005" spans="60:63" ht="14.25" x14ac:dyDescent="0.2">
      <c r="BH3005" s="25"/>
      <c r="BI3005" s="25"/>
      <c r="BJ3005" s="25"/>
      <c r="BK3005" s="25"/>
    </row>
    <row r="3006" spans="60:63" ht="14.25" x14ac:dyDescent="0.2">
      <c r="BH3006" s="25"/>
      <c r="BI3006" s="25"/>
      <c r="BJ3006" s="25"/>
      <c r="BK3006" s="25"/>
    </row>
    <row r="3007" spans="60:63" ht="14.25" x14ac:dyDescent="0.2">
      <c r="BH3007" s="25"/>
      <c r="BI3007" s="25"/>
      <c r="BJ3007" s="25"/>
      <c r="BK3007" s="25"/>
    </row>
    <row r="3008" spans="60:63" ht="14.25" x14ac:dyDescent="0.2">
      <c r="BH3008" s="25"/>
      <c r="BI3008" s="25"/>
      <c r="BJ3008" s="25"/>
      <c r="BK3008" s="25"/>
    </row>
    <row r="3009" spans="60:63" ht="14.25" x14ac:dyDescent="0.2">
      <c r="BH3009" s="25"/>
      <c r="BI3009" s="25"/>
      <c r="BJ3009" s="25"/>
      <c r="BK3009" s="25"/>
    </row>
    <row r="3010" spans="60:63" ht="14.25" x14ac:dyDescent="0.2">
      <c r="BH3010" s="25"/>
      <c r="BI3010" s="25"/>
      <c r="BJ3010" s="25"/>
      <c r="BK3010" s="25"/>
    </row>
    <row r="3011" spans="60:63" ht="14.25" x14ac:dyDescent="0.2">
      <c r="BH3011" s="25"/>
      <c r="BI3011" s="25"/>
      <c r="BJ3011" s="25"/>
      <c r="BK3011" s="25"/>
    </row>
    <row r="3012" spans="60:63" ht="14.25" x14ac:dyDescent="0.2">
      <c r="BH3012" s="25"/>
      <c r="BI3012" s="25"/>
      <c r="BJ3012" s="25"/>
      <c r="BK3012" s="25"/>
    </row>
    <row r="3013" spans="60:63" ht="14.25" x14ac:dyDescent="0.2">
      <c r="BH3013" s="25"/>
      <c r="BI3013" s="25"/>
      <c r="BJ3013" s="25"/>
      <c r="BK3013" s="25"/>
    </row>
    <row r="3014" spans="60:63" ht="14.25" x14ac:dyDescent="0.2">
      <c r="BH3014" s="25"/>
      <c r="BI3014" s="25"/>
      <c r="BJ3014" s="25"/>
      <c r="BK3014" s="25"/>
    </row>
    <row r="3015" spans="60:63" ht="14.25" x14ac:dyDescent="0.2">
      <c r="BH3015" s="25"/>
      <c r="BI3015" s="25"/>
      <c r="BJ3015" s="25"/>
      <c r="BK3015" s="25"/>
    </row>
    <row r="3016" spans="60:63" ht="14.25" x14ac:dyDescent="0.2">
      <c r="BH3016" s="25"/>
      <c r="BI3016" s="25"/>
      <c r="BJ3016" s="25"/>
      <c r="BK3016" s="25"/>
    </row>
    <row r="3017" spans="60:63" ht="14.25" x14ac:dyDescent="0.2">
      <c r="BH3017" s="25"/>
      <c r="BI3017" s="25"/>
      <c r="BJ3017" s="25"/>
      <c r="BK3017" s="25"/>
    </row>
    <row r="3018" spans="60:63" ht="14.25" x14ac:dyDescent="0.2">
      <c r="BH3018" s="25"/>
      <c r="BI3018" s="25"/>
      <c r="BJ3018" s="25"/>
      <c r="BK3018" s="25"/>
    </row>
    <row r="3019" spans="60:63" ht="14.25" x14ac:dyDescent="0.2">
      <c r="BH3019" s="25"/>
      <c r="BI3019" s="25"/>
      <c r="BJ3019" s="25"/>
      <c r="BK3019" s="25"/>
    </row>
    <row r="3020" spans="60:63" ht="14.25" x14ac:dyDescent="0.2">
      <c r="BH3020" s="25"/>
      <c r="BI3020" s="25"/>
      <c r="BJ3020" s="25"/>
      <c r="BK3020" s="25"/>
    </row>
    <row r="3021" spans="60:63" ht="14.25" x14ac:dyDescent="0.2">
      <c r="BH3021" s="25"/>
      <c r="BI3021" s="25"/>
      <c r="BJ3021" s="25"/>
      <c r="BK3021" s="25"/>
    </row>
    <row r="3022" spans="60:63" ht="14.25" x14ac:dyDescent="0.2">
      <c r="BH3022" s="25"/>
      <c r="BI3022" s="25"/>
      <c r="BJ3022" s="25"/>
      <c r="BK3022" s="25"/>
    </row>
    <row r="3023" spans="60:63" ht="14.25" x14ac:dyDescent="0.2">
      <c r="BH3023" s="25"/>
      <c r="BI3023" s="25"/>
      <c r="BJ3023" s="25"/>
      <c r="BK3023" s="25"/>
    </row>
    <row r="3024" spans="60:63" ht="14.25" x14ac:dyDescent="0.2">
      <c r="BH3024" s="25"/>
      <c r="BI3024" s="25"/>
      <c r="BJ3024" s="25"/>
      <c r="BK3024" s="25"/>
    </row>
    <row r="3025" spans="60:63" ht="14.25" x14ac:dyDescent="0.2">
      <c r="BH3025" s="25"/>
      <c r="BI3025" s="25"/>
      <c r="BJ3025" s="25"/>
      <c r="BK3025" s="25"/>
    </row>
    <row r="3026" spans="60:63" ht="14.25" x14ac:dyDescent="0.2">
      <c r="BH3026" s="25"/>
      <c r="BI3026" s="25"/>
      <c r="BJ3026" s="25"/>
      <c r="BK3026" s="25"/>
    </row>
    <row r="3027" spans="60:63" ht="14.25" x14ac:dyDescent="0.2">
      <c r="BH3027" s="25"/>
      <c r="BI3027" s="25"/>
      <c r="BJ3027" s="25"/>
      <c r="BK3027" s="25"/>
    </row>
    <row r="3028" spans="60:63" ht="14.25" x14ac:dyDescent="0.2">
      <c r="BH3028" s="25"/>
      <c r="BI3028" s="25"/>
      <c r="BJ3028" s="25"/>
      <c r="BK3028" s="25"/>
    </row>
    <row r="3029" spans="60:63" ht="14.25" x14ac:dyDescent="0.2">
      <c r="BH3029" s="25"/>
      <c r="BI3029" s="25"/>
      <c r="BJ3029" s="25"/>
      <c r="BK3029" s="25"/>
    </row>
    <row r="3030" spans="60:63" ht="14.25" x14ac:dyDescent="0.2">
      <c r="BH3030" s="25"/>
      <c r="BI3030" s="25"/>
      <c r="BJ3030" s="25"/>
      <c r="BK3030" s="25"/>
    </row>
    <row r="3031" spans="60:63" ht="14.25" x14ac:dyDescent="0.2">
      <c r="BH3031" s="25"/>
      <c r="BI3031" s="25"/>
      <c r="BJ3031" s="25"/>
      <c r="BK3031" s="25"/>
    </row>
    <row r="3032" spans="60:63" ht="14.25" x14ac:dyDescent="0.2">
      <c r="BH3032" s="25"/>
      <c r="BI3032" s="25"/>
      <c r="BJ3032" s="25"/>
      <c r="BK3032" s="25"/>
    </row>
    <row r="3033" spans="60:63" ht="14.25" x14ac:dyDescent="0.2">
      <c r="BH3033" s="25"/>
      <c r="BI3033" s="25"/>
      <c r="BJ3033" s="25"/>
      <c r="BK3033" s="25"/>
    </row>
    <row r="3034" spans="60:63" ht="14.25" x14ac:dyDescent="0.2">
      <c r="BH3034" s="25"/>
      <c r="BI3034" s="25"/>
      <c r="BJ3034" s="25"/>
      <c r="BK3034" s="25"/>
    </row>
    <row r="3035" spans="60:63" ht="14.25" x14ac:dyDescent="0.2">
      <c r="BH3035" s="25"/>
      <c r="BI3035" s="25"/>
      <c r="BJ3035" s="25"/>
      <c r="BK3035" s="25"/>
    </row>
    <row r="3036" spans="60:63" ht="14.25" x14ac:dyDescent="0.2">
      <c r="BH3036" s="25"/>
      <c r="BI3036" s="25"/>
      <c r="BJ3036" s="25"/>
      <c r="BK3036" s="25"/>
    </row>
    <row r="3037" spans="60:63" ht="14.25" x14ac:dyDescent="0.2">
      <c r="BH3037" s="25"/>
      <c r="BI3037" s="25"/>
      <c r="BJ3037" s="25"/>
      <c r="BK3037" s="25"/>
    </row>
    <row r="3038" spans="60:63" ht="14.25" x14ac:dyDescent="0.2">
      <c r="BH3038" s="25"/>
      <c r="BI3038" s="25"/>
      <c r="BJ3038" s="25"/>
      <c r="BK3038" s="25"/>
    </row>
    <row r="3039" spans="60:63" ht="14.25" x14ac:dyDescent="0.2">
      <c r="BH3039" s="25"/>
      <c r="BI3039" s="25"/>
      <c r="BJ3039" s="25"/>
      <c r="BK3039" s="25"/>
    </row>
    <row r="3040" spans="60:63" ht="14.25" x14ac:dyDescent="0.2">
      <c r="BH3040" s="25"/>
      <c r="BI3040" s="25"/>
      <c r="BJ3040" s="25"/>
      <c r="BK3040" s="25"/>
    </row>
    <row r="3041" spans="60:63" ht="14.25" x14ac:dyDescent="0.2">
      <c r="BH3041" s="25"/>
      <c r="BI3041" s="25"/>
      <c r="BJ3041" s="25"/>
      <c r="BK3041" s="25"/>
    </row>
    <row r="3042" spans="60:63" ht="14.25" x14ac:dyDescent="0.2">
      <c r="BH3042" s="25"/>
      <c r="BI3042" s="25"/>
      <c r="BJ3042" s="25"/>
      <c r="BK3042" s="25"/>
    </row>
    <row r="3043" spans="60:63" ht="14.25" x14ac:dyDescent="0.2">
      <c r="BH3043" s="25"/>
      <c r="BI3043" s="25"/>
      <c r="BJ3043" s="25"/>
      <c r="BK3043" s="25"/>
    </row>
    <row r="3044" spans="60:63" ht="14.25" x14ac:dyDescent="0.2">
      <c r="BH3044" s="25"/>
      <c r="BI3044" s="25"/>
      <c r="BJ3044" s="25"/>
      <c r="BK3044" s="25"/>
    </row>
    <row r="3045" spans="60:63" ht="14.25" x14ac:dyDescent="0.2">
      <c r="BH3045" s="25"/>
      <c r="BI3045" s="25"/>
      <c r="BJ3045" s="25"/>
      <c r="BK3045" s="25"/>
    </row>
    <row r="3046" spans="60:63" ht="14.25" x14ac:dyDescent="0.2">
      <c r="BH3046" s="25"/>
      <c r="BI3046" s="25"/>
      <c r="BJ3046" s="25"/>
      <c r="BK3046" s="25"/>
    </row>
    <row r="3047" spans="60:63" ht="14.25" x14ac:dyDescent="0.2">
      <c r="BH3047" s="25"/>
      <c r="BI3047" s="25"/>
      <c r="BJ3047" s="25"/>
      <c r="BK3047" s="25"/>
    </row>
    <row r="3048" spans="60:63" ht="14.25" x14ac:dyDescent="0.2">
      <c r="BH3048" s="25"/>
      <c r="BI3048" s="25"/>
      <c r="BJ3048" s="25"/>
      <c r="BK3048" s="25"/>
    </row>
    <row r="3049" spans="60:63" ht="14.25" x14ac:dyDescent="0.2">
      <c r="BH3049" s="25"/>
      <c r="BI3049" s="25"/>
      <c r="BJ3049" s="25"/>
      <c r="BK3049" s="25"/>
    </row>
    <row r="3050" spans="60:63" ht="14.25" x14ac:dyDescent="0.2">
      <c r="BH3050" s="25"/>
      <c r="BI3050" s="25"/>
      <c r="BJ3050" s="25"/>
      <c r="BK3050" s="25"/>
    </row>
    <row r="3051" spans="60:63" ht="14.25" x14ac:dyDescent="0.2">
      <c r="BH3051" s="25"/>
      <c r="BI3051" s="25"/>
      <c r="BJ3051" s="25"/>
      <c r="BK3051" s="25"/>
    </row>
    <row r="3052" spans="60:63" ht="14.25" x14ac:dyDescent="0.2">
      <c r="BH3052" s="25"/>
      <c r="BI3052" s="25"/>
      <c r="BJ3052" s="25"/>
      <c r="BK3052" s="25"/>
    </row>
    <row r="3053" spans="60:63" ht="14.25" x14ac:dyDescent="0.2">
      <c r="BH3053" s="25"/>
      <c r="BI3053" s="25"/>
      <c r="BJ3053" s="25"/>
      <c r="BK3053" s="25"/>
    </row>
    <row r="3054" spans="60:63" ht="14.25" x14ac:dyDescent="0.2">
      <c r="BH3054" s="25"/>
      <c r="BI3054" s="25"/>
      <c r="BJ3054" s="25"/>
      <c r="BK3054" s="25"/>
    </row>
    <row r="3055" spans="60:63" ht="14.25" x14ac:dyDescent="0.2">
      <c r="BH3055" s="25"/>
      <c r="BI3055" s="25"/>
      <c r="BJ3055" s="25"/>
      <c r="BK3055" s="25"/>
    </row>
    <row r="3056" spans="60:63" ht="14.25" x14ac:dyDescent="0.2">
      <c r="BH3056" s="25"/>
      <c r="BI3056" s="25"/>
      <c r="BJ3056" s="25"/>
      <c r="BK3056" s="25"/>
    </row>
    <row r="3057" spans="60:63" ht="14.25" x14ac:dyDescent="0.2">
      <c r="BH3057" s="25"/>
      <c r="BI3057" s="25"/>
      <c r="BJ3057" s="25"/>
      <c r="BK3057" s="25"/>
    </row>
    <row r="3058" spans="60:63" ht="14.25" x14ac:dyDescent="0.2">
      <c r="BH3058" s="25"/>
      <c r="BI3058" s="25"/>
      <c r="BJ3058" s="25"/>
      <c r="BK3058" s="25"/>
    </row>
    <row r="3059" spans="60:63" ht="14.25" x14ac:dyDescent="0.2">
      <c r="BH3059" s="25"/>
      <c r="BI3059" s="25"/>
      <c r="BJ3059" s="25"/>
      <c r="BK3059" s="25"/>
    </row>
    <row r="3060" spans="60:63" ht="14.25" x14ac:dyDescent="0.2">
      <c r="BH3060" s="25"/>
      <c r="BI3060" s="25"/>
      <c r="BJ3060" s="25"/>
      <c r="BK3060" s="25"/>
    </row>
    <row r="3061" spans="60:63" ht="14.25" x14ac:dyDescent="0.2">
      <c r="BH3061" s="25"/>
      <c r="BI3061" s="25"/>
      <c r="BJ3061" s="25"/>
      <c r="BK3061" s="25"/>
    </row>
    <row r="3062" spans="60:63" ht="14.25" x14ac:dyDescent="0.2">
      <c r="BH3062" s="25"/>
      <c r="BI3062" s="25"/>
      <c r="BJ3062" s="25"/>
      <c r="BK3062" s="25"/>
    </row>
    <row r="3063" spans="60:63" ht="14.25" x14ac:dyDescent="0.2">
      <c r="BH3063" s="25"/>
      <c r="BI3063" s="25"/>
      <c r="BJ3063" s="25"/>
      <c r="BK3063" s="25"/>
    </row>
    <row r="3064" spans="60:63" ht="14.25" x14ac:dyDescent="0.2">
      <c r="BH3064" s="25"/>
      <c r="BI3064" s="25"/>
      <c r="BJ3064" s="25"/>
      <c r="BK3064" s="25"/>
    </row>
    <row r="3065" spans="60:63" ht="14.25" x14ac:dyDescent="0.2">
      <c r="BH3065" s="25"/>
      <c r="BI3065" s="25"/>
      <c r="BJ3065" s="25"/>
      <c r="BK3065" s="25"/>
    </row>
    <row r="3066" spans="60:63" ht="14.25" x14ac:dyDescent="0.2">
      <c r="BH3066" s="25"/>
      <c r="BI3066" s="25"/>
      <c r="BJ3066" s="25"/>
      <c r="BK3066" s="25"/>
    </row>
    <row r="3067" spans="60:63" ht="14.25" x14ac:dyDescent="0.2">
      <c r="BH3067" s="25"/>
      <c r="BI3067" s="25"/>
      <c r="BJ3067" s="25"/>
      <c r="BK3067" s="25"/>
    </row>
    <row r="3068" spans="60:63" ht="14.25" x14ac:dyDescent="0.2">
      <c r="BH3068" s="25"/>
      <c r="BI3068" s="25"/>
      <c r="BJ3068" s="25"/>
      <c r="BK3068" s="25"/>
    </row>
    <row r="3069" spans="60:63" ht="14.25" x14ac:dyDescent="0.2">
      <c r="BH3069" s="25"/>
      <c r="BI3069" s="25"/>
      <c r="BJ3069" s="25"/>
      <c r="BK3069" s="25"/>
    </row>
    <row r="3070" spans="60:63" ht="14.25" x14ac:dyDescent="0.2">
      <c r="BH3070" s="25"/>
      <c r="BI3070" s="25"/>
      <c r="BJ3070" s="25"/>
      <c r="BK3070" s="25"/>
    </row>
    <row r="3071" spans="60:63" ht="14.25" x14ac:dyDescent="0.2">
      <c r="BH3071" s="25"/>
      <c r="BI3071" s="25"/>
      <c r="BJ3071" s="25"/>
      <c r="BK3071" s="25"/>
    </row>
    <row r="3072" spans="60:63" ht="14.25" x14ac:dyDescent="0.2">
      <c r="BH3072" s="25"/>
      <c r="BI3072" s="25"/>
      <c r="BJ3072" s="25"/>
      <c r="BK3072" s="25"/>
    </row>
    <row r="3073" spans="60:63" ht="14.25" x14ac:dyDescent="0.2">
      <c r="BH3073" s="25"/>
      <c r="BI3073" s="25"/>
      <c r="BJ3073" s="25"/>
      <c r="BK3073" s="25"/>
    </row>
    <row r="3074" spans="60:63" ht="14.25" x14ac:dyDescent="0.2">
      <c r="BH3074" s="25"/>
      <c r="BI3074" s="25"/>
      <c r="BJ3074" s="25"/>
      <c r="BK3074" s="25"/>
    </row>
    <row r="3075" spans="60:63" ht="14.25" x14ac:dyDescent="0.2">
      <c r="BH3075" s="25"/>
      <c r="BI3075" s="25"/>
      <c r="BJ3075" s="25"/>
      <c r="BK3075" s="25"/>
    </row>
    <row r="3076" spans="60:63" ht="14.25" x14ac:dyDescent="0.2">
      <c r="BH3076" s="25"/>
      <c r="BI3076" s="25"/>
      <c r="BJ3076" s="25"/>
      <c r="BK3076" s="25"/>
    </row>
    <row r="3077" spans="60:63" ht="14.25" x14ac:dyDescent="0.2">
      <c r="BH3077" s="25"/>
      <c r="BI3077" s="25"/>
      <c r="BJ3077" s="25"/>
      <c r="BK3077" s="25"/>
    </row>
    <row r="3078" spans="60:63" ht="14.25" x14ac:dyDescent="0.2">
      <c r="BH3078" s="25"/>
      <c r="BI3078" s="25"/>
      <c r="BJ3078" s="25"/>
      <c r="BK3078" s="25"/>
    </row>
    <row r="3079" spans="60:63" ht="14.25" x14ac:dyDescent="0.2">
      <c r="BH3079" s="25"/>
      <c r="BI3079" s="25"/>
      <c r="BJ3079" s="25"/>
      <c r="BK3079" s="25"/>
    </row>
    <row r="3080" spans="60:63" ht="14.25" x14ac:dyDescent="0.2">
      <c r="BH3080" s="25"/>
      <c r="BI3080" s="25"/>
      <c r="BJ3080" s="25"/>
      <c r="BK3080" s="25"/>
    </row>
    <row r="3081" spans="60:63" ht="14.25" x14ac:dyDescent="0.2">
      <c r="BH3081" s="25"/>
      <c r="BI3081" s="25"/>
      <c r="BJ3081" s="25"/>
      <c r="BK3081" s="25"/>
    </row>
    <row r="3082" spans="60:63" ht="14.25" x14ac:dyDescent="0.2">
      <c r="BH3082" s="25"/>
      <c r="BI3082" s="25"/>
      <c r="BJ3082" s="25"/>
      <c r="BK3082" s="25"/>
    </row>
    <row r="3083" spans="60:63" ht="14.25" x14ac:dyDescent="0.2">
      <c r="BH3083" s="25"/>
      <c r="BI3083" s="25"/>
      <c r="BJ3083" s="25"/>
      <c r="BK3083" s="25"/>
    </row>
    <row r="3084" spans="60:63" ht="14.25" x14ac:dyDescent="0.2">
      <c r="BH3084" s="25"/>
      <c r="BI3084" s="25"/>
      <c r="BJ3084" s="25"/>
      <c r="BK3084" s="25"/>
    </row>
    <row r="3085" spans="60:63" ht="14.25" x14ac:dyDescent="0.2">
      <c r="BH3085" s="25"/>
      <c r="BI3085" s="25"/>
      <c r="BJ3085" s="25"/>
      <c r="BK3085" s="25"/>
    </row>
    <row r="3086" spans="60:63" ht="14.25" x14ac:dyDescent="0.2">
      <c r="BH3086" s="25"/>
      <c r="BI3086" s="25"/>
      <c r="BJ3086" s="25"/>
      <c r="BK3086" s="25"/>
    </row>
    <row r="3087" spans="60:63" ht="14.25" x14ac:dyDescent="0.2">
      <c r="BH3087" s="25"/>
      <c r="BI3087" s="25"/>
      <c r="BJ3087" s="25"/>
      <c r="BK3087" s="25"/>
    </row>
    <row r="3088" spans="60:63" ht="14.25" x14ac:dyDescent="0.2">
      <c r="BH3088" s="25"/>
      <c r="BI3088" s="25"/>
      <c r="BJ3088" s="25"/>
      <c r="BK3088" s="25"/>
    </row>
    <row r="3089" spans="60:63" ht="14.25" x14ac:dyDescent="0.2">
      <c r="BH3089" s="25"/>
      <c r="BI3089" s="25"/>
      <c r="BJ3089" s="25"/>
      <c r="BK3089" s="25"/>
    </row>
    <row r="3090" spans="60:63" ht="14.25" x14ac:dyDescent="0.2">
      <c r="BH3090" s="25"/>
      <c r="BI3090" s="25"/>
      <c r="BJ3090" s="25"/>
      <c r="BK3090" s="25"/>
    </row>
    <row r="3091" spans="60:63" ht="14.25" x14ac:dyDescent="0.2">
      <c r="BH3091" s="25"/>
      <c r="BI3091" s="25"/>
      <c r="BJ3091" s="25"/>
      <c r="BK3091" s="25"/>
    </row>
    <row r="3092" spans="60:63" ht="14.25" x14ac:dyDescent="0.2">
      <c r="BH3092" s="25"/>
      <c r="BI3092" s="25"/>
      <c r="BJ3092" s="25"/>
      <c r="BK3092" s="25"/>
    </row>
    <row r="3093" spans="60:63" ht="14.25" x14ac:dyDescent="0.2">
      <c r="BH3093" s="25"/>
      <c r="BI3093" s="25"/>
      <c r="BJ3093" s="25"/>
      <c r="BK3093" s="25"/>
    </row>
    <row r="3094" spans="60:63" ht="14.25" x14ac:dyDescent="0.2">
      <c r="BH3094" s="25"/>
      <c r="BI3094" s="25"/>
      <c r="BJ3094" s="25"/>
      <c r="BK3094" s="25"/>
    </row>
    <row r="3095" spans="60:63" ht="14.25" x14ac:dyDescent="0.2">
      <c r="BH3095" s="25"/>
      <c r="BI3095" s="25"/>
      <c r="BJ3095" s="25"/>
      <c r="BK3095" s="25"/>
    </row>
    <row r="3096" spans="60:63" ht="14.25" x14ac:dyDescent="0.2">
      <c r="BH3096" s="25"/>
      <c r="BI3096" s="25"/>
      <c r="BJ3096" s="25"/>
      <c r="BK3096" s="25"/>
    </row>
    <row r="3097" spans="60:63" ht="14.25" x14ac:dyDescent="0.2">
      <c r="BH3097" s="25"/>
      <c r="BI3097" s="25"/>
      <c r="BJ3097" s="25"/>
      <c r="BK3097" s="25"/>
    </row>
    <row r="3098" spans="60:63" ht="14.25" x14ac:dyDescent="0.2">
      <c r="BH3098" s="25"/>
      <c r="BI3098" s="25"/>
      <c r="BJ3098" s="25"/>
      <c r="BK3098" s="25"/>
    </row>
    <row r="3099" spans="60:63" ht="14.25" x14ac:dyDescent="0.2">
      <c r="BH3099" s="25"/>
      <c r="BI3099" s="25"/>
      <c r="BJ3099" s="25"/>
      <c r="BK3099" s="25"/>
    </row>
    <row r="3100" spans="60:63" ht="14.25" x14ac:dyDescent="0.2">
      <c r="BH3100" s="25"/>
      <c r="BI3100" s="25"/>
      <c r="BJ3100" s="25"/>
      <c r="BK3100" s="25"/>
    </row>
    <row r="3101" spans="60:63" ht="14.25" x14ac:dyDescent="0.2">
      <c r="BH3101" s="25"/>
      <c r="BI3101" s="25"/>
      <c r="BJ3101" s="25"/>
      <c r="BK3101" s="25"/>
    </row>
    <row r="3102" spans="60:63" ht="14.25" x14ac:dyDescent="0.2">
      <c r="BH3102" s="25"/>
      <c r="BI3102" s="25"/>
      <c r="BJ3102" s="25"/>
      <c r="BK3102" s="25"/>
    </row>
    <row r="3103" spans="60:63" ht="14.25" x14ac:dyDescent="0.2">
      <c r="BH3103" s="25"/>
      <c r="BI3103" s="25"/>
      <c r="BJ3103" s="25"/>
      <c r="BK3103" s="25"/>
    </row>
    <row r="3104" spans="60:63" ht="14.25" x14ac:dyDescent="0.2">
      <c r="BH3104" s="25"/>
      <c r="BI3104" s="25"/>
      <c r="BJ3104" s="25"/>
      <c r="BK3104" s="25"/>
    </row>
    <row r="3105" spans="60:63" ht="14.25" x14ac:dyDescent="0.2">
      <c r="BH3105" s="25"/>
      <c r="BI3105" s="25"/>
      <c r="BJ3105" s="25"/>
      <c r="BK3105" s="25"/>
    </row>
    <row r="3106" spans="60:63" ht="14.25" x14ac:dyDescent="0.2">
      <c r="BH3106" s="25"/>
      <c r="BI3106" s="25"/>
      <c r="BJ3106" s="25"/>
      <c r="BK3106" s="25"/>
    </row>
    <row r="3107" spans="60:63" ht="14.25" x14ac:dyDescent="0.2">
      <c r="BH3107" s="25"/>
      <c r="BI3107" s="25"/>
      <c r="BJ3107" s="25"/>
      <c r="BK3107" s="25"/>
    </row>
    <row r="3108" spans="60:63" ht="14.25" x14ac:dyDescent="0.2">
      <c r="BH3108" s="25"/>
      <c r="BI3108" s="25"/>
      <c r="BJ3108" s="25"/>
      <c r="BK3108" s="25"/>
    </row>
    <row r="3109" spans="60:63" ht="14.25" x14ac:dyDescent="0.2">
      <c r="BH3109" s="25"/>
      <c r="BI3109" s="25"/>
      <c r="BJ3109" s="25"/>
      <c r="BK3109" s="25"/>
    </row>
    <row r="3110" spans="60:63" ht="14.25" x14ac:dyDescent="0.2">
      <c r="BH3110" s="25"/>
      <c r="BI3110" s="25"/>
      <c r="BJ3110" s="25"/>
      <c r="BK3110" s="25"/>
    </row>
    <row r="3111" spans="60:63" ht="14.25" x14ac:dyDescent="0.2">
      <c r="BH3111" s="25"/>
      <c r="BI3111" s="25"/>
      <c r="BJ3111" s="25"/>
      <c r="BK3111" s="25"/>
    </row>
    <row r="3112" spans="60:63" ht="14.25" x14ac:dyDescent="0.2">
      <c r="BH3112" s="25"/>
      <c r="BI3112" s="25"/>
      <c r="BJ3112" s="25"/>
      <c r="BK3112" s="25"/>
    </row>
    <row r="3113" spans="60:63" ht="14.25" x14ac:dyDescent="0.2">
      <c r="BH3113" s="25"/>
      <c r="BI3113" s="25"/>
      <c r="BJ3113" s="25"/>
      <c r="BK3113" s="25"/>
    </row>
    <row r="3114" spans="60:63" ht="14.25" x14ac:dyDescent="0.2">
      <c r="BH3114" s="25"/>
      <c r="BI3114" s="25"/>
      <c r="BJ3114" s="25"/>
      <c r="BK3114" s="25"/>
    </row>
    <row r="3115" spans="60:63" ht="14.25" x14ac:dyDescent="0.2">
      <c r="BH3115" s="25"/>
      <c r="BI3115" s="25"/>
      <c r="BJ3115" s="25"/>
      <c r="BK3115" s="25"/>
    </row>
    <row r="3116" spans="60:63" ht="14.25" x14ac:dyDescent="0.2">
      <c r="BH3116" s="25"/>
      <c r="BI3116" s="25"/>
      <c r="BJ3116" s="25"/>
      <c r="BK3116" s="25"/>
    </row>
    <row r="3117" spans="60:63" ht="14.25" x14ac:dyDescent="0.2">
      <c r="BH3117" s="25"/>
      <c r="BI3117" s="25"/>
      <c r="BJ3117" s="25"/>
      <c r="BK3117" s="25"/>
    </row>
    <row r="3118" spans="60:63" ht="14.25" x14ac:dyDescent="0.2">
      <c r="BH3118" s="25"/>
      <c r="BI3118" s="25"/>
      <c r="BJ3118" s="25"/>
      <c r="BK3118" s="25"/>
    </row>
    <row r="3119" spans="60:63" ht="14.25" x14ac:dyDescent="0.2">
      <c r="BH3119" s="25"/>
      <c r="BI3119" s="25"/>
      <c r="BJ3119" s="25"/>
      <c r="BK3119" s="25"/>
    </row>
    <row r="3120" spans="60:63" ht="14.25" x14ac:dyDescent="0.2">
      <c r="BH3120" s="25"/>
      <c r="BI3120" s="25"/>
      <c r="BJ3120" s="25"/>
      <c r="BK3120" s="25"/>
    </row>
    <row r="3121" spans="60:63" ht="14.25" x14ac:dyDescent="0.2">
      <c r="BH3121" s="25"/>
      <c r="BI3121" s="25"/>
      <c r="BJ3121" s="25"/>
      <c r="BK3121" s="25"/>
    </row>
    <row r="3122" spans="60:63" ht="14.25" x14ac:dyDescent="0.2">
      <c r="BH3122" s="25"/>
      <c r="BI3122" s="25"/>
      <c r="BJ3122" s="25"/>
      <c r="BK3122" s="25"/>
    </row>
    <row r="3123" spans="60:63" ht="14.25" x14ac:dyDescent="0.2">
      <c r="BH3123" s="25"/>
      <c r="BI3123" s="25"/>
      <c r="BJ3123" s="25"/>
      <c r="BK3123" s="25"/>
    </row>
    <row r="3124" spans="60:63" ht="14.25" x14ac:dyDescent="0.2">
      <c r="BH3124" s="25"/>
      <c r="BI3124" s="25"/>
      <c r="BJ3124" s="25"/>
      <c r="BK3124" s="25"/>
    </row>
    <row r="3125" spans="60:63" ht="14.25" x14ac:dyDescent="0.2">
      <c r="BH3125" s="25"/>
      <c r="BI3125" s="25"/>
      <c r="BJ3125" s="25"/>
      <c r="BK3125" s="25"/>
    </row>
    <row r="3126" spans="60:63" ht="14.25" x14ac:dyDescent="0.2">
      <c r="BH3126" s="25"/>
      <c r="BI3126" s="25"/>
      <c r="BJ3126" s="25"/>
      <c r="BK3126" s="25"/>
    </row>
    <row r="3127" spans="60:63" ht="14.25" x14ac:dyDescent="0.2">
      <c r="BH3127" s="25"/>
      <c r="BI3127" s="25"/>
      <c r="BJ3127" s="25"/>
      <c r="BK3127" s="25"/>
    </row>
    <row r="3128" spans="60:63" ht="14.25" x14ac:dyDescent="0.2">
      <c r="BH3128" s="25"/>
      <c r="BI3128" s="25"/>
      <c r="BJ3128" s="25"/>
      <c r="BK3128" s="25"/>
    </row>
    <row r="3129" spans="60:63" ht="14.25" x14ac:dyDescent="0.2">
      <c r="BH3129" s="25"/>
      <c r="BI3129" s="25"/>
      <c r="BJ3129" s="25"/>
      <c r="BK3129" s="25"/>
    </row>
    <row r="3130" spans="60:63" ht="14.25" x14ac:dyDescent="0.2">
      <c r="BH3130" s="25"/>
      <c r="BI3130" s="25"/>
      <c r="BJ3130" s="25"/>
      <c r="BK3130" s="25"/>
    </row>
    <row r="3131" spans="60:63" ht="14.25" x14ac:dyDescent="0.2">
      <c r="BH3131" s="25"/>
      <c r="BI3131" s="25"/>
      <c r="BJ3131" s="25"/>
      <c r="BK3131" s="25"/>
    </row>
    <row r="3132" spans="60:63" ht="14.25" x14ac:dyDescent="0.2">
      <c r="BH3132" s="25"/>
      <c r="BI3132" s="25"/>
      <c r="BJ3132" s="25"/>
      <c r="BK3132" s="25"/>
    </row>
    <row r="3133" spans="60:63" ht="14.25" x14ac:dyDescent="0.2">
      <c r="BH3133" s="25"/>
      <c r="BI3133" s="25"/>
      <c r="BJ3133" s="25"/>
      <c r="BK3133" s="25"/>
    </row>
    <row r="3134" spans="60:63" ht="14.25" x14ac:dyDescent="0.2">
      <c r="BH3134" s="25"/>
      <c r="BI3134" s="25"/>
      <c r="BJ3134" s="25"/>
      <c r="BK3134" s="25"/>
    </row>
    <row r="3135" spans="60:63" ht="14.25" x14ac:dyDescent="0.2">
      <c r="BH3135" s="25"/>
      <c r="BI3135" s="25"/>
      <c r="BJ3135" s="25"/>
      <c r="BK3135" s="25"/>
    </row>
    <row r="3136" spans="60:63" ht="14.25" x14ac:dyDescent="0.2">
      <c r="BH3136" s="25"/>
      <c r="BI3136" s="25"/>
      <c r="BJ3136" s="25"/>
      <c r="BK3136" s="25"/>
    </row>
    <row r="3137" spans="60:63" ht="14.25" x14ac:dyDescent="0.2">
      <c r="BH3137" s="25"/>
      <c r="BI3137" s="25"/>
      <c r="BJ3137" s="25"/>
      <c r="BK3137" s="25"/>
    </row>
    <row r="3138" spans="60:63" ht="14.25" x14ac:dyDescent="0.2">
      <c r="BH3138" s="25"/>
      <c r="BI3138" s="25"/>
      <c r="BJ3138" s="25"/>
      <c r="BK3138" s="25"/>
    </row>
    <row r="3139" spans="60:63" ht="14.25" x14ac:dyDescent="0.2">
      <c r="BH3139" s="25"/>
      <c r="BI3139" s="25"/>
      <c r="BJ3139" s="25"/>
      <c r="BK3139" s="25"/>
    </row>
    <row r="3140" spans="60:63" ht="14.25" x14ac:dyDescent="0.2">
      <c r="BH3140" s="25"/>
      <c r="BI3140" s="25"/>
      <c r="BJ3140" s="25"/>
      <c r="BK3140" s="25"/>
    </row>
    <row r="3141" spans="60:63" ht="14.25" x14ac:dyDescent="0.2">
      <c r="BH3141" s="25"/>
      <c r="BI3141" s="25"/>
      <c r="BJ3141" s="25"/>
      <c r="BK3141" s="25"/>
    </row>
    <row r="3142" spans="60:63" ht="14.25" x14ac:dyDescent="0.2">
      <c r="BH3142" s="25"/>
      <c r="BI3142" s="25"/>
      <c r="BJ3142" s="25"/>
      <c r="BK3142" s="25"/>
    </row>
    <row r="3143" spans="60:63" ht="14.25" x14ac:dyDescent="0.2">
      <c r="BH3143" s="25"/>
      <c r="BI3143" s="25"/>
      <c r="BJ3143" s="25"/>
      <c r="BK3143" s="25"/>
    </row>
    <row r="3144" spans="60:63" ht="14.25" x14ac:dyDescent="0.2">
      <c r="BH3144" s="25"/>
      <c r="BI3144" s="25"/>
      <c r="BJ3144" s="25"/>
      <c r="BK3144" s="25"/>
    </row>
    <row r="3145" spans="60:63" ht="14.25" x14ac:dyDescent="0.2">
      <c r="BH3145" s="25"/>
      <c r="BI3145" s="25"/>
      <c r="BJ3145" s="25"/>
      <c r="BK3145" s="25"/>
    </row>
    <row r="3146" spans="60:63" ht="14.25" x14ac:dyDescent="0.2">
      <c r="BH3146" s="25"/>
      <c r="BI3146" s="25"/>
      <c r="BJ3146" s="25"/>
      <c r="BK3146" s="25"/>
    </row>
    <row r="3147" spans="60:63" ht="14.25" x14ac:dyDescent="0.2">
      <c r="BH3147" s="25"/>
      <c r="BI3147" s="25"/>
      <c r="BJ3147" s="25"/>
      <c r="BK3147" s="25"/>
    </row>
    <row r="3148" spans="60:63" ht="14.25" x14ac:dyDescent="0.2">
      <c r="BH3148" s="25"/>
      <c r="BI3148" s="25"/>
      <c r="BJ3148" s="25"/>
      <c r="BK3148" s="25"/>
    </row>
    <row r="3149" spans="60:63" ht="14.25" x14ac:dyDescent="0.2">
      <c r="BH3149" s="25"/>
      <c r="BI3149" s="25"/>
      <c r="BJ3149" s="25"/>
      <c r="BK3149" s="25"/>
    </row>
    <row r="3150" spans="60:63" ht="14.25" x14ac:dyDescent="0.2">
      <c r="BH3150" s="25"/>
      <c r="BI3150" s="25"/>
      <c r="BJ3150" s="25"/>
      <c r="BK3150" s="25"/>
    </row>
    <row r="3151" spans="60:63" ht="14.25" x14ac:dyDescent="0.2">
      <c r="BH3151" s="25"/>
      <c r="BI3151" s="25"/>
      <c r="BJ3151" s="25"/>
      <c r="BK3151" s="25"/>
    </row>
    <row r="3152" spans="60:63" ht="14.25" x14ac:dyDescent="0.2">
      <c r="BH3152" s="25"/>
      <c r="BI3152" s="25"/>
      <c r="BJ3152" s="25"/>
      <c r="BK3152" s="25"/>
    </row>
    <row r="3153" spans="60:63" ht="14.25" x14ac:dyDescent="0.2">
      <c r="BH3153" s="25"/>
      <c r="BI3153" s="25"/>
      <c r="BJ3153" s="25"/>
      <c r="BK3153" s="25"/>
    </row>
    <row r="3154" spans="60:63" ht="14.25" x14ac:dyDescent="0.2">
      <c r="BH3154" s="25"/>
      <c r="BI3154" s="25"/>
      <c r="BJ3154" s="25"/>
      <c r="BK3154" s="25"/>
    </row>
    <row r="3155" spans="60:63" ht="14.25" x14ac:dyDescent="0.2">
      <c r="BH3155" s="25"/>
      <c r="BI3155" s="25"/>
      <c r="BJ3155" s="25"/>
      <c r="BK3155" s="25"/>
    </row>
    <row r="3156" spans="60:63" ht="14.25" x14ac:dyDescent="0.2">
      <c r="BH3156" s="25"/>
      <c r="BI3156" s="25"/>
      <c r="BJ3156" s="25"/>
      <c r="BK3156" s="25"/>
    </row>
    <row r="3157" spans="60:63" ht="14.25" x14ac:dyDescent="0.2">
      <c r="BH3157" s="25"/>
      <c r="BI3157" s="25"/>
      <c r="BJ3157" s="25"/>
      <c r="BK3157" s="25"/>
    </row>
    <row r="3158" spans="60:63" ht="14.25" x14ac:dyDescent="0.2">
      <c r="BH3158" s="25"/>
      <c r="BI3158" s="25"/>
      <c r="BJ3158" s="25"/>
      <c r="BK3158" s="25"/>
    </row>
    <row r="3159" spans="60:63" ht="14.25" x14ac:dyDescent="0.2">
      <c r="BH3159" s="25"/>
      <c r="BI3159" s="25"/>
      <c r="BJ3159" s="25"/>
      <c r="BK3159" s="25"/>
    </row>
    <row r="3160" spans="60:63" ht="14.25" x14ac:dyDescent="0.2">
      <c r="BH3160" s="25"/>
      <c r="BI3160" s="25"/>
      <c r="BJ3160" s="25"/>
      <c r="BK3160" s="25"/>
    </row>
    <row r="3161" spans="60:63" ht="14.25" x14ac:dyDescent="0.2">
      <c r="BH3161" s="25"/>
      <c r="BI3161" s="25"/>
      <c r="BJ3161" s="25"/>
      <c r="BK3161" s="25"/>
    </row>
    <row r="3162" spans="60:63" ht="14.25" x14ac:dyDescent="0.2">
      <c r="BH3162" s="25"/>
      <c r="BI3162" s="25"/>
      <c r="BJ3162" s="25"/>
      <c r="BK3162" s="25"/>
    </row>
    <row r="3163" spans="60:63" ht="14.25" x14ac:dyDescent="0.2">
      <c r="BH3163" s="25"/>
      <c r="BI3163" s="25"/>
      <c r="BJ3163" s="25"/>
      <c r="BK3163" s="25"/>
    </row>
    <row r="3164" spans="60:63" ht="14.25" x14ac:dyDescent="0.2">
      <c r="BH3164" s="25"/>
      <c r="BI3164" s="25"/>
      <c r="BJ3164" s="25"/>
      <c r="BK3164" s="25"/>
    </row>
    <row r="3165" spans="60:63" ht="14.25" x14ac:dyDescent="0.2">
      <c r="BH3165" s="25"/>
      <c r="BI3165" s="25"/>
      <c r="BJ3165" s="25"/>
      <c r="BK3165" s="25"/>
    </row>
    <row r="3166" spans="60:63" ht="14.25" x14ac:dyDescent="0.2">
      <c r="BH3166" s="25"/>
      <c r="BI3166" s="25"/>
      <c r="BJ3166" s="25"/>
      <c r="BK3166" s="25"/>
    </row>
    <row r="3167" spans="60:63" ht="14.25" x14ac:dyDescent="0.2">
      <c r="BH3167" s="25"/>
      <c r="BI3167" s="25"/>
      <c r="BJ3167" s="25"/>
      <c r="BK3167" s="25"/>
    </row>
    <row r="3168" spans="60:63" ht="14.25" x14ac:dyDescent="0.2">
      <c r="BH3168" s="25"/>
      <c r="BI3168" s="25"/>
      <c r="BJ3168" s="25"/>
      <c r="BK3168" s="25"/>
    </row>
    <row r="3169" spans="60:63" ht="14.25" x14ac:dyDescent="0.2">
      <c r="BH3169" s="25"/>
      <c r="BI3169" s="25"/>
      <c r="BJ3169" s="25"/>
      <c r="BK3169" s="25"/>
    </row>
    <row r="3170" spans="60:63" ht="14.25" x14ac:dyDescent="0.2">
      <c r="BH3170" s="25"/>
      <c r="BI3170" s="25"/>
      <c r="BJ3170" s="25"/>
      <c r="BK3170" s="25"/>
    </row>
    <row r="3171" spans="60:63" ht="14.25" x14ac:dyDescent="0.2">
      <c r="BH3171" s="25"/>
      <c r="BI3171" s="25"/>
      <c r="BJ3171" s="25"/>
      <c r="BK3171" s="25"/>
    </row>
    <row r="3172" spans="60:63" ht="14.25" x14ac:dyDescent="0.2">
      <c r="BH3172" s="25"/>
      <c r="BI3172" s="25"/>
      <c r="BJ3172" s="25"/>
      <c r="BK3172" s="25"/>
    </row>
    <row r="3173" spans="60:63" ht="14.25" x14ac:dyDescent="0.2">
      <c r="BH3173" s="25"/>
      <c r="BI3173" s="25"/>
      <c r="BJ3173" s="25"/>
      <c r="BK3173" s="25"/>
    </row>
    <row r="3174" spans="60:63" ht="14.25" x14ac:dyDescent="0.2">
      <c r="BH3174" s="25"/>
      <c r="BI3174" s="25"/>
      <c r="BJ3174" s="25"/>
      <c r="BK3174" s="25"/>
    </row>
    <row r="3175" spans="60:63" ht="14.25" x14ac:dyDescent="0.2">
      <c r="BH3175" s="25"/>
      <c r="BI3175" s="25"/>
      <c r="BJ3175" s="25"/>
      <c r="BK3175" s="25"/>
    </row>
    <row r="3176" spans="60:63" ht="14.25" x14ac:dyDescent="0.2">
      <c r="BH3176" s="25"/>
      <c r="BI3176" s="25"/>
      <c r="BJ3176" s="25"/>
      <c r="BK3176" s="25"/>
    </row>
    <row r="3177" spans="60:63" ht="14.25" x14ac:dyDescent="0.2">
      <c r="BH3177" s="25"/>
      <c r="BI3177" s="25"/>
      <c r="BJ3177" s="25"/>
      <c r="BK3177" s="25"/>
    </row>
    <row r="3178" spans="60:63" ht="14.25" x14ac:dyDescent="0.2">
      <c r="BH3178" s="25"/>
      <c r="BI3178" s="25"/>
      <c r="BJ3178" s="25"/>
      <c r="BK3178" s="25"/>
    </row>
    <row r="3179" spans="60:63" ht="14.25" x14ac:dyDescent="0.2">
      <c r="BH3179" s="25"/>
      <c r="BI3179" s="25"/>
      <c r="BJ3179" s="25"/>
      <c r="BK3179" s="25"/>
    </row>
    <row r="3180" spans="60:63" ht="14.25" x14ac:dyDescent="0.2">
      <c r="BH3180" s="25"/>
      <c r="BI3180" s="25"/>
      <c r="BJ3180" s="25"/>
      <c r="BK3180" s="25"/>
    </row>
    <row r="3181" spans="60:63" ht="14.25" x14ac:dyDescent="0.2">
      <c r="BH3181" s="25"/>
      <c r="BI3181" s="25"/>
      <c r="BJ3181" s="25"/>
      <c r="BK3181" s="25"/>
    </row>
    <row r="3182" spans="60:63" ht="14.25" x14ac:dyDescent="0.2">
      <c r="BH3182" s="25"/>
      <c r="BI3182" s="25"/>
      <c r="BJ3182" s="25"/>
      <c r="BK3182" s="25"/>
    </row>
    <row r="3183" spans="60:63" ht="14.25" x14ac:dyDescent="0.2">
      <c r="BH3183" s="25"/>
      <c r="BI3183" s="25"/>
      <c r="BJ3183" s="25"/>
      <c r="BK3183" s="25"/>
    </row>
    <row r="3184" spans="60:63" ht="14.25" x14ac:dyDescent="0.2">
      <c r="BH3184" s="25"/>
      <c r="BI3184" s="25"/>
      <c r="BJ3184" s="25"/>
      <c r="BK3184" s="25"/>
    </row>
    <row r="3185" spans="60:63" ht="14.25" x14ac:dyDescent="0.2">
      <c r="BH3185" s="25"/>
      <c r="BI3185" s="25"/>
      <c r="BJ3185" s="25"/>
      <c r="BK3185" s="25"/>
    </row>
    <row r="3186" spans="60:63" ht="14.25" x14ac:dyDescent="0.2">
      <c r="BH3186" s="25"/>
      <c r="BI3186" s="25"/>
      <c r="BJ3186" s="25"/>
      <c r="BK3186" s="25"/>
    </row>
    <row r="3187" spans="60:63" ht="14.25" x14ac:dyDescent="0.2">
      <c r="BH3187" s="25"/>
      <c r="BI3187" s="25"/>
      <c r="BJ3187" s="25"/>
      <c r="BK3187" s="25"/>
    </row>
    <row r="3188" spans="60:63" ht="14.25" x14ac:dyDescent="0.2">
      <c r="BH3188" s="25"/>
      <c r="BI3188" s="25"/>
      <c r="BJ3188" s="25"/>
      <c r="BK3188" s="25"/>
    </row>
    <row r="3189" spans="60:63" ht="14.25" x14ac:dyDescent="0.2">
      <c r="BH3189" s="25"/>
      <c r="BI3189" s="25"/>
      <c r="BJ3189" s="25"/>
      <c r="BK3189" s="25"/>
    </row>
    <row r="3190" spans="60:63" ht="14.25" x14ac:dyDescent="0.2">
      <c r="BH3190" s="25"/>
      <c r="BI3190" s="25"/>
      <c r="BJ3190" s="25"/>
      <c r="BK3190" s="25"/>
    </row>
    <row r="3191" spans="60:63" ht="14.25" x14ac:dyDescent="0.2">
      <c r="BH3191" s="25"/>
      <c r="BI3191" s="25"/>
      <c r="BJ3191" s="25"/>
      <c r="BK3191" s="25"/>
    </row>
    <row r="3192" spans="60:63" ht="14.25" x14ac:dyDescent="0.2">
      <c r="BH3192" s="25"/>
      <c r="BI3192" s="25"/>
      <c r="BJ3192" s="25"/>
      <c r="BK3192" s="25"/>
    </row>
    <row r="3193" spans="60:63" ht="14.25" x14ac:dyDescent="0.2">
      <c r="BH3193" s="25"/>
      <c r="BI3193" s="25"/>
      <c r="BJ3193" s="25"/>
      <c r="BK3193" s="25"/>
    </row>
    <row r="3194" spans="60:63" ht="14.25" x14ac:dyDescent="0.2">
      <c r="BH3194" s="25"/>
      <c r="BI3194" s="25"/>
      <c r="BJ3194" s="25"/>
      <c r="BK3194" s="25"/>
    </row>
    <row r="3195" spans="60:63" ht="14.25" x14ac:dyDescent="0.2">
      <c r="BH3195" s="25"/>
      <c r="BI3195" s="25"/>
      <c r="BJ3195" s="25"/>
      <c r="BK3195" s="25"/>
    </row>
    <row r="3196" spans="60:63" ht="14.25" x14ac:dyDescent="0.2">
      <c r="BH3196" s="25"/>
      <c r="BI3196" s="25"/>
      <c r="BJ3196" s="25"/>
      <c r="BK3196" s="25"/>
    </row>
    <row r="3197" spans="60:63" ht="14.25" x14ac:dyDescent="0.2">
      <c r="BH3197" s="25"/>
      <c r="BI3197" s="25"/>
      <c r="BJ3197" s="25"/>
      <c r="BK3197" s="25"/>
    </row>
    <row r="3198" spans="60:63" ht="14.25" x14ac:dyDescent="0.2">
      <c r="BH3198" s="25"/>
      <c r="BI3198" s="25"/>
      <c r="BJ3198" s="25"/>
      <c r="BK3198" s="25"/>
    </row>
    <row r="3199" spans="60:63" ht="14.25" x14ac:dyDescent="0.2">
      <c r="BH3199" s="25"/>
      <c r="BI3199" s="25"/>
      <c r="BJ3199" s="25"/>
      <c r="BK3199" s="25"/>
    </row>
    <row r="3200" spans="60:63" ht="14.25" x14ac:dyDescent="0.2">
      <c r="BH3200" s="25"/>
      <c r="BI3200" s="25"/>
      <c r="BJ3200" s="25"/>
      <c r="BK3200" s="25"/>
    </row>
    <row r="3201" spans="60:63" ht="14.25" x14ac:dyDescent="0.2">
      <c r="BH3201" s="25"/>
      <c r="BI3201" s="25"/>
      <c r="BJ3201" s="25"/>
      <c r="BK3201" s="25"/>
    </row>
    <row r="3202" spans="60:63" ht="14.25" x14ac:dyDescent="0.2">
      <c r="BH3202" s="25"/>
      <c r="BI3202" s="25"/>
      <c r="BJ3202" s="25"/>
      <c r="BK3202" s="25"/>
    </row>
    <row r="3203" spans="60:63" ht="14.25" x14ac:dyDescent="0.2">
      <c r="BH3203" s="25"/>
      <c r="BI3203" s="25"/>
      <c r="BJ3203" s="25"/>
      <c r="BK3203" s="25"/>
    </row>
    <row r="3204" spans="60:63" ht="14.25" x14ac:dyDescent="0.2">
      <c r="BH3204" s="25"/>
      <c r="BI3204" s="25"/>
      <c r="BJ3204" s="25"/>
      <c r="BK3204" s="25"/>
    </row>
    <row r="3205" spans="60:63" ht="14.25" x14ac:dyDescent="0.2">
      <c r="BH3205" s="25"/>
      <c r="BI3205" s="25"/>
      <c r="BJ3205" s="25"/>
      <c r="BK3205" s="25"/>
    </row>
    <row r="3206" spans="60:63" ht="14.25" x14ac:dyDescent="0.2">
      <c r="BH3206" s="25"/>
      <c r="BI3206" s="25"/>
      <c r="BJ3206" s="25"/>
      <c r="BK3206" s="25"/>
    </row>
    <row r="3207" spans="60:63" ht="14.25" x14ac:dyDescent="0.2">
      <c r="BH3207" s="25"/>
      <c r="BI3207" s="25"/>
      <c r="BJ3207" s="25"/>
      <c r="BK3207" s="25"/>
    </row>
    <row r="3208" spans="60:63" ht="14.25" x14ac:dyDescent="0.2">
      <c r="BH3208" s="25"/>
      <c r="BI3208" s="25"/>
      <c r="BJ3208" s="25"/>
      <c r="BK3208" s="25"/>
    </row>
    <row r="3209" spans="60:63" ht="14.25" x14ac:dyDescent="0.2">
      <c r="BH3209" s="25"/>
      <c r="BI3209" s="25"/>
      <c r="BJ3209" s="25"/>
      <c r="BK3209" s="25"/>
    </row>
    <row r="3210" spans="60:63" ht="14.25" x14ac:dyDescent="0.2">
      <c r="BH3210" s="25"/>
      <c r="BI3210" s="25"/>
      <c r="BJ3210" s="25"/>
      <c r="BK3210" s="25"/>
    </row>
    <row r="3211" spans="60:63" ht="14.25" x14ac:dyDescent="0.2">
      <c r="BH3211" s="25"/>
      <c r="BI3211" s="25"/>
      <c r="BJ3211" s="25"/>
      <c r="BK3211" s="25"/>
    </row>
    <row r="3212" spans="60:63" ht="14.25" x14ac:dyDescent="0.2">
      <c r="BH3212" s="25"/>
      <c r="BI3212" s="25"/>
      <c r="BJ3212" s="25"/>
      <c r="BK3212" s="25"/>
    </row>
    <row r="3213" spans="60:63" ht="14.25" x14ac:dyDescent="0.2">
      <c r="BH3213" s="25"/>
      <c r="BI3213" s="25"/>
      <c r="BJ3213" s="25"/>
      <c r="BK3213" s="25"/>
    </row>
    <row r="3214" spans="60:63" ht="14.25" x14ac:dyDescent="0.2">
      <c r="BH3214" s="25"/>
      <c r="BI3214" s="25"/>
      <c r="BJ3214" s="25"/>
      <c r="BK3214" s="25"/>
    </row>
    <row r="3215" spans="60:63" ht="14.25" x14ac:dyDescent="0.2">
      <c r="BH3215" s="25"/>
      <c r="BI3215" s="25"/>
      <c r="BJ3215" s="25"/>
      <c r="BK3215" s="25"/>
    </row>
    <row r="3216" spans="60:63" ht="14.25" x14ac:dyDescent="0.2">
      <c r="BH3216" s="25"/>
      <c r="BI3216" s="25"/>
      <c r="BJ3216" s="25"/>
      <c r="BK3216" s="25"/>
    </row>
    <row r="3217" spans="60:63" ht="14.25" x14ac:dyDescent="0.2">
      <c r="BH3217" s="25"/>
      <c r="BI3217" s="25"/>
      <c r="BJ3217" s="25"/>
      <c r="BK3217" s="25"/>
    </row>
    <row r="3218" spans="60:63" ht="14.25" x14ac:dyDescent="0.2">
      <c r="BH3218" s="25"/>
      <c r="BI3218" s="25"/>
      <c r="BJ3218" s="25"/>
      <c r="BK3218" s="25"/>
    </row>
    <row r="3219" spans="60:63" ht="14.25" x14ac:dyDescent="0.2">
      <c r="BH3219" s="25"/>
      <c r="BI3219" s="25"/>
      <c r="BJ3219" s="25"/>
      <c r="BK3219" s="25"/>
    </row>
    <row r="3220" spans="60:63" ht="14.25" x14ac:dyDescent="0.2">
      <c r="BH3220" s="25"/>
      <c r="BI3220" s="25"/>
      <c r="BJ3220" s="25"/>
      <c r="BK3220" s="25"/>
    </row>
    <row r="3221" spans="60:63" ht="14.25" x14ac:dyDescent="0.2">
      <c r="BH3221" s="25"/>
      <c r="BI3221" s="25"/>
      <c r="BJ3221" s="25"/>
      <c r="BK3221" s="25"/>
    </row>
    <row r="3222" spans="60:63" ht="14.25" x14ac:dyDescent="0.2">
      <c r="BH3222" s="25"/>
      <c r="BI3222" s="25"/>
      <c r="BJ3222" s="25"/>
      <c r="BK3222" s="25"/>
    </row>
    <row r="3223" spans="60:63" ht="14.25" x14ac:dyDescent="0.2">
      <c r="BH3223" s="25"/>
      <c r="BI3223" s="25"/>
      <c r="BJ3223" s="25"/>
      <c r="BK3223" s="25"/>
    </row>
    <row r="3224" spans="60:63" ht="14.25" x14ac:dyDescent="0.2">
      <c r="BH3224" s="25"/>
      <c r="BI3224" s="25"/>
      <c r="BJ3224" s="25"/>
      <c r="BK3224" s="25"/>
    </row>
    <row r="3225" spans="60:63" ht="14.25" x14ac:dyDescent="0.2">
      <c r="BH3225" s="25"/>
      <c r="BI3225" s="25"/>
      <c r="BJ3225" s="25"/>
      <c r="BK3225" s="25"/>
    </row>
    <row r="3226" spans="60:63" ht="14.25" x14ac:dyDescent="0.2">
      <c r="BH3226" s="25"/>
      <c r="BI3226" s="25"/>
      <c r="BJ3226" s="25"/>
      <c r="BK3226" s="25"/>
    </row>
    <row r="3227" spans="60:63" ht="14.25" x14ac:dyDescent="0.2">
      <c r="BH3227" s="25"/>
      <c r="BI3227" s="25"/>
      <c r="BJ3227" s="25"/>
      <c r="BK3227" s="25"/>
    </row>
    <row r="3228" spans="60:63" ht="14.25" x14ac:dyDescent="0.2">
      <c r="BH3228" s="25"/>
      <c r="BI3228" s="25"/>
      <c r="BJ3228" s="25"/>
      <c r="BK3228" s="25"/>
    </row>
    <row r="3229" spans="60:63" ht="14.25" x14ac:dyDescent="0.2">
      <c r="BH3229" s="25"/>
      <c r="BI3229" s="25"/>
      <c r="BJ3229" s="25"/>
      <c r="BK3229" s="25"/>
    </row>
    <row r="3230" spans="60:63" ht="14.25" x14ac:dyDescent="0.2">
      <c r="BH3230" s="25"/>
      <c r="BI3230" s="25"/>
      <c r="BJ3230" s="25"/>
      <c r="BK3230" s="25"/>
    </row>
    <row r="3231" spans="60:63" ht="14.25" x14ac:dyDescent="0.2">
      <c r="BH3231" s="25"/>
      <c r="BI3231" s="25"/>
      <c r="BJ3231" s="25"/>
      <c r="BK3231" s="25"/>
    </row>
    <row r="3232" spans="60:63" ht="14.25" x14ac:dyDescent="0.2">
      <c r="BH3232" s="25"/>
      <c r="BI3232" s="25"/>
      <c r="BJ3232" s="25"/>
      <c r="BK3232" s="25"/>
    </row>
    <row r="3233" spans="60:63" ht="14.25" x14ac:dyDescent="0.2">
      <c r="BH3233" s="25"/>
      <c r="BI3233" s="25"/>
      <c r="BJ3233" s="25"/>
      <c r="BK3233" s="25"/>
    </row>
    <row r="3234" spans="60:63" ht="14.25" x14ac:dyDescent="0.2">
      <c r="BH3234" s="25"/>
      <c r="BI3234" s="25"/>
      <c r="BJ3234" s="25"/>
      <c r="BK3234" s="25"/>
    </row>
    <row r="3235" spans="60:63" ht="14.25" x14ac:dyDescent="0.2">
      <c r="BH3235" s="25"/>
      <c r="BI3235" s="25"/>
      <c r="BJ3235" s="25"/>
      <c r="BK3235" s="25"/>
    </row>
    <row r="3236" spans="60:63" ht="14.25" x14ac:dyDescent="0.2">
      <c r="BH3236" s="25"/>
      <c r="BI3236" s="25"/>
      <c r="BJ3236" s="25"/>
      <c r="BK3236" s="25"/>
    </row>
    <row r="3237" spans="60:63" ht="14.25" x14ac:dyDescent="0.2">
      <c r="BH3237" s="25"/>
      <c r="BI3237" s="25"/>
      <c r="BJ3237" s="25"/>
      <c r="BK3237" s="25"/>
    </row>
    <row r="3238" spans="60:63" ht="14.25" x14ac:dyDescent="0.2">
      <c r="BH3238" s="25"/>
      <c r="BI3238" s="25"/>
      <c r="BJ3238" s="25"/>
      <c r="BK3238" s="25"/>
    </row>
    <row r="3239" spans="60:63" ht="14.25" x14ac:dyDescent="0.2">
      <c r="BH3239" s="25"/>
      <c r="BI3239" s="25"/>
      <c r="BJ3239" s="25"/>
      <c r="BK3239" s="25"/>
    </row>
    <row r="3240" spans="60:63" ht="14.25" x14ac:dyDescent="0.2">
      <c r="BH3240" s="25"/>
      <c r="BI3240" s="25"/>
      <c r="BJ3240" s="25"/>
      <c r="BK3240" s="25"/>
    </row>
    <row r="3241" spans="60:63" ht="14.25" x14ac:dyDescent="0.2">
      <c r="BH3241" s="25"/>
      <c r="BI3241" s="25"/>
      <c r="BJ3241" s="25"/>
      <c r="BK3241" s="25"/>
    </row>
    <row r="3242" spans="60:63" ht="14.25" x14ac:dyDescent="0.2">
      <c r="BH3242" s="25"/>
      <c r="BI3242" s="25"/>
      <c r="BJ3242" s="25"/>
      <c r="BK3242" s="25"/>
    </row>
    <row r="3243" spans="60:63" ht="14.25" x14ac:dyDescent="0.2">
      <c r="BH3243" s="25"/>
      <c r="BI3243" s="25"/>
      <c r="BJ3243" s="25"/>
      <c r="BK3243" s="25"/>
    </row>
    <row r="3244" spans="60:63" ht="14.25" x14ac:dyDescent="0.2">
      <c r="BH3244" s="25"/>
      <c r="BI3244" s="25"/>
      <c r="BJ3244" s="25"/>
      <c r="BK3244" s="25"/>
    </row>
    <row r="3245" spans="60:63" ht="14.25" x14ac:dyDescent="0.2">
      <c r="BH3245" s="25"/>
      <c r="BI3245" s="25"/>
      <c r="BJ3245" s="25"/>
      <c r="BK3245" s="25"/>
    </row>
    <row r="3246" spans="60:63" ht="14.25" x14ac:dyDescent="0.2">
      <c r="BH3246" s="25"/>
      <c r="BI3246" s="25"/>
      <c r="BJ3246" s="25"/>
      <c r="BK3246" s="25"/>
    </row>
    <row r="3247" spans="60:63" ht="14.25" x14ac:dyDescent="0.2">
      <c r="BH3247" s="25"/>
      <c r="BI3247" s="25"/>
      <c r="BJ3247" s="25"/>
      <c r="BK3247" s="25"/>
    </row>
    <row r="3248" spans="60:63" ht="14.25" x14ac:dyDescent="0.2">
      <c r="BH3248" s="25"/>
      <c r="BI3248" s="25"/>
      <c r="BJ3248" s="25"/>
      <c r="BK3248" s="25"/>
    </row>
    <row r="3249" spans="60:63" ht="14.25" x14ac:dyDescent="0.2">
      <c r="BH3249" s="25"/>
      <c r="BI3249" s="25"/>
      <c r="BJ3249" s="25"/>
      <c r="BK3249" s="25"/>
    </row>
    <row r="3250" spans="60:63" ht="14.25" x14ac:dyDescent="0.2">
      <c r="BH3250" s="25"/>
      <c r="BI3250" s="25"/>
      <c r="BJ3250" s="25"/>
      <c r="BK3250" s="25"/>
    </row>
    <row r="3251" spans="60:63" ht="14.25" x14ac:dyDescent="0.2">
      <c r="BH3251" s="25"/>
      <c r="BI3251" s="25"/>
      <c r="BJ3251" s="25"/>
      <c r="BK3251" s="25"/>
    </row>
    <row r="3252" spans="60:63" ht="14.25" x14ac:dyDescent="0.2">
      <c r="BH3252" s="25"/>
      <c r="BI3252" s="25"/>
      <c r="BJ3252" s="25"/>
      <c r="BK3252" s="25"/>
    </row>
    <row r="3253" spans="60:63" ht="14.25" x14ac:dyDescent="0.2">
      <c r="BH3253" s="25"/>
      <c r="BI3253" s="25"/>
      <c r="BJ3253" s="25"/>
      <c r="BK3253" s="25"/>
    </row>
    <row r="3254" spans="60:63" ht="14.25" x14ac:dyDescent="0.2">
      <c r="BH3254" s="25"/>
      <c r="BI3254" s="25"/>
      <c r="BJ3254" s="25"/>
      <c r="BK3254" s="25"/>
    </row>
    <row r="3255" spans="60:63" ht="14.25" x14ac:dyDescent="0.2">
      <c r="BH3255" s="25"/>
      <c r="BI3255" s="25"/>
      <c r="BJ3255" s="25"/>
      <c r="BK3255" s="25"/>
    </row>
    <row r="3256" spans="60:63" ht="14.25" x14ac:dyDescent="0.2">
      <c r="BH3256" s="25"/>
      <c r="BI3256" s="25"/>
      <c r="BJ3256" s="25"/>
      <c r="BK3256" s="25"/>
    </row>
    <row r="3257" spans="60:63" ht="14.25" x14ac:dyDescent="0.2">
      <c r="BH3257" s="25"/>
      <c r="BI3257" s="25"/>
      <c r="BJ3257" s="25"/>
      <c r="BK3257" s="25"/>
    </row>
    <row r="3258" spans="60:63" ht="14.25" x14ac:dyDescent="0.2">
      <c r="BH3258" s="25"/>
      <c r="BI3258" s="25"/>
      <c r="BJ3258" s="25"/>
      <c r="BK3258" s="25"/>
    </row>
    <row r="3259" spans="60:63" ht="14.25" x14ac:dyDescent="0.2">
      <c r="BH3259" s="25"/>
      <c r="BI3259" s="25"/>
      <c r="BJ3259" s="25"/>
      <c r="BK3259" s="25"/>
    </row>
    <row r="3260" spans="60:63" ht="14.25" x14ac:dyDescent="0.2">
      <c r="BH3260" s="25"/>
      <c r="BI3260" s="25"/>
      <c r="BJ3260" s="25"/>
      <c r="BK3260" s="25"/>
    </row>
    <row r="3261" spans="60:63" ht="14.25" x14ac:dyDescent="0.2">
      <c r="BH3261" s="25"/>
      <c r="BI3261" s="25"/>
      <c r="BJ3261" s="25"/>
      <c r="BK3261" s="25"/>
    </row>
    <row r="3262" spans="60:63" ht="14.25" x14ac:dyDescent="0.2">
      <c r="BH3262" s="25"/>
      <c r="BI3262" s="25"/>
      <c r="BJ3262" s="25"/>
      <c r="BK3262" s="25"/>
    </row>
    <row r="3263" spans="60:63" ht="14.25" x14ac:dyDescent="0.2">
      <c r="BH3263" s="25"/>
      <c r="BI3263" s="25"/>
      <c r="BJ3263" s="25"/>
      <c r="BK3263" s="25"/>
    </row>
    <row r="3264" spans="60:63" ht="14.25" x14ac:dyDescent="0.2">
      <c r="BH3264" s="25"/>
      <c r="BI3264" s="25"/>
      <c r="BJ3264" s="25"/>
      <c r="BK3264" s="25"/>
    </row>
    <row r="3265" spans="60:63" ht="14.25" x14ac:dyDescent="0.2">
      <c r="BH3265" s="25"/>
      <c r="BI3265" s="25"/>
      <c r="BJ3265" s="25"/>
      <c r="BK3265" s="25"/>
    </row>
    <row r="3266" spans="60:63" ht="14.25" x14ac:dyDescent="0.2">
      <c r="BH3266" s="25"/>
      <c r="BI3266" s="25"/>
      <c r="BJ3266" s="25"/>
      <c r="BK3266" s="25"/>
    </row>
    <row r="3267" spans="60:63" ht="14.25" x14ac:dyDescent="0.2">
      <c r="BH3267" s="25"/>
      <c r="BI3267" s="25"/>
      <c r="BJ3267" s="25"/>
      <c r="BK3267" s="25"/>
    </row>
    <row r="3268" spans="60:63" ht="14.25" x14ac:dyDescent="0.2">
      <c r="BH3268" s="25"/>
      <c r="BI3268" s="25"/>
      <c r="BJ3268" s="25"/>
      <c r="BK3268" s="25"/>
    </row>
    <row r="3269" spans="60:63" ht="14.25" x14ac:dyDescent="0.2">
      <c r="BH3269" s="25"/>
      <c r="BI3269" s="25"/>
      <c r="BJ3269" s="25"/>
      <c r="BK3269" s="25"/>
    </row>
    <row r="3270" spans="60:63" ht="14.25" x14ac:dyDescent="0.2">
      <c r="BH3270" s="25"/>
      <c r="BI3270" s="25"/>
      <c r="BJ3270" s="25"/>
      <c r="BK3270" s="25"/>
    </row>
    <row r="3271" spans="60:63" ht="14.25" x14ac:dyDescent="0.2">
      <c r="BH3271" s="25"/>
      <c r="BI3271" s="25"/>
      <c r="BJ3271" s="25"/>
      <c r="BK3271" s="25"/>
    </row>
    <row r="3272" spans="60:63" ht="14.25" x14ac:dyDescent="0.2">
      <c r="BH3272" s="25"/>
      <c r="BI3272" s="25"/>
      <c r="BJ3272" s="25"/>
      <c r="BK3272" s="25"/>
    </row>
    <row r="3273" spans="60:63" ht="14.25" x14ac:dyDescent="0.2">
      <c r="BH3273" s="25"/>
      <c r="BI3273" s="25"/>
      <c r="BJ3273" s="25"/>
      <c r="BK3273" s="25"/>
    </row>
    <row r="3274" spans="60:63" ht="14.25" x14ac:dyDescent="0.2">
      <c r="BH3274" s="25"/>
      <c r="BI3274" s="25"/>
      <c r="BJ3274" s="25"/>
      <c r="BK3274" s="25"/>
    </row>
    <row r="3275" spans="60:63" ht="14.25" x14ac:dyDescent="0.2">
      <c r="BH3275" s="25"/>
      <c r="BI3275" s="25"/>
      <c r="BJ3275" s="25"/>
      <c r="BK3275" s="25"/>
    </row>
    <row r="3276" spans="60:63" ht="14.25" x14ac:dyDescent="0.2">
      <c r="BH3276" s="25"/>
      <c r="BI3276" s="25"/>
      <c r="BJ3276" s="25"/>
      <c r="BK3276" s="25"/>
    </row>
    <row r="3277" spans="60:63" ht="14.25" x14ac:dyDescent="0.2">
      <c r="BH3277" s="25"/>
      <c r="BI3277" s="25"/>
      <c r="BJ3277" s="25"/>
      <c r="BK3277" s="25"/>
    </row>
    <row r="3278" spans="60:63" ht="14.25" x14ac:dyDescent="0.2">
      <c r="BH3278" s="25"/>
      <c r="BI3278" s="25"/>
      <c r="BJ3278" s="25"/>
      <c r="BK3278" s="25"/>
    </row>
    <row r="3279" spans="60:63" ht="14.25" x14ac:dyDescent="0.2">
      <c r="BH3279" s="25"/>
      <c r="BI3279" s="25"/>
      <c r="BJ3279" s="25"/>
      <c r="BK3279" s="25"/>
    </row>
    <row r="3280" spans="60:63" ht="14.25" x14ac:dyDescent="0.2">
      <c r="BH3280" s="25"/>
      <c r="BI3280" s="25"/>
      <c r="BJ3280" s="25"/>
      <c r="BK3280" s="25"/>
    </row>
    <row r="3281" spans="60:63" ht="14.25" x14ac:dyDescent="0.2">
      <c r="BH3281" s="25"/>
      <c r="BI3281" s="25"/>
      <c r="BJ3281" s="25"/>
      <c r="BK3281" s="25"/>
    </row>
    <row r="3282" spans="60:63" ht="14.25" x14ac:dyDescent="0.2">
      <c r="BH3282" s="25"/>
      <c r="BI3282" s="25"/>
      <c r="BJ3282" s="25"/>
      <c r="BK3282" s="25"/>
    </row>
    <row r="3283" spans="60:63" ht="14.25" x14ac:dyDescent="0.2">
      <c r="BH3283" s="25"/>
      <c r="BI3283" s="25"/>
      <c r="BJ3283" s="25"/>
      <c r="BK3283" s="25"/>
    </row>
    <row r="3284" spans="60:63" ht="14.25" x14ac:dyDescent="0.2">
      <c r="BH3284" s="25"/>
      <c r="BI3284" s="25"/>
      <c r="BJ3284" s="25"/>
      <c r="BK3284" s="25"/>
    </row>
    <row r="3285" spans="60:63" ht="14.25" x14ac:dyDescent="0.2">
      <c r="BH3285" s="25"/>
      <c r="BI3285" s="25"/>
      <c r="BJ3285" s="25"/>
      <c r="BK3285" s="25"/>
    </row>
    <row r="3286" spans="60:63" ht="14.25" x14ac:dyDescent="0.2">
      <c r="BH3286" s="25"/>
      <c r="BI3286" s="25"/>
      <c r="BJ3286" s="25"/>
      <c r="BK3286" s="25"/>
    </row>
    <row r="3287" spans="60:63" ht="14.25" x14ac:dyDescent="0.2">
      <c r="BH3287" s="25"/>
      <c r="BI3287" s="25"/>
      <c r="BJ3287" s="25"/>
      <c r="BK3287" s="25"/>
    </row>
    <row r="3288" spans="60:63" ht="14.25" x14ac:dyDescent="0.2">
      <c r="BH3288" s="25"/>
      <c r="BI3288" s="25"/>
      <c r="BJ3288" s="25"/>
      <c r="BK3288" s="25"/>
    </row>
    <row r="3289" spans="60:63" ht="14.25" x14ac:dyDescent="0.2">
      <c r="BH3289" s="25"/>
      <c r="BI3289" s="25"/>
      <c r="BJ3289" s="25"/>
      <c r="BK3289" s="25"/>
    </row>
    <row r="3290" spans="60:63" ht="14.25" x14ac:dyDescent="0.2">
      <c r="BH3290" s="25"/>
      <c r="BI3290" s="25"/>
      <c r="BJ3290" s="25"/>
      <c r="BK3290" s="25"/>
    </row>
    <row r="3291" spans="60:63" ht="14.25" x14ac:dyDescent="0.2">
      <c r="BH3291" s="25"/>
      <c r="BI3291" s="25"/>
      <c r="BJ3291" s="25"/>
      <c r="BK3291" s="25"/>
    </row>
    <row r="3292" spans="60:63" ht="14.25" x14ac:dyDescent="0.2">
      <c r="BH3292" s="25"/>
      <c r="BI3292" s="25"/>
      <c r="BJ3292" s="25"/>
      <c r="BK3292" s="25"/>
    </row>
    <row r="3293" spans="60:63" ht="14.25" x14ac:dyDescent="0.2">
      <c r="BH3293" s="25"/>
      <c r="BI3293" s="25"/>
      <c r="BJ3293" s="25"/>
      <c r="BK3293" s="25"/>
    </row>
    <row r="3294" spans="60:63" ht="14.25" x14ac:dyDescent="0.2">
      <c r="BH3294" s="25"/>
      <c r="BI3294" s="25"/>
      <c r="BJ3294" s="25"/>
      <c r="BK3294" s="25"/>
    </row>
    <row r="3295" spans="60:63" ht="14.25" x14ac:dyDescent="0.2">
      <c r="BH3295" s="25"/>
      <c r="BI3295" s="25"/>
      <c r="BJ3295" s="25"/>
      <c r="BK3295" s="25"/>
    </row>
    <row r="3296" spans="60:63" ht="14.25" x14ac:dyDescent="0.2">
      <c r="BH3296" s="25"/>
      <c r="BI3296" s="25"/>
      <c r="BJ3296" s="25"/>
      <c r="BK3296" s="25"/>
    </row>
    <row r="3297" spans="60:63" ht="14.25" x14ac:dyDescent="0.2">
      <c r="BH3297" s="25"/>
      <c r="BI3297" s="25"/>
      <c r="BJ3297" s="25"/>
      <c r="BK3297" s="25"/>
    </row>
    <row r="3298" spans="60:63" ht="14.25" x14ac:dyDescent="0.2">
      <c r="BH3298" s="25"/>
      <c r="BI3298" s="25"/>
      <c r="BJ3298" s="25"/>
      <c r="BK3298" s="25"/>
    </row>
    <row r="3299" spans="60:63" ht="14.25" x14ac:dyDescent="0.2">
      <c r="BH3299" s="25"/>
      <c r="BI3299" s="25"/>
      <c r="BJ3299" s="25"/>
      <c r="BK3299" s="25"/>
    </row>
    <row r="3300" spans="60:63" ht="14.25" x14ac:dyDescent="0.2">
      <c r="BH3300" s="25"/>
      <c r="BI3300" s="25"/>
      <c r="BJ3300" s="25"/>
      <c r="BK3300" s="25"/>
    </row>
    <row r="3301" spans="60:63" ht="14.25" x14ac:dyDescent="0.2">
      <c r="BH3301" s="25"/>
      <c r="BI3301" s="25"/>
      <c r="BJ3301" s="25"/>
      <c r="BK3301" s="25"/>
    </row>
    <row r="3302" spans="60:63" ht="14.25" x14ac:dyDescent="0.2">
      <c r="BH3302" s="25"/>
      <c r="BI3302" s="25"/>
      <c r="BJ3302" s="25"/>
      <c r="BK3302" s="25"/>
    </row>
    <row r="3303" spans="60:63" ht="14.25" x14ac:dyDescent="0.2">
      <c r="BH3303" s="25"/>
      <c r="BI3303" s="25"/>
      <c r="BJ3303" s="25"/>
      <c r="BK3303" s="25"/>
    </row>
    <row r="3304" spans="60:63" ht="14.25" x14ac:dyDescent="0.2">
      <c r="BH3304" s="25"/>
      <c r="BI3304" s="25"/>
      <c r="BJ3304" s="25"/>
      <c r="BK3304" s="25"/>
    </row>
    <row r="3305" spans="60:63" ht="14.25" x14ac:dyDescent="0.2">
      <c r="BH3305" s="25"/>
      <c r="BI3305" s="25"/>
      <c r="BJ3305" s="25"/>
      <c r="BK3305" s="25"/>
    </row>
    <row r="3306" spans="60:63" ht="14.25" x14ac:dyDescent="0.2">
      <c r="BH3306" s="25"/>
      <c r="BI3306" s="25"/>
      <c r="BJ3306" s="25"/>
      <c r="BK3306" s="25"/>
    </row>
    <row r="3307" spans="60:63" ht="14.25" x14ac:dyDescent="0.2">
      <c r="BH3307" s="25"/>
      <c r="BI3307" s="25"/>
      <c r="BJ3307" s="25"/>
      <c r="BK3307" s="25"/>
    </row>
    <row r="3308" spans="60:63" ht="14.25" x14ac:dyDescent="0.2">
      <c r="BH3308" s="25"/>
      <c r="BI3308" s="25"/>
      <c r="BJ3308" s="25"/>
      <c r="BK3308" s="25"/>
    </row>
    <row r="3309" spans="60:63" ht="14.25" x14ac:dyDescent="0.2">
      <c r="BH3309" s="25"/>
      <c r="BI3309" s="25"/>
      <c r="BJ3309" s="25"/>
      <c r="BK3309" s="25"/>
    </row>
    <row r="3310" spans="60:63" ht="14.25" x14ac:dyDescent="0.2">
      <c r="BH3310" s="25"/>
      <c r="BI3310" s="25"/>
      <c r="BJ3310" s="25"/>
      <c r="BK3310" s="25"/>
    </row>
    <row r="3311" spans="60:63" ht="14.25" x14ac:dyDescent="0.2">
      <c r="BH3311" s="25"/>
      <c r="BI3311" s="25"/>
      <c r="BJ3311" s="25"/>
      <c r="BK3311" s="25"/>
    </row>
    <row r="3312" spans="60:63" ht="14.25" x14ac:dyDescent="0.2">
      <c r="BH3312" s="25"/>
      <c r="BI3312" s="25"/>
      <c r="BJ3312" s="25"/>
      <c r="BK3312" s="25"/>
    </row>
    <row r="3313" spans="60:63" ht="14.25" x14ac:dyDescent="0.2">
      <c r="BH3313" s="25"/>
      <c r="BI3313" s="25"/>
      <c r="BJ3313" s="25"/>
      <c r="BK3313" s="25"/>
    </row>
    <row r="3314" spans="60:63" ht="14.25" x14ac:dyDescent="0.2">
      <c r="BH3314" s="25"/>
      <c r="BI3314" s="25"/>
      <c r="BJ3314" s="25"/>
      <c r="BK3314" s="25"/>
    </row>
    <row r="3315" spans="60:63" ht="14.25" x14ac:dyDescent="0.2">
      <c r="BH3315" s="25"/>
      <c r="BI3315" s="25"/>
      <c r="BJ3315" s="25"/>
      <c r="BK3315" s="25"/>
    </row>
    <row r="3316" spans="60:63" ht="14.25" x14ac:dyDescent="0.2">
      <c r="BH3316" s="25"/>
      <c r="BI3316" s="25"/>
      <c r="BJ3316" s="25"/>
      <c r="BK3316" s="25"/>
    </row>
    <row r="3317" spans="60:63" ht="14.25" x14ac:dyDescent="0.2">
      <c r="BH3317" s="25"/>
      <c r="BI3317" s="25"/>
      <c r="BJ3317" s="25"/>
      <c r="BK3317" s="25"/>
    </row>
    <row r="3318" spans="60:63" ht="14.25" x14ac:dyDescent="0.2">
      <c r="BH3318" s="25"/>
      <c r="BI3318" s="25"/>
      <c r="BJ3318" s="25"/>
      <c r="BK3318" s="25"/>
    </row>
    <row r="3319" spans="60:63" ht="14.25" x14ac:dyDescent="0.2">
      <c r="BH3319" s="25"/>
      <c r="BI3319" s="25"/>
      <c r="BJ3319" s="25"/>
      <c r="BK3319" s="25"/>
    </row>
    <row r="3320" spans="60:63" ht="14.25" x14ac:dyDescent="0.2">
      <c r="BH3320" s="25"/>
      <c r="BI3320" s="25"/>
      <c r="BJ3320" s="25"/>
      <c r="BK3320" s="25"/>
    </row>
    <row r="3321" spans="60:63" ht="14.25" x14ac:dyDescent="0.2">
      <c r="BH3321" s="25"/>
      <c r="BI3321" s="25"/>
      <c r="BJ3321" s="25"/>
      <c r="BK3321" s="25"/>
    </row>
    <row r="3322" spans="60:63" ht="14.25" x14ac:dyDescent="0.2">
      <c r="BH3322" s="25"/>
      <c r="BI3322" s="25"/>
      <c r="BJ3322" s="25"/>
      <c r="BK3322" s="25"/>
    </row>
    <row r="3323" spans="60:63" ht="14.25" x14ac:dyDescent="0.2">
      <c r="BH3323" s="25"/>
      <c r="BI3323" s="25"/>
      <c r="BJ3323" s="25"/>
      <c r="BK3323" s="25"/>
    </row>
    <row r="3324" spans="60:63" ht="14.25" x14ac:dyDescent="0.2">
      <c r="BH3324" s="25"/>
      <c r="BI3324" s="25"/>
      <c r="BJ3324" s="25"/>
      <c r="BK3324" s="25"/>
    </row>
    <row r="3325" spans="60:63" ht="14.25" x14ac:dyDescent="0.2">
      <c r="BH3325" s="25"/>
      <c r="BI3325" s="25"/>
      <c r="BJ3325" s="25"/>
      <c r="BK3325" s="25"/>
    </row>
    <row r="3326" spans="60:63" ht="14.25" x14ac:dyDescent="0.2">
      <c r="BH3326" s="25"/>
      <c r="BI3326" s="25"/>
      <c r="BJ3326" s="25"/>
      <c r="BK3326" s="25"/>
    </row>
    <row r="3327" spans="60:63" ht="14.25" x14ac:dyDescent="0.2">
      <c r="BH3327" s="25"/>
      <c r="BI3327" s="25"/>
      <c r="BJ3327" s="25"/>
      <c r="BK3327" s="25"/>
    </row>
    <row r="3328" spans="60:63" ht="14.25" x14ac:dyDescent="0.2">
      <c r="BH3328" s="25"/>
      <c r="BI3328" s="25"/>
      <c r="BJ3328" s="25"/>
      <c r="BK3328" s="25"/>
    </row>
    <row r="3329" spans="60:63" ht="14.25" x14ac:dyDescent="0.2">
      <c r="BH3329" s="25"/>
      <c r="BI3329" s="25"/>
      <c r="BJ3329" s="25"/>
      <c r="BK3329" s="25"/>
    </row>
    <row r="3330" spans="60:63" ht="14.25" x14ac:dyDescent="0.2">
      <c r="BH3330" s="25"/>
      <c r="BI3330" s="25"/>
      <c r="BJ3330" s="25"/>
      <c r="BK3330" s="25"/>
    </row>
    <row r="3331" spans="60:63" ht="14.25" x14ac:dyDescent="0.2">
      <c r="BH3331" s="25"/>
      <c r="BI3331" s="25"/>
      <c r="BJ3331" s="25"/>
      <c r="BK3331" s="25"/>
    </row>
    <row r="3332" spans="60:63" ht="14.25" x14ac:dyDescent="0.2">
      <c r="BH3332" s="25"/>
      <c r="BI3332" s="25"/>
      <c r="BJ3332" s="25"/>
      <c r="BK3332" s="25"/>
    </row>
    <row r="3333" spans="60:63" ht="14.25" x14ac:dyDescent="0.2">
      <c r="BH3333" s="25"/>
      <c r="BI3333" s="25"/>
      <c r="BJ3333" s="25"/>
      <c r="BK3333" s="25"/>
    </row>
    <row r="3334" spans="60:63" ht="14.25" x14ac:dyDescent="0.2">
      <c r="BH3334" s="25"/>
      <c r="BI3334" s="25"/>
      <c r="BJ3334" s="25"/>
      <c r="BK3334" s="25"/>
    </row>
    <row r="3335" spans="60:63" ht="14.25" x14ac:dyDescent="0.2">
      <c r="BH3335" s="25"/>
      <c r="BI3335" s="25"/>
      <c r="BJ3335" s="25"/>
      <c r="BK3335" s="25"/>
    </row>
    <row r="3336" spans="60:63" ht="14.25" x14ac:dyDescent="0.2">
      <c r="BH3336" s="25"/>
      <c r="BI3336" s="25"/>
      <c r="BJ3336" s="25"/>
      <c r="BK3336" s="25"/>
    </row>
    <row r="3337" spans="60:63" ht="14.25" x14ac:dyDescent="0.2">
      <c r="BH3337" s="25"/>
      <c r="BI3337" s="25"/>
      <c r="BJ3337" s="25"/>
      <c r="BK3337" s="25"/>
    </row>
    <row r="3338" spans="60:63" ht="14.25" x14ac:dyDescent="0.2">
      <c r="BH3338" s="25"/>
      <c r="BI3338" s="25"/>
      <c r="BJ3338" s="25"/>
      <c r="BK3338" s="25"/>
    </row>
    <row r="3339" spans="60:63" ht="14.25" x14ac:dyDescent="0.2">
      <c r="BH3339" s="25"/>
      <c r="BI3339" s="25"/>
      <c r="BJ3339" s="25"/>
      <c r="BK3339" s="25"/>
    </row>
    <row r="3340" spans="60:63" ht="14.25" x14ac:dyDescent="0.2">
      <c r="BH3340" s="25"/>
      <c r="BI3340" s="25"/>
      <c r="BJ3340" s="25"/>
      <c r="BK3340" s="25"/>
    </row>
    <row r="3341" spans="60:63" ht="14.25" x14ac:dyDescent="0.2">
      <c r="BH3341" s="25"/>
      <c r="BI3341" s="25"/>
      <c r="BJ3341" s="25"/>
      <c r="BK3341" s="25"/>
    </row>
    <row r="3342" spans="60:63" ht="14.25" x14ac:dyDescent="0.2">
      <c r="BH3342" s="25"/>
      <c r="BI3342" s="25"/>
      <c r="BJ3342" s="25"/>
      <c r="BK3342" s="25"/>
    </row>
    <row r="3343" spans="60:63" ht="14.25" x14ac:dyDescent="0.2">
      <c r="BH3343" s="25"/>
      <c r="BI3343" s="25"/>
      <c r="BJ3343" s="25"/>
      <c r="BK3343" s="25"/>
    </row>
    <row r="3344" spans="60:63" ht="14.25" x14ac:dyDescent="0.2">
      <c r="BH3344" s="25"/>
      <c r="BI3344" s="25"/>
      <c r="BJ3344" s="25"/>
      <c r="BK3344" s="25"/>
    </row>
    <row r="3345" spans="60:63" ht="14.25" x14ac:dyDescent="0.2">
      <c r="BH3345" s="25"/>
      <c r="BI3345" s="25"/>
      <c r="BJ3345" s="25"/>
      <c r="BK3345" s="25"/>
    </row>
    <row r="3346" spans="60:63" ht="14.25" x14ac:dyDescent="0.2">
      <c r="BH3346" s="25"/>
      <c r="BI3346" s="25"/>
      <c r="BJ3346" s="25"/>
      <c r="BK3346" s="25"/>
    </row>
    <row r="3347" spans="60:63" ht="14.25" x14ac:dyDescent="0.2">
      <c r="BH3347" s="25"/>
      <c r="BI3347" s="25"/>
      <c r="BJ3347" s="25"/>
      <c r="BK3347" s="25"/>
    </row>
    <row r="3348" spans="60:63" ht="14.25" x14ac:dyDescent="0.2">
      <c r="BH3348" s="25"/>
      <c r="BI3348" s="25"/>
      <c r="BJ3348" s="25"/>
      <c r="BK3348" s="25"/>
    </row>
    <row r="3349" spans="60:63" ht="14.25" x14ac:dyDescent="0.2">
      <c r="BH3349" s="25"/>
      <c r="BI3349" s="25"/>
      <c r="BJ3349" s="25"/>
      <c r="BK3349" s="25"/>
    </row>
    <row r="3350" spans="60:63" ht="14.25" x14ac:dyDescent="0.2">
      <c r="BH3350" s="25"/>
      <c r="BI3350" s="25"/>
      <c r="BJ3350" s="25"/>
      <c r="BK3350" s="25"/>
    </row>
    <row r="3351" spans="60:63" ht="14.25" x14ac:dyDescent="0.2">
      <c r="BH3351" s="25"/>
      <c r="BI3351" s="25"/>
      <c r="BJ3351" s="25"/>
      <c r="BK3351" s="25"/>
    </row>
    <row r="3352" spans="60:63" ht="14.25" x14ac:dyDescent="0.2">
      <c r="BH3352" s="25"/>
      <c r="BI3352" s="25"/>
      <c r="BJ3352" s="25"/>
      <c r="BK3352" s="25"/>
    </row>
    <row r="3353" spans="60:63" ht="14.25" x14ac:dyDescent="0.2">
      <c r="BH3353" s="25"/>
      <c r="BI3353" s="25"/>
      <c r="BJ3353" s="25"/>
      <c r="BK3353" s="25"/>
    </row>
    <row r="3354" spans="60:63" ht="14.25" x14ac:dyDescent="0.2">
      <c r="BH3354" s="25"/>
      <c r="BI3354" s="25"/>
      <c r="BJ3354" s="25"/>
      <c r="BK3354" s="25"/>
    </row>
    <row r="3355" spans="60:63" ht="14.25" x14ac:dyDescent="0.2">
      <c r="BH3355" s="25"/>
      <c r="BI3355" s="25"/>
      <c r="BJ3355" s="25"/>
      <c r="BK3355" s="25"/>
    </row>
    <row r="3356" spans="60:63" ht="14.25" x14ac:dyDescent="0.2">
      <c r="BH3356" s="25"/>
      <c r="BI3356" s="25"/>
      <c r="BJ3356" s="25"/>
      <c r="BK3356" s="25"/>
    </row>
    <row r="3357" spans="60:63" ht="14.25" x14ac:dyDescent="0.2">
      <c r="BH3357" s="25"/>
      <c r="BI3357" s="25"/>
      <c r="BJ3357" s="25"/>
      <c r="BK3357" s="25"/>
    </row>
    <row r="3358" spans="60:63" ht="14.25" x14ac:dyDescent="0.2">
      <c r="BH3358" s="25"/>
      <c r="BI3358" s="25"/>
      <c r="BJ3358" s="25"/>
      <c r="BK3358" s="25"/>
    </row>
    <row r="3359" spans="60:63" ht="14.25" x14ac:dyDescent="0.2">
      <c r="BH3359" s="25"/>
      <c r="BI3359" s="25"/>
      <c r="BJ3359" s="25"/>
      <c r="BK3359" s="25"/>
    </row>
    <row r="3360" spans="60:63" ht="14.25" x14ac:dyDescent="0.2">
      <c r="BH3360" s="25"/>
      <c r="BI3360" s="25"/>
      <c r="BJ3360" s="25"/>
      <c r="BK3360" s="25"/>
    </row>
    <row r="3361" spans="60:63" ht="14.25" x14ac:dyDescent="0.2">
      <c r="BH3361" s="25"/>
      <c r="BI3361" s="25"/>
      <c r="BJ3361" s="25"/>
      <c r="BK3361" s="25"/>
    </row>
    <row r="3362" spans="60:63" ht="14.25" x14ac:dyDescent="0.2">
      <c r="BH3362" s="25"/>
      <c r="BI3362" s="25"/>
      <c r="BJ3362" s="25"/>
      <c r="BK3362" s="25"/>
    </row>
    <row r="3363" spans="60:63" ht="14.25" x14ac:dyDescent="0.2">
      <c r="BH3363" s="25"/>
      <c r="BI3363" s="25"/>
      <c r="BJ3363" s="25"/>
      <c r="BK3363" s="25"/>
    </row>
    <row r="3364" spans="60:63" ht="14.25" x14ac:dyDescent="0.2">
      <c r="BH3364" s="25"/>
      <c r="BI3364" s="25"/>
      <c r="BJ3364" s="25"/>
      <c r="BK3364" s="25"/>
    </row>
    <row r="3365" spans="60:63" ht="14.25" x14ac:dyDescent="0.2">
      <c r="BH3365" s="25"/>
      <c r="BI3365" s="25"/>
      <c r="BJ3365" s="25"/>
      <c r="BK3365" s="25"/>
    </row>
    <row r="3366" spans="60:63" ht="14.25" x14ac:dyDescent="0.2">
      <c r="BH3366" s="25"/>
      <c r="BI3366" s="25"/>
      <c r="BJ3366" s="25"/>
      <c r="BK3366" s="25"/>
    </row>
    <row r="3367" spans="60:63" ht="14.25" x14ac:dyDescent="0.2">
      <c r="BH3367" s="25"/>
      <c r="BI3367" s="25"/>
      <c r="BJ3367" s="25"/>
      <c r="BK3367" s="25"/>
    </row>
    <row r="3368" spans="60:63" ht="14.25" x14ac:dyDescent="0.2">
      <c r="BH3368" s="25"/>
      <c r="BI3368" s="25"/>
      <c r="BJ3368" s="25"/>
      <c r="BK3368" s="25"/>
    </row>
    <row r="3369" spans="60:63" ht="14.25" x14ac:dyDescent="0.2">
      <c r="BH3369" s="25"/>
      <c r="BI3369" s="25"/>
      <c r="BJ3369" s="25"/>
      <c r="BK3369" s="25"/>
    </row>
    <row r="3370" spans="60:63" ht="14.25" x14ac:dyDescent="0.2">
      <c r="BH3370" s="25"/>
      <c r="BI3370" s="25"/>
      <c r="BJ3370" s="25"/>
      <c r="BK3370" s="25"/>
    </row>
    <row r="3371" spans="60:63" ht="14.25" x14ac:dyDescent="0.2">
      <c r="BH3371" s="25"/>
      <c r="BI3371" s="25"/>
      <c r="BJ3371" s="25"/>
      <c r="BK3371" s="25"/>
    </row>
    <row r="3372" spans="60:63" ht="14.25" x14ac:dyDescent="0.2">
      <c r="BH3372" s="25"/>
      <c r="BI3372" s="25"/>
      <c r="BJ3372" s="25"/>
      <c r="BK3372" s="25"/>
    </row>
    <row r="3373" spans="60:63" ht="14.25" x14ac:dyDescent="0.2">
      <c r="BH3373" s="25"/>
      <c r="BI3373" s="25"/>
      <c r="BJ3373" s="25"/>
      <c r="BK3373" s="25"/>
    </row>
    <row r="3374" spans="60:63" ht="14.25" x14ac:dyDescent="0.2">
      <c r="BH3374" s="25"/>
      <c r="BI3374" s="25"/>
      <c r="BJ3374" s="25"/>
      <c r="BK3374" s="25"/>
    </row>
    <row r="3375" spans="60:63" ht="14.25" x14ac:dyDescent="0.2">
      <c r="BH3375" s="25"/>
      <c r="BI3375" s="25"/>
      <c r="BJ3375" s="25"/>
      <c r="BK3375" s="25"/>
    </row>
    <row r="3376" spans="60:63" ht="14.25" x14ac:dyDescent="0.2">
      <c r="BH3376" s="25"/>
      <c r="BI3376" s="25"/>
      <c r="BJ3376" s="25"/>
      <c r="BK3376" s="25"/>
    </row>
    <row r="3377" spans="60:63" ht="14.25" x14ac:dyDescent="0.2">
      <c r="BH3377" s="25"/>
      <c r="BI3377" s="25"/>
      <c r="BJ3377" s="25"/>
      <c r="BK3377" s="25"/>
    </row>
    <row r="3378" spans="60:63" ht="14.25" x14ac:dyDescent="0.2">
      <c r="BH3378" s="25"/>
      <c r="BI3378" s="25"/>
      <c r="BJ3378" s="25"/>
      <c r="BK3378" s="25"/>
    </row>
    <row r="3379" spans="60:63" ht="14.25" x14ac:dyDescent="0.2">
      <c r="BH3379" s="25"/>
      <c r="BI3379" s="25"/>
      <c r="BJ3379" s="25"/>
      <c r="BK3379" s="25"/>
    </row>
    <row r="3380" spans="60:63" ht="14.25" x14ac:dyDescent="0.2">
      <c r="BH3380" s="25"/>
      <c r="BI3380" s="25"/>
      <c r="BJ3380" s="25"/>
      <c r="BK3380" s="25"/>
    </row>
    <row r="3381" spans="60:63" ht="14.25" x14ac:dyDescent="0.2">
      <c r="BH3381" s="25"/>
      <c r="BI3381" s="25"/>
      <c r="BJ3381" s="25"/>
      <c r="BK3381" s="25"/>
    </row>
    <row r="3382" spans="60:63" ht="14.25" x14ac:dyDescent="0.2">
      <c r="BH3382" s="25"/>
      <c r="BI3382" s="25"/>
      <c r="BJ3382" s="25"/>
      <c r="BK3382" s="25"/>
    </row>
    <row r="3383" spans="60:63" ht="14.25" x14ac:dyDescent="0.2">
      <c r="BH3383" s="25"/>
      <c r="BI3383" s="25"/>
      <c r="BJ3383" s="25"/>
      <c r="BK3383" s="25"/>
    </row>
    <row r="3384" spans="60:63" ht="14.25" x14ac:dyDescent="0.2">
      <c r="BH3384" s="25"/>
      <c r="BI3384" s="25"/>
      <c r="BJ3384" s="25"/>
      <c r="BK3384" s="25"/>
    </row>
    <row r="3385" spans="60:63" ht="14.25" x14ac:dyDescent="0.2">
      <c r="BH3385" s="25"/>
      <c r="BI3385" s="25"/>
      <c r="BJ3385" s="25"/>
      <c r="BK3385" s="25"/>
    </row>
    <row r="3386" spans="60:63" ht="14.25" x14ac:dyDescent="0.2">
      <c r="BH3386" s="25"/>
      <c r="BI3386" s="25"/>
      <c r="BJ3386" s="25"/>
      <c r="BK3386" s="25"/>
    </row>
    <row r="3387" spans="60:63" ht="14.25" x14ac:dyDescent="0.2">
      <c r="BH3387" s="25"/>
      <c r="BI3387" s="25"/>
      <c r="BJ3387" s="25"/>
      <c r="BK3387" s="25"/>
    </row>
    <row r="3388" spans="60:63" ht="14.25" x14ac:dyDescent="0.2">
      <c r="BH3388" s="25"/>
      <c r="BI3388" s="25"/>
      <c r="BJ3388" s="25"/>
      <c r="BK3388" s="25"/>
    </row>
    <row r="3389" spans="60:63" ht="14.25" x14ac:dyDescent="0.2">
      <c r="BH3389" s="25"/>
      <c r="BI3389" s="25"/>
      <c r="BJ3389" s="25"/>
      <c r="BK3389" s="25"/>
    </row>
    <row r="3390" spans="60:63" ht="14.25" x14ac:dyDescent="0.2">
      <c r="BH3390" s="25"/>
      <c r="BI3390" s="25"/>
      <c r="BJ3390" s="25"/>
      <c r="BK3390" s="25"/>
    </row>
    <row r="3391" spans="60:63" ht="14.25" x14ac:dyDescent="0.2">
      <c r="BH3391" s="25"/>
      <c r="BI3391" s="25"/>
      <c r="BJ3391" s="25"/>
      <c r="BK3391" s="25"/>
    </row>
    <row r="3392" spans="60:63" ht="14.25" x14ac:dyDescent="0.2">
      <c r="BH3392" s="25"/>
      <c r="BI3392" s="25"/>
      <c r="BJ3392" s="25"/>
      <c r="BK3392" s="25"/>
    </row>
    <row r="3393" spans="60:63" ht="14.25" x14ac:dyDescent="0.2">
      <c r="BH3393" s="25"/>
      <c r="BI3393" s="25"/>
      <c r="BJ3393" s="25"/>
      <c r="BK3393" s="25"/>
    </row>
    <row r="3394" spans="60:63" ht="14.25" x14ac:dyDescent="0.2">
      <c r="BH3394" s="25"/>
      <c r="BI3394" s="25"/>
      <c r="BJ3394" s="25"/>
      <c r="BK3394" s="25"/>
    </row>
    <row r="3395" spans="60:63" ht="14.25" x14ac:dyDescent="0.2">
      <c r="BH3395" s="25"/>
      <c r="BI3395" s="25"/>
      <c r="BJ3395" s="25"/>
      <c r="BK3395" s="25"/>
    </row>
    <row r="3396" spans="60:63" ht="14.25" x14ac:dyDescent="0.2">
      <c r="BH3396" s="25"/>
      <c r="BI3396" s="25"/>
      <c r="BJ3396" s="25"/>
      <c r="BK3396" s="25"/>
    </row>
    <row r="3397" spans="60:63" ht="14.25" x14ac:dyDescent="0.2">
      <c r="BH3397" s="25"/>
      <c r="BI3397" s="25"/>
      <c r="BJ3397" s="25"/>
      <c r="BK3397" s="25"/>
    </row>
    <row r="3398" spans="60:63" ht="14.25" x14ac:dyDescent="0.2">
      <c r="BH3398" s="25"/>
      <c r="BI3398" s="25"/>
      <c r="BJ3398" s="25"/>
      <c r="BK3398" s="25"/>
    </row>
    <row r="3399" spans="60:63" ht="14.25" x14ac:dyDescent="0.2">
      <c r="BH3399" s="25"/>
      <c r="BI3399" s="25"/>
      <c r="BJ3399" s="25"/>
      <c r="BK3399" s="25"/>
    </row>
    <row r="3400" spans="60:63" ht="14.25" x14ac:dyDescent="0.2">
      <c r="BH3400" s="25"/>
      <c r="BI3400" s="25"/>
      <c r="BJ3400" s="25"/>
      <c r="BK3400" s="25"/>
    </row>
    <row r="3401" spans="60:63" ht="14.25" x14ac:dyDescent="0.2">
      <c r="BH3401" s="25"/>
      <c r="BI3401" s="25"/>
      <c r="BJ3401" s="25"/>
      <c r="BK3401" s="25"/>
    </row>
    <row r="3402" spans="60:63" ht="14.25" x14ac:dyDescent="0.2">
      <c r="BH3402" s="25"/>
      <c r="BI3402" s="25"/>
      <c r="BJ3402" s="25"/>
      <c r="BK3402" s="25"/>
    </row>
    <row r="3403" spans="60:63" ht="14.25" x14ac:dyDescent="0.2">
      <c r="BH3403" s="25"/>
      <c r="BI3403" s="25"/>
      <c r="BJ3403" s="25"/>
      <c r="BK3403" s="25"/>
    </row>
    <row r="3404" spans="60:63" ht="14.25" x14ac:dyDescent="0.2">
      <c r="BH3404" s="25"/>
      <c r="BI3404" s="25"/>
      <c r="BJ3404" s="25"/>
      <c r="BK3404" s="25"/>
    </row>
    <row r="3405" spans="60:63" ht="14.25" x14ac:dyDescent="0.2">
      <c r="BH3405" s="25"/>
      <c r="BI3405" s="25"/>
      <c r="BJ3405" s="25"/>
      <c r="BK3405" s="25"/>
    </row>
    <row r="3406" spans="60:63" ht="14.25" x14ac:dyDescent="0.2">
      <c r="BH3406" s="25"/>
      <c r="BI3406" s="25"/>
      <c r="BJ3406" s="25"/>
      <c r="BK3406" s="25"/>
    </row>
    <row r="3407" spans="60:63" ht="14.25" x14ac:dyDescent="0.2">
      <c r="BH3407" s="25"/>
      <c r="BI3407" s="25"/>
      <c r="BJ3407" s="25"/>
      <c r="BK3407" s="25"/>
    </row>
    <row r="3408" spans="60:63" ht="14.25" x14ac:dyDescent="0.2">
      <c r="BH3408" s="25"/>
      <c r="BI3408" s="25"/>
      <c r="BJ3408" s="25"/>
      <c r="BK3408" s="25"/>
    </row>
    <row r="3409" spans="60:63" ht="14.25" x14ac:dyDescent="0.2">
      <c r="BH3409" s="25"/>
      <c r="BI3409" s="25"/>
      <c r="BJ3409" s="25"/>
      <c r="BK3409" s="25"/>
    </row>
    <row r="3410" spans="60:63" ht="14.25" x14ac:dyDescent="0.2">
      <c r="BH3410" s="25"/>
      <c r="BI3410" s="25"/>
      <c r="BJ3410" s="25"/>
      <c r="BK3410" s="25"/>
    </row>
    <row r="3411" spans="60:63" ht="14.25" x14ac:dyDescent="0.2">
      <c r="BH3411" s="25"/>
      <c r="BI3411" s="25"/>
      <c r="BJ3411" s="25"/>
      <c r="BK3411" s="25"/>
    </row>
    <row r="3412" spans="60:63" ht="14.25" x14ac:dyDescent="0.2">
      <c r="BH3412" s="25"/>
      <c r="BI3412" s="25"/>
      <c r="BJ3412" s="25"/>
      <c r="BK3412" s="25"/>
    </row>
    <row r="3413" spans="60:63" ht="14.25" x14ac:dyDescent="0.2">
      <c r="BH3413" s="25"/>
      <c r="BI3413" s="25"/>
      <c r="BJ3413" s="25"/>
      <c r="BK3413" s="25"/>
    </row>
    <row r="3414" spans="60:63" ht="14.25" x14ac:dyDescent="0.2">
      <c r="BH3414" s="25"/>
      <c r="BI3414" s="25"/>
      <c r="BJ3414" s="25"/>
      <c r="BK3414" s="25"/>
    </row>
    <row r="3415" spans="60:63" ht="14.25" x14ac:dyDescent="0.2">
      <c r="BH3415" s="25"/>
      <c r="BI3415" s="25"/>
      <c r="BJ3415" s="25"/>
      <c r="BK3415" s="25"/>
    </row>
    <row r="3416" spans="60:63" ht="14.25" x14ac:dyDescent="0.2">
      <c r="BH3416" s="25"/>
      <c r="BI3416" s="25"/>
      <c r="BJ3416" s="25"/>
      <c r="BK3416" s="25"/>
    </row>
    <row r="3417" spans="60:63" ht="14.25" x14ac:dyDescent="0.2">
      <c r="BH3417" s="25"/>
      <c r="BI3417" s="25"/>
      <c r="BJ3417" s="25"/>
      <c r="BK3417" s="25"/>
    </row>
    <row r="3418" spans="60:63" ht="14.25" x14ac:dyDescent="0.2">
      <c r="BH3418" s="25"/>
      <c r="BI3418" s="25"/>
      <c r="BJ3418" s="25"/>
      <c r="BK3418" s="25"/>
    </row>
    <row r="3419" spans="60:63" ht="14.25" x14ac:dyDescent="0.2">
      <c r="BH3419" s="25"/>
      <c r="BI3419" s="25"/>
      <c r="BJ3419" s="25"/>
      <c r="BK3419" s="25"/>
    </row>
    <row r="3420" spans="60:63" ht="14.25" x14ac:dyDescent="0.2">
      <c r="BH3420" s="25"/>
      <c r="BI3420" s="25"/>
      <c r="BJ3420" s="25"/>
      <c r="BK3420" s="25"/>
    </row>
    <row r="3421" spans="60:63" ht="14.25" x14ac:dyDescent="0.2">
      <c r="BH3421" s="25"/>
      <c r="BI3421" s="25"/>
      <c r="BJ3421" s="25"/>
      <c r="BK3421" s="25"/>
    </row>
    <row r="3422" spans="60:63" ht="14.25" x14ac:dyDescent="0.2">
      <c r="BH3422" s="25"/>
      <c r="BI3422" s="25"/>
      <c r="BJ3422" s="25"/>
      <c r="BK3422" s="25"/>
    </row>
    <row r="3423" spans="60:63" ht="14.25" x14ac:dyDescent="0.2">
      <c r="BH3423" s="25"/>
      <c r="BI3423" s="25"/>
      <c r="BJ3423" s="25"/>
      <c r="BK3423" s="25"/>
    </row>
    <row r="3424" spans="60:63" ht="14.25" x14ac:dyDescent="0.2">
      <c r="BH3424" s="25"/>
      <c r="BI3424" s="25"/>
      <c r="BJ3424" s="25"/>
      <c r="BK3424" s="25"/>
    </row>
    <row r="3425" spans="60:63" ht="14.25" x14ac:dyDescent="0.2">
      <c r="BH3425" s="25"/>
      <c r="BI3425" s="25"/>
      <c r="BJ3425" s="25"/>
      <c r="BK3425" s="25"/>
    </row>
    <row r="3426" spans="60:63" ht="14.25" x14ac:dyDescent="0.2">
      <c r="BH3426" s="25"/>
      <c r="BI3426" s="25"/>
      <c r="BJ3426" s="25"/>
      <c r="BK3426" s="25"/>
    </row>
    <row r="3427" spans="60:63" ht="14.25" x14ac:dyDescent="0.2">
      <c r="BH3427" s="25"/>
      <c r="BI3427" s="25"/>
      <c r="BJ3427" s="25"/>
      <c r="BK3427" s="25"/>
    </row>
    <row r="3428" spans="60:63" ht="14.25" x14ac:dyDescent="0.2">
      <c r="BH3428" s="25"/>
      <c r="BI3428" s="25"/>
      <c r="BJ3428" s="25"/>
      <c r="BK3428" s="25"/>
    </row>
    <row r="3429" spans="60:63" ht="14.25" x14ac:dyDescent="0.2">
      <c r="BH3429" s="25"/>
      <c r="BI3429" s="25"/>
      <c r="BJ3429" s="25"/>
      <c r="BK3429" s="25"/>
    </row>
    <row r="3430" spans="60:63" ht="14.25" x14ac:dyDescent="0.2">
      <c r="BH3430" s="25"/>
      <c r="BI3430" s="25"/>
      <c r="BJ3430" s="25"/>
      <c r="BK3430" s="25"/>
    </row>
    <row r="3431" spans="60:63" ht="14.25" x14ac:dyDescent="0.2">
      <c r="BH3431" s="25"/>
      <c r="BI3431" s="25"/>
      <c r="BJ3431" s="25"/>
      <c r="BK3431" s="25"/>
    </row>
    <row r="3432" spans="60:63" ht="14.25" x14ac:dyDescent="0.2">
      <c r="BH3432" s="25"/>
      <c r="BI3432" s="25"/>
      <c r="BJ3432" s="25"/>
      <c r="BK3432" s="25"/>
    </row>
    <row r="3433" spans="60:63" ht="14.25" x14ac:dyDescent="0.2">
      <c r="BH3433" s="25"/>
      <c r="BI3433" s="25"/>
      <c r="BJ3433" s="25"/>
      <c r="BK3433" s="25"/>
    </row>
    <row r="3434" spans="60:63" ht="14.25" x14ac:dyDescent="0.2">
      <c r="BH3434" s="25"/>
      <c r="BI3434" s="25"/>
      <c r="BJ3434" s="25"/>
      <c r="BK3434" s="25"/>
    </row>
    <row r="3435" spans="60:63" ht="14.25" x14ac:dyDescent="0.2">
      <c r="BH3435" s="25"/>
      <c r="BI3435" s="25"/>
      <c r="BJ3435" s="25"/>
      <c r="BK3435" s="25"/>
    </row>
    <row r="3436" spans="60:63" ht="14.25" x14ac:dyDescent="0.2">
      <c r="BH3436" s="25"/>
      <c r="BI3436" s="25"/>
      <c r="BJ3436" s="25"/>
      <c r="BK3436" s="25"/>
    </row>
    <row r="3437" spans="60:63" ht="14.25" x14ac:dyDescent="0.2">
      <c r="BH3437" s="25"/>
      <c r="BI3437" s="25"/>
      <c r="BJ3437" s="25"/>
      <c r="BK3437" s="25"/>
    </row>
    <row r="3438" spans="60:63" ht="14.25" x14ac:dyDescent="0.2">
      <c r="BH3438" s="25"/>
      <c r="BI3438" s="25"/>
      <c r="BJ3438" s="25"/>
      <c r="BK3438" s="25"/>
    </row>
    <row r="3439" spans="60:63" ht="14.25" x14ac:dyDescent="0.2">
      <c r="BH3439" s="25"/>
      <c r="BI3439" s="25"/>
      <c r="BJ3439" s="25"/>
      <c r="BK3439" s="25"/>
    </row>
    <row r="3440" spans="60:63" ht="14.25" x14ac:dyDescent="0.2">
      <c r="BH3440" s="25"/>
      <c r="BI3440" s="25"/>
      <c r="BJ3440" s="25"/>
      <c r="BK3440" s="25"/>
    </row>
    <row r="3441" spans="60:63" ht="14.25" x14ac:dyDescent="0.2">
      <c r="BH3441" s="25"/>
      <c r="BI3441" s="25"/>
      <c r="BJ3441" s="25"/>
      <c r="BK3441" s="25"/>
    </row>
    <row r="3442" spans="60:63" ht="14.25" x14ac:dyDescent="0.2">
      <c r="BH3442" s="25"/>
      <c r="BI3442" s="25"/>
      <c r="BJ3442" s="25"/>
      <c r="BK3442" s="25"/>
    </row>
    <row r="3443" spans="60:63" ht="14.25" x14ac:dyDescent="0.2">
      <c r="BH3443" s="25"/>
      <c r="BI3443" s="25"/>
      <c r="BJ3443" s="25"/>
      <c r="BK3443" s="25"/>
    </row>
    <row r="3444" spans="60:63" ht="14.25" x14ac:dyDescent="0.2">
      <c r="BH3444" s="25"/>
      <c r="BI3444" s="25"/>
      <c r="BJ3444" s="25"/>
      <c r="BK3444" s="25"/>
    </row>
    <row r="3445" spans="60:63" ht="14.25" x14ac:dyDescent="0.2">
      <c r="BH3445" s="25"/>
      <c r="BI3445" s="25"/>
      <c r="BJ3445" s="25"/>
      <c r="BK3445" s="25"/>
    </row>
    <row r="3446" spans="60:63" ht="14.25" x14ac:dyDescent="0.2">
      <c r="BH3446" s="25"/>
      <c r="BI3446" s="25"/>
      <c r="BJ3446" s="25"/>
      <c r="BK3446" s="25"/>
    </row>
    <row r="3447" spans="60:63" ht="14.25" x14ac:dyDescent="0.2">
      <c r="BH3447" s="25"/>
      <c r="BI3447" s="25"/>
      <c r="BJ3447" s="25"/>
      <c r="BK3447" s="25"/>
    </row>
    <row r="3448" spans="60:63" ht="14.25" x14ac:dyDescent="0.2">
      <c r="BH3448" s="25"/>
      <c r="BI3448" s="25"/>
      <c r="BJ3448" s="25"/>
      <c r="BK3448" s="25"/>
    </row>
    <row r="3449" spans="60:63" ht="14.25" x14ac:dyDescent="0.2">
      <c r="BH3449" s="25"/>
      <c r="BI3449" s="25"/>
      <c r="BJ3449" s="25"/>
      <c r="BK3449" s="25"/>
    </row>
    <row r="3450" spans="60:63" ht="14.25" x14ac:dyDescent="0.2">
      <c r="BH3450" s="25"/>
      <c r="BI3450" s="25"/>
      <c r="BJ3450" s="25"/>
      <c r="BK3450" s="25"/>
    </row>
    <row r="3451" spans="60:63" ht="14.25" x14ac:dyDescent="0.2">
      <c r="BH3451" s="25"/>
      <c r="BI3451" s="25"/>
      <c r="BJ3451" s="25"/>
      <c r="BK3451" s="25"/>
    </row>
    <row r="3452" spans="60:63" ht="14.25" x14ac:dyDescent="0.2">
      <c r="BH3452" s="25"/>
      <c r="BI3452" s="25"/>
      <c r="BJ3452" s="25"/>
      <c r="BK3452" s="25"/>
    </row>
    <row r="3453" spans="60:63" ht="14.25" x14ac:dyDescent="0.2">
      <c r="BH3453" s="25"/>
      <c r="BI3453" s="25"/>
      <c r="BJ3453" s="25"/>
      <c r="BK3453" s="25"/>
    </row>
    <row r="3454" spans="60:63" ht="14.25" x14ac:dyDescent="0.2">
      <c r="BH3454" s="25"/>
      <c r="BI3454" s="25"/>
      <c r="BJ3454" s="25"/>
      <c r="BK3454" s="25"/>
    </row>
    <row r="3455" spans="60:63" ht="14.25" x14ac:dyDescent="0.2">
      <c r="BH3455" s="25"/>
      <c r="BI3455" s="25"/>
      <c r="BJ3455" s="25"/>
      <c r="BK3455" s="25"/>
    </row>
    <row r="3456" spans="60:63" ht="14.25" x14ac:dyDescent="0.2">
      <c r="BH3456" s="25"/>
      <c r="BI3456" s="25"/>
      <c r="BJ3456" s="25"/>
      <c r="BK3456" s="25"/>
    </row>
    <row r="3457" spans="60:63" ht="14.25" x14ac:dyDescent="0.2">
      <c r="BH3457" s="25"/>
      <c r="BI3457" s="25"/>
      <c r="BJ3457" s="25"/>
      <c r="BK3457" s="25"/>
    </row>
    <row r="3458" spans="60:63" ht="14.25" x14ac:dyDescent="0.2">
      <c r="BH3458" s="25"/>
      <c r="BI3458" s="25"/>
      <c r="BJ3458" s="25"/>
      <c r="BK3458" s="25"/>
    </row>
    <row r="3459" spans="60:63" ht="14.25" x14ac:dyDescent="0.2">
      <c r="BH3459" s="25"/>
      <c r="BI3459" s="25"/>
      <c r="BJ3459" s="25"/>
      <c r="BK3459" s="25"/>
    </row>
    <row r="3460" spans="60:63" ht="14.25" x14ac:dyDescent="0.2">
      <c r="BH3460" s="25"/>
      <c r="BI3460" s="25"/>
      <c r="BJ3460" s="25"/>
      <c r="BK3460" s="25"/>
    </row>
    <row r="3461" spans="60:63" ht="14.25" x14ac:dyDescent="0.2">
      <c r="BH3461" s="25"/>
      <c r="BI3461" s="25"/>
      <c r="BJ3461" s="25"/>
      <c r="BK3461" s="25"/>
    </row>
    <row r="3462" spans="60:63" ht="14.25" x14ac:dyDescent="0.2">
      <c r="BH3462" s="25"/>
      <c r="BI3462" s="25"/>
      <c r="BJ3462" s="25"/>
      <c r="BK3462" s="25"/>
    </row>
    <row r="3463" spans="60:63" ht="14.25" x14ac:dyDescent="0.2">
      <c r="BH3463" s="25"/>
      <c r="BI3463" s="25"/>
      <c r="BJ3463" s="25"/>
      <c r="BK3463" s="25"/>
    </row>
    <row r="3464" spans="60:63" ht="14.25" x14ac:dyDescent="0.2">
      <c r="BH3464" s="25"/>
      <c r="BI3464" s="25"/>
      <c r="BJ3464" s="25"/>
      <c r="BK3464" s="25"/>
    </row>
    <row r="3465" spans="60:63" ht="14.25" x14ac:dyDescent="0.2">
      <c r="BH3465" s="25"/>
      <c r="BI3465" s="25"/>
      <c r="BJ3465" s="25"/>
      <c r="BK3465" s="25"/>
    </row>
    <row r="3466" spans="60:63" ht="14.25" x14ac:dyDescent="0.2">
      <c r="BH3466" s="25"/>
      <c r="BI3466" s="25"/>
      <c r="BJ3466" s="25"/>
      <c r="BK3466" s="25"/>
    </row>
    <row r="3467" spans="60:63" ht="14.25" x14ac:dyDescent="0.2">
      <c r="BH3467" s="25"/>
      <c r="BI3467" s="25"/>
      <c r="BJ3467" s="25"/>
      <c r="BK3467" s="25"/>
    </row>
    <row r="3468" spans="60:63" ht="14.25" x14ac:dyDescent="0.2">
      <c r="BH3468" s="25"/>
      <c r="BI3468" s="25"/>
      <c r="BJ3468" s="25"/>
      <c r="BK3468" s="25"/>
    </row>
    <row r="3469" spans="60:63" ht="14.25" x14ac:dyDescent="0.2">
      <c r="BH3469" s="25"/>
      <c r="BI3469" s="25"/>
      <c r="BJ3469" s="25"/>
      <c r="BK3469" s="25"/>
    </row>
    <row r="3470" spans="60:63" ht="14.25" x14ac:dyDescent="0.2">
      <c r="BH3470" s="25"/>
      <c r="BI3470" s="25"/>
      <c r="BJ3470" s="25"/>
      <c r="BK3470" s="25"/>
    </row>
    <row r="3471" spans="60:63" ht="14.25" x14ac:dyDescent="0.2">
      <c r="BH3471" s="25"/>
      <c r="BI3471" s="25"/>
      <c r="BJ3471" s="25"/>
      <c r="BK3471" s="25"/>
    </row>
    <row r="3472" spans="60:63" ht="14.25" x14ac:dyDescent="0.2">
      <c r="BH3472" s="25"/>
      <c r="BI3472" s="25"/>
      <c r="BJ3472" s="25"/>
      <c r="BK3472" s="25"/>
    </row>
    <row r="3473" spans="60:63" ht="14.25" x14ac:dyDescent="0.2">
      <c r="BH3473" s="25"/>
      <c r="BI3473" s="25"/>
      <c r="BJ3473" s="25"/>
      <c r="BK3473" s="25"/>
    </row>
    <row r="3474" spans="60:63" ht="14.25" x14ac:dyDescent="0.2">
      <c r="BH3474" s="25"/>
      <c r="BI3474" s="25"/>
      <c r="BJ3474" s="25"/>
      <c r="BK3474" s="25"/>
    </row>
    <row r="3475" spans="60:63" ht="14.25" x14ac:dyDescent="0.2">
      <c r="BH3475" s="25"/>
      <c r="BI3475" s="25"/>
      <c r="BJ3475" s="25"/>
      <c r="BK3475" s="25"/>
    </row>
    <row r="3476" spans="60:63" ht="14.25" x14ac:dyDescent="0.2">
      <c r="BH3476" s="25"/>
      <c r="BI3476" s="25"/>
      <c r="BJ3476" s="25"/>
      <c r="BK3476" s="25"/>
    </row>
    <row r="3477" spans="60:63" ht="14.25" x14ac:dyDescent="0.2">
      <c r="BH3477" s="25"/>
      <c r="BI3477" s="25"/>
      <c r="BJ3477" s="25"/>
      <c r="BK3477" s="25"/>
    </row>
    <row r="3478" spans="60:63" ht="14.25" x14ac:dyDescent="0.2">
      <c r="BH3478" s="25"/>
      <c r="BI3478" s="25"/>
      <c r="BJ3478" s="25"/>
      <c r="BK3478" s="25"/>
    </row>
    <row r="3479" spans="60:63" ht="14.25" x14ac:dyDescent="0.2">
      <c r="BH3479" s="25"/>
      <c r="BI3479" s="25"/>
      <c r="BJ3479" s="25"/>
      <c r="BK3479" s="25"/>
    </row>
    <row r="3480" spans="60:63" ht="14.25" x14ac:dyDescent="0.2">
      <c r="BH3480" s="25"/>
      <c r="BI3480" s="25"/>
      <c r="BJ3480" s="25"/>
      <c r="BK3480" s="25"/>
    </row>
    <row r="3481" spans="60:63" ht="14.25" x14ac:dyDescent="0.2">
      <c r="BH3481" s="25"/>
      <c r="BI3481" s="25"/>
      <c r="BJ3481" s="25"/>
      <c r="BK3481" s="25"/>
    </row>
    <row r="3482" spans="60:63" ht="14.25" x14ac:dyDescent="0.2">
      <c r="BH3482" s="25"/>
      <c r="BI3482" s="25"/>
      <c r="BJ3482" s="25"/>
      <c r="BK3482" s="25"/>
    </row>
    <row r="3483" spans="60:63" ht="14.25" x14ac:dyDescent="0.2">
      <c r="BH3483" s="25"/>
      <c r="BI3483" s="25"/>
      <c r="BJ3483" s="25"/>
      <c r="BK3483" s="25"/>
    </row>
    <row r="3484" spans="60:63" ht="14.25" x14ac:dyDescent="0.2">
      <c r="BH3484" s="25"/>
      <c r="BI3484" s="25"/>
      <c r="BJ3484" s="25"/>
      <c r="BK3484" s="25"/>
    </row>
    <row r="3485" spans="60:63" ht="14.25" x14ac:dyDescent="0.2">
      <c r="BH3485" s="25"/>
      <c r="BI3485" s="25"/>
      <c r="BJ3485" s="25"/>
      <c r="BK3485" s="25"/>
    </row>
    <row r="3486" spans="60:63" ht="14.25" x14ac:dyDescent="0.2">
      <c r="BH3486" s="25"/>
      <c r="BI3486" s="25"/>
      <c r="BJ3486" s="25"/>
      <c r="BK3486" s="25"/>
    </row>
    <row r="3487" spans="60:63" ht="14.25" x14ac:dyDescent="0.2">
      <c r="BH3487" s="25"/>
      <c r="BI3487" s="25"/>
      <c r="BJ3487" s="25"/>
      <c r="BK3487" s="25"/>
    </row>
    <row r="3488" spans="60:63" ht="14.25" x14ac:dyDescent="0.2">
      <c r="BH3488" s="25"/>
      <c r="BI3488" s="25"/>
      <c r="BJ3488" s="25"/>
      <c r="BK3488" s="25"/>
    </row>
    <row r="3489" spans="60:63" ht="14.25" x14ac:dyDescent="0.2">
      <c r="BH3489" s="25"/>
      <c r="BI3489" s="25"/>
      <c r="BJ3489" s="25"/>
      <c r="BK3489" s="25"/>
    </row>
    <row r="3490" spans="60:63" ht="14.25" x14ac:dyDescent="0.2">
      <c r="BH3490" s="25"/>
      <c r="BI3490" s="25"/>
      <c r="BJ3490" s="25"/>
      <c r="BK3490" s="25"/>
    </row>
    <row r="3491" spans="60:63" ht="14.25" x14ac:dyDescent="0.2">
      <c r="BH3491" s="25"/>
      <c r="BI3491" s="25"/>
      <c r="BJ3491" s="25"/>
      <c r="BK3491" s="25"/>
    </row>
    <row r="3492" spans="60:63" ht="14.25" x14ac:dyDescent="0.2">
      <c r="BH3492" s="25"/>
      <c r="BI3492" s="25"/>
      <c r="BJ3492" s="25"/>
      <c r="BK3492" s="25"/>
    </row>
    <row r="3493" spans="60:63" ht="14.25" x14ac:dyDescent="0.2">
      <c r="BH3493" s="25"/>
      <c r="BI3493" s="25"/>
      <c r="BJ3493" s="25"/>
      <c r="BK3493" s="25"/>
    </row>
    <row r="3494" spans="60:63" ht="14.25" x14ac:dyDescent="0.2">
      <c r="BH3494" s="25"/>
      <c r="BI3494" s="25"/>
      <c r="BJ3494" s="25"/>
      <c r="BK3494" s="25"/>
    </row>
    <row r="3495" spans="60:63" ht="14.25" x14ac:dyDescent="0.2">
      <c r="BH3495" s="25"/>
      <c r="BI3495" s="25"/>
      <c r="BJ3495" s="25"/>
      <c r="BK3495" s="25"/>
    </row>
    <row r="3496" spans="60:63" ht="14.25" x14ac:dyDescent="0.2">
      <c r="BH3496" s="25"/>
      <c r="BI3496" s="25"/>
      <c r="BJ3496" s="25"/>
      <c r="BK3496" s="25"/>
    </row>
    <row r="3497" spans="60:63" ht="14.25" x14ac:dyDescent="0.2">
      <c r="BH3497" s="25"/>
      <c r="BI3497" s="25"/>
      <c r="BJ3497" s="25"/>
      <c r="BK3497" s="25"/>
    </row>
    <row r="3498" spans="60:63" ht="14.25" x14ac:dyDescent="0.2">
      <c r="BH3498" s="25"/>
      <c r="BI3498" s="25"/>
      <c r="BJ3498" s="25"/>
      <c r="BK3498" s="25"/>
    </row>
    <row r="3499" spans="60:63" ht="14.25" x14ac:dyDescent="0.2">
      <c r="BH3499" s="25"/>
      <c r="BI3499" s="25"/>
      <c r="BJ3499" s="25"/>
      <c r="BK3499" s="25"/>
    </row>
    <row r="3500" spans="60:63" ht="14.25" x14ac:dyDescent="0.2">
      <c r="BH3500" s="25"/>
      <c r="BI3500" s="25"/>
      <c r="BJ3500" s="25"/>
      <c r="BK3500" s="25"/>
    </row>
    <row r="3501" spans="60:63" ht="14.25" x14ac:dyDescent="0.2">
      <c r="BH3501" s="25"/>
      <c r="BI3501" s="25"/>
      <c r="BJ3501" s="25"/>
      <c r="BK3501" s="25"/>
    </row>
    <row r="3502" spans="60:63" ht="14.25" x14ac:dyDescent="0.2">
      <c r="BH3502" s="25"/>
      <c r="BI3502" s="25"/>
      <c r="BJ3502" s="25"/>
      <c r="BK3502" s="25"/>
    </row>
    <row r="3503" spans="60:63" ht="14.25" x14ac:dyDescent="0.2">
      <c r="BH3503" s="25"/>
      <c r="BI3503" s="25"/>
      <c r="BJ3503" s="25"/>
      <c r="BK3503" s="25"/>
    </row>
    <row r="3504" spans="60:63" ht="14.25" x14ac:dyDescent="0.2">
      <c r="BH3504" s="25"/>
      <c r="BI3504" s="25"/>
      <c r="BJ3504" s="25"/>
      <c r="BK3504" s="25"/>
    </row>
    <row r="3505" spans="60:63" ht="14.25" x14ac:dyDescent="0.2">
      <c r="BH3505" s="25"/>
      <c r="BI3505" s="25"/>
      <c r="BJ3505" s="25"/>
      <c r="BK3505" s="25"/>
    </row>
    <row r="3506" spans="60:63" ht="14.25" x14ac:dyDescent="0.2">
      <c r="BH3506" s="25"/>
      <c r="BI3506" s="25"/>
      <c r="BJ3506" s="25"/>
      <c r="BK3506" s="25"/>
    </row>
    <row r="3507" spans="60:63" ht="14.25" x14ac:dyDescent="0.2">
      <c r="BH3507" s="25"/>
      <c r="BI3507" s="25"/>
      <c r="BJ3507" s="25"/>
      <c r="BK3507" s="25"/>
    </row>
    <row r="3508" spans="60:63" ht="14.25" x14ac:dyDescent="0.2">
      <c r="BH3508" s="25"/>
      <c r="BI3508" s="25"/>
      <c r="BJ3508" s="25"/>
      <c r="BK3508" s="25"/>
    </row>
    <row r="3509" spans="60:63" ht="14.25" x14ac:dyDescent="0.2">
      <c r="BH3509" s="25"/>
      <c r="BI3509" s="25"/>
      <c r="BJ3509" s="25"/>
      <c r="BK3509" s="25"/>
    </row>
    <row r="3510" spans="60:63" ht="14.25" x14ac:dyDescent="0.2">
      <c r="BH3510" s="25"/>
      <c r="BI3510" s="25"/>
      <c r="BJ3510" s="25"/>
      <c r="BK3510" s="25"/>
    </row>
    <row r="3511" spans="60:63" ht="14.25" x14ac:dyDescent="0.2">
      <c r="BH3511" s="25"/>
      <c r="BI3511" s="25"/>
      <c r="BJ3511" s="25"/>
      <c r="BK3511" s="25"/>
    </row>
    <row r="3512" spans="60:63" ht="14.25" x14ac:dyDescent="0.2">
      <c r="BH3512" s="25"/>
      <c r="BI3512" s="25"/>
      <c r="BJ3512" s="25"/>
      <c r="BK3512" s="25"/>
    </row>
    <row r="3513" spans="60:63" ht="14.25" x14ac:dyDescent="0.2">
      <c r="BH3513" s="25"/>
      <c r="BI3513" s="25"/>
      <c r="BJ3513" s="25"/>
      <c r="BK3513" s="25"/>
    </row>
    <row r="3514" spans="60:63" ht="14.25" x14ac:dyDescent="0.2">
      <c r="BH3514" s="25"/>
      <c r="BI3514" s="25"/>
      <c r="BJ3514" s="25"/>
      <c r="BK3514" s="25"/>
    </row>
    <row r="3515" spans="60:63" ht="14.25" x14ac:dyDescent="0.2">
      <c r="BH3515" s="25"/>
      <c r="BI3515" s="25"/>
      <c r="BJ3515" s="25"/>
      <c r="BK3515" s="25"/>
    </row>
    <row r="3516" spans="60:63" ht="14.25" x14ac:dyDescent="0.2">
      <c r="BH3516" s="25"/>
      <c r="BI3516" s="25"/>
      <c r="BJ3516" s="25"/>
      <c r="BK3516" s="25"/>
    </row>
    <row r="3517" spans="60:63" ht="14.25" x14ac:dyDescent="0.2">
      <c r="BH3517" s="25"/>
      <c r="BI3517" s="25"/>
      <c r="BJ3517" s="25"/>
      <c r="BK3517" s="25"/>
    </row>
    <row r="3518" spans="60:63" ht="14.25" x14ac:dyDescent="0.2">
      <c r="BH3518" s="25"/>
      <c r="BI3518" s="25"/>
      <c r="BJ3518" s="25"/>
      <c r="BK3518" s="25"/>
    </row>
    <row r="3519" spans="60:63" ht="14.25" x14ac:dyDescent="0.2">
      <c r="BH3519" s="25"/>
      <c r="BI3519" s="25"/>
      <c r="BJ3519" s="25"/>
      <c r="BK3519" s="25"/>
    </row>
    <row r="3520" spans="60:63" ht="14.25" x14ac:dyDescent="0.2">
      <c r="BH3520" s="25"/>
      <c r="BI3520" s="25"/>
      <c r="BJ3520" s="25"/>
      <c r="BK3520" s="25"/>
    </row>
    <row r="3521" spans="60:63" ht="14.25" x14ac:dyDescent="0.2">
      <c r="BH3521" s="25"/>
      <c r="BI3521" s="25"/>
      <c r="BJ3521" s="25"/>
      <c r="BK3521" s="25"/>
    </row>
    <row r="3522" spans="60:63" ht="14.25" x14ac:dyDescent="0.2">
      <c r="BH3522" s="25"/>
      <c r="BI3522" s="25"/>
      <c r="BJ3522" s="25"/>
      <c r="BK3522" s="25"/>
    </row>
    <row r="3523" spans="60:63" ht="14.25" x14ac:dyDescent="0.2">
      <c r="BH3523" s="25"/>
      <c r="BI3523" s="25"/>
      <c r="BJ3523" s="25"/>
      <c r="BK3523" s="25"/>
    </row>
    <row r="3524" spans="60:63" ht="14.25" x14ac:dyDescent="0.2">
      <c r="BH3524" s="25"/>
      <c r="BI3524" s="25"/>
      <c r="BJ3524" s="25"/>
      <c r="BK3524" s="25"/>
    </row>
    <row r="3525" spans="60:63" ht="14.25" x14ac:dyDescent="0.2">
      <c r="BH3525" s="25"/>
      <c r="BI3525" s="25"/>
      <c r="BJ3525" s="25"/>
      <c r="BK3525" s="25"/>
    </row>
    <row r="3526" spans="60:63" ht="14.25" x14ac:dyDescent="0.2">
      <c r="BH3526" s="25"/>
      <c r="BI3526" s="25"/>
      <c r="BJ3526" s="25"/>
      <c r="BK3526" s="25"/>
    </row>
    <row r="3527" spans="60:63" ht="14.25" x14ac:dyDescent="0.2">
      <c r="BH3527" s="25"/>
      <c r="BI3527" s="25"/>
      <c r="BJ3527" s="25"/>
      <c r="BK3527" s="25"/>
    </row>
    <row r="3528" spans="60:63" ht="14.25" x14ac:dyDescent="0.2">
      <c r="BH3528" s="25"/>
      <c r="BI3528" s="25"/>
      <c r="BJ3528" s="25"/>
      <c r="BK3528" s="25"/>
    </row>
    <row r="3529" spans="60:63" ht="14.25" x14ac:dyDescent="0.2">
      <c r="BH3529" s="25"/>
      <c r="BI3529" s="25"/>
      <c r="BJ3529" s="25"/>
      <c r="BK3529" s="25"/>
    </row>
    <row r="3530" spans="60:63" ht="14.25" x14ac:dyDescent="0.2">
      <c r="BH3530" s="25"/>
      <c r="BI3530" s="25"/>
      <c r="BJ3530" s="25"/>
      <c r="BK3530" s="25"/>
    </row>
    <row r="3531" spans="60:63" ht="14.25" x14ac:dyDescent="0.2">
      <c r="BH3531" s="25"/>
      <c r="BI3531" s="25"/>
      <c r="BJ3531" s="25"/>
      <c r="BK3531" s="25"/>
    </row>
    <row r="3532" spans="60:63" ht="14.25" x14ac:dyDescent="0.2">
      <c r="BH3532" s="25"/>
      <c r="BI3532" s="25"/>
      <c r="BJ3532" s="25"/>
      <c r="BK3532" s="25"/>
    </row>
    <row r="3533" spans="60:63" ht="14.25" x14ac:dyDescent="0.2">
      <c r="BH3533" s="25"/>
      <c r="BI3533" s="25"/>
      <c r="BJ3533" s="25"/>
      <c r="BK3533" s="25"/>
    </row>
    <row r="3534" spans="60:63" ht="14.25" x14ac:dyDescent="0.2">
      <c r="BH3534" s="25"/>
      <c r="BI3534" s="25"/>
      <c r="BJ3534" s="25"/>
      <c r="BK3534" s="25"/>
    </row>
    <row r="3535" spans="60:63" ht="14.25" x14ac:dyDescent="0.2">
      <c r="BH3535" s="25"/>
      <c r="BI3535" s="25"/>
      <c r="BJ3535" s="25"/>
      <c r="BK3535" s="25"/>
    </row>
    <row r="3536" spans="60:63" ht="14.25" x14ac:dyDescent="0.2">
      <c r="BH3536" s="25"/>
      <c r="BI3536" s="25"/>
      <c r="BJ3536" s="25"/>
      <c r="BK3536" s="25"/>
    </row>
    <row r="3537" spans="60:63" ht="14.25" x14ac:dyDescent="0.2">
      <c r="BH3537" s="25"/>
      <c r="BI3537" s="25"/>
      <c r="BJ3537" s="25"/>
      <c r="BK3537" s="25"/>
    </row>
    <row r="3538" spans="60:63" ht="14.25" x14ac:dyDescent="0.2">
      <c r="BH3538" s="25"/>
      <c r="BI3538" s="25"/>
      <c r="BJ3538" s="25"/>
      <c r="BK3538" s="25"/>
    </row>
    <row r="3539" spans="60:63" ht="14.25" x14ac:dyDescent="0.2">
      <c r="BH3539" s="25"/>
      <c r="BI3539" s="25"/>
      <c r="BJ3539" s="25"/>
      <c r="BK3539" s="25"/>
    </row>
    <row r="3540" spans="60:63" ht="14.25" x14ac:dyDescent="0.2">
      <c r="BH3540" s="25"/>
      <c r="BI3540" s="25"/>
      <c r="BJ3540" s="25"/>
      <c r="BK3540" s="25"/>
    </row>
    <row r="3541" spans="60:63" ht="14.25" x14ac:dyDescent="0.2">
      <c r="BH3541" s="25"/>
      <c r="BI3541" s="25"/>
      <c r="BJ3541" s="25"/>
      <c r="BK3541" s="25"/>
    </row>
    <row r="3542" spans="60:63" ht="14.25" x14ac:dyDescent="0.2">
      <c r="BH3542" s="25"/>
      <c r="BI3542" s="25"/>
      <c r="BJ3542" s="25"/>
      <c r="BK3542" s="25"/>
    </row>
    <row r="3543" spans="60:63" ht="14.25" x14ac:dyDescent="0.2">
      <c r="BH3543" s="25"/>
      <c r="BI3543" s="25"/>
      <c r="BJ3543" s="25"/>
      <c r="BK3543" s="25"/>
    </row>
    <row r="3544" spans="60:63" ht="14.25" x14ac:dyDescent="0.2">
      <c r="BH3544" s="25"/>
      <c r="BI3544" s="25"/>
      <c r="BJ3544" s="25"/>
      <c r="BK3544" s="25"/>
    </row>
    <row r="3545" spans="60:63" ht="14.25" x14ac:dyDescent="0.2">
      <c r="BH3545" s="25"/>
      <c r="BI3545" s="25"/>
      <c r="BJ3545" s="25"/>
      <c r="BK3545" s="25"/>
    </row>
    <row r="3546" spans="60:63" ht="14.25" x14ac:dyDescent="0.2">
      <c r="BH3546" s="25"/>
      <c r="BI3546" s="25"/>
      <c r="BJ3546" s="25"/>
      <c r="BK3546" s="25"/>
    </row>
    <row r="3547" spans="60:63" ht="14.25" x14ac:dyDescent="0.2">
      <c r="BH3547" s="25"/>
      <c r="BI3547" s="25"/>
      <c r="BJ3547" s="25"/>
      <c r="BK3547" s="25"/>
    </row>
    <row r="3548" spans="60:63" ht="14.25" x14ac:dyDescent="0.2">
      <c r="BH3548" s="25"/>
      <c r="BI3548" s="25"/>
      <c r="BJ3548" s="25"/>
      <c r="BK3548" s="25"/>
    </row>
    <row r="3549" spans="60:63" ht="14.25" x14ac:dyDescent="0.2">
      <c r="BH3549" s="25"/>
      <c r="BI3549" s="25"/>
      <c r="BJ3549" s="25"/>
      <c r="BK3549" s="25"/>
    </row>
    <row r="3550" spans="60:63" ht="14.25" x14ac:dyDescent="0.2">
      <c r="BH3550" s="25"/>
      <c r="BI3550" s="25"/>
      <c r="BJ3550" s="25"/>
      <c r="BK3550" s="25"/>
    </row>
    <row r="3551" spans="60:63" ht="14.25" x14ac:dyDescent="0.2">
      <c r="BH3551" s="25"/>
      <c r="BI3551" s="25"/>
      <c r="BJ3551" s="25"/>
      <c r="BK3551" s="25"/>
    </row>
    <row r="3552" spans="60:63" ht="14.25" x14ac:dyDescent="0.2">
      <c r="BH3552" s="25"/>
      <c r="BI3552" s="25"/>
      <c r="BJ3552" s="25"/>
      <c r="BK3552" s="25"/>
    </row>
    <row r="3553" spans="60:63" ht="14.25" x14ac:dyDescent="0.2">
      <c r="BH3553" s="25"/>
      <c r="BI3553" s="25"/>
      <c r="BJ3553" s="25"/>
      <c r="BK3553" s="25"/>
    </row>
    <row r="3554" spans="60:63" ht="14.25" x14ac:dyDescent="0.2">
      <c r="BH3554" s="25"/>
      <c r="BI3554" s="25"/>
      <c r="BJ3554" s="25"/>
      <c r="BK3554" s="25"/>
    </row>
    <row r="3555" spans="60:63" ht="14.25" x14ac:dyDescent="0.2">
      <c r="BH3555" s="25"/>
      <c r="BI3555" s="25"/>
      <c r="BJ3555" s="25"/>
      <c r="BK3555" s="25"/>
    </row>
    <row r="3556" spans="60:63" ht="14.25" x14ac:dyDescent="0.2">
      <c r="BH3556" s="25"/>
      <c r="BI3556" s="25"/>
      <c r="BJ3556" s="25"/>
      <c r="BK3556" s="25"/>
    </row>
    <row r="3557" spans="60:63" ht="14.25" x14ac:dyDescent="0.2">
      <c r="BH3557" s="25"/>
      <c r="BI3557" s="25"/>
      <c r="BJ3557" s="25"/>
      <c r="BK3557" s="25"/>
    </row>
    <row r="3558" spans="60:63" ht="14.25" x14ac:dyDescent="0.2">
      <c r="BH3558" s="25"/>
      <c r="BI3558" s="25"/>
      <c r="BJ3558" s="25"/>
      <c r="BK3558" s="25"/>
    </row>
    <row r="3559" spans="60:63" ht="14.25" x14ac:dyDescent="0.2">
      <c r="BH3559" s="25"/>
      <c r="BI3559" s="25"/>
      <c r="BJ3559" s="25"/>
      <c r="BK3559" s="25"/>
    </row>
    <row r="3560" spans="60:63" ht="14.25" x14ac:dyDescent="0.2">
      <c r="BH3560" s="25"/>
      <c r="BI3560" s="25"/>
      <c r="BJ3560" s="25"/>
      <c r="BK3560" s="25"/>
    </row>
    <row r="3561" spans="60:63" ht="14.25" x14ac:dyDescent="0.2">
      <c r="BH3561" s="25"/>
      <c r="BI3561" s="25"/>
      <c r="BJ3561" s="25"/>
      <c r="BK3561" s="25"/>
    </row>
    <row r="3562" spans="60:63" ht="14.25" x14ac:dyDescent="0.2">
      <c r="BH3562" s="25"/>
      <c r="BI3562" s="25"/>
      <c r="BJ3562" s="25"/>
      <c r="BK3562" s="25"/>
    </row>
    <row r="3563" spans="60:63" ht="14.25" x14ac:dyDescent="0.2">
      <c r="BH3563" s="25"/>
      <c r="BI3563" s="25"/>
      <c r="BJ3563" s="25"/>
      <c r="BK3563" s="25"/>
    </row>
    <row r="3564" spans="60:63" ht="14.25" x14ac:dyDescent="0.2">
      <c r="BH3564" s="25"/>
      <c r="BI3564" s="25"/>
      <c r="BJ3564" s="25"/>
      <c r="BK3564" s="25"/>
    </row>
    <row r="3565" spans="60:63" ht="14.25" x14ac:dyDescent="0.2">
      <c r="BH3565" s="25"/>
      <c r="BI3565" s="25"/>
      <c r="BJ3565" s="25"/>
      <c r="BK3565" s="25"/>
    </row>
    <row r="3566" spans="60:63" ht="14.25" x14ac:dyDescent="0.2">
      <c r="BH3566" s="25"/>
      <c r="BI3566" s="25"/>
      <c r="BJ3566" s="25"/>
      <c r="BK3566" s="25"/>
    </row>
    <row r="3567" spans="60:63" ht="14.25" x14ac:dyDescent="0.2">
      <c r="BH3567" s="25"/>
      <c r="BI3567" s="25"/>
      <c r="BJ3567" s="25"/>
      <c r="BK3567" s="25"/>
    </row>
    <row r="3568" spans="60:63" ht="14.25" x14ac:dyDescent="0.2">
      <c r="BH3568" s="25"/>
      <c r="BI3568" s="25"/>
      <c r="BJ3568" s="25"/>
      <c r="BK3568" s="25"/>
    </row>
    <row r="3569" spans="60:63" ht="14.25" x14ac:dyDescent="0.2">
      <c r="BH3569" s="25"/>
      <c r="BI3569" s="25"/>
      <c r="BJ3569" s="25"/>
      <c r="BK3569" s="25"/>
    </row>
    <row r="3570" spans="60:63" ht="14.25" x14ac:dyDescent="0.2">
      <c r="BH3570" s="25"/>
      <c r="BI3570" s="25"/>
      <c r="BJ3570" s="25"/>
      <c r="BK3570" s="25"/>
    </row>
    <row r="3571" spans="60:63" ht="14.25" x14ac:dyDescent="0.2">
      <c r="BH3571" s="25"/>
      <c r="BI3571" s="25"/>
      <c r="BJ3571" s="25"/>
      <c r="BK3571" s="25"/>
    </row>
    <row r="3572" spans="60:63" ht="14.25" x14ac:dyDescent="0.2">
      <c r="BH3572" s="25"/>
      <c r="BI3572" s="25"/>
      <c r="BJ3572" s="25"/>
      <c r="BK3572" s="25"/>
    </row>
    <row r="3573" spans="60:63" ht="14.25" x14ac:dyDescent="0.2">
      <c r="BH3573" s="25"/>
      <c r="BI3573" s="25"/>
      <c r="BJ3573" s="25"/>
      <c r="BK3573" s="25"/>
    </row>
    <row r="3574" spans="60:63" ht="14.25" x14ac:dyDescent="0.2">
      <c r="BH3574" s="25"/>
      <c r="BI3574" s="25"/>
      <c r="BJ3574" s="25"/>
      <c r="BK3574" s="25"/>
    </row>
    <row r="3575" spans="60:63" ht="14.25" x14ac:dyDescent="0.2">
      <c r="BH3575" s="25"/>
      <c r="BI3575" s="25"/>
      <c r="BJ3575" s="25"/>
      <c r="BK3575" s="25"/>
    </row>
    <row r="3576" spans="60:63" ht="14.25" x14ac:dyDescent="0.2">
      <c r="BH3576" s="25"/>
      <c r="BI3576" s="25"/>
      <c r="BJ3576" s="25"/>
      <c r="BK3576" s="25"/>
    </row>
    <row r="3577" spans="60:63" ht="14.25" x14ac:dyDescent="0.2">
      <c r="BH3577" s="25"/>
      <c r="BI3577" s="25"/>
      <c r="BJ3577" s="25"/>
      <c r="BK3577" s="25"/>
    </row>
    <row r="3578" spans="60:63" ht="14.25" x14ac:dyDescent="0.2">
      <c r="BH3578" s="25"/>
      <c r="BI3578" s="25"/>
      <c r="BJ3578" s="25"/>
      <c r="BK3578" s="25"/>
    </row>
    <row r="3579" spans="60:63" ht="14.25" x14ac:dyDescent="0.2">
      <c r="BH3579" s="25"/>
      <c r="BI3579" s="25"/>
      <c r="BJ3579" s="25"/>
      <c r="BK3579" s="25"/>
    </row>
    <row r="3580" spans="60:63" ht="14.25" x14ac:dyDescent="0.2">
      <c r="BH3580" s="25"/>
      <c r="BI3580" s="25"/>
      <c r="BJ3580" s="25"/>
      <c r="BK3580" s="25"/>
    </row>
    <row r="3581" spans="60:63" ht="14.25" x14ac:dyDescent="0.2">
      <c r="BH3581" s="25"/>
      <c r="BI3581" s="25"/>
      <c r="BJ3581" s="25"/>
      <c r="BK3581" s="25"/>
    </row>
    <row r="3582" spans="60:63" ht="14.25" x14ac:dyDescent="0.2">
      <c r="BH3582" s="25"/>
      <c r="BI3582" s="25"/>
      <c r="BJ3582" s="25"/>
      <c r="BK3582" s="25"/>
    </row>
    <row r="3583" spans="60:63" ht="14.25" x14ac:dyDescent="0.2">
      <c r="BH3583" s="25"/>
      <c r="BI3583" s="25"/>
      <c r="BJ3583" s="25"/>
      <c r="BK3583" s="25"/>
    </row>
    <row r="3584" spans="60:63" ht="14.25" x14ac:dyDescent="0.2">
      <c r="BH3584" s="25"/>
      <c r="BI3584" s="25"/>
      <c r="BJ3584" s="25"/>
      <c r="BK3584" s="25"/>
    </row>
    <row r="3585" spans="60:63" ht="14.25" x14ac:dyDescent="0.2">
      <c r="BH3585" s="25"/>
      <c r="BI3585" s="25"/>
      <c r="BJ3585" s="25"/>
      <c r="BK3585" s="25"/>
    </row>
    <row r="3586" spans="60:63" ht="14.25" x14ac:dyDescent="0.2">
      <c r="BH3586" s="25"/>
      <c r="BI3586" s="25"/>
      <c r="BJ3586" s="25"/>
      <c r="BK3586" s="25"/>
    </row>
    <row r="3587" spans="60:63" ht="14.25" x14ac:dyDescent="0.2">
      <c r="BH3587" s="25"/>
      <c r="BI3587" s="25"/>
      <c r="BJ3587" s="25"/>
      <c r="BK3587" s="25"/>
    </row>
    <row r="3588" spans="60:63" ht="14.25" x14ac:dyDescent="0.2">
      <c r="BH3588" s="25"/>
      <c r="BI3588" s="25"/>
      <c r="BJ3588" s="25"/>
      <c r="BK3588" s="25"/>
    </row>
    <row r="3589" spans="60:63" ht="14.25" x14ac:dyDescent="0.2">
      <c r="BH3589" s="25"/>
      <c r="BI3589" s="25"/>
      <c r="BJ3589" s="25"/>
      <c r="BK3589" s="25"/>
    </row>
    <row r="3590" spans="60:63" ht="14.25" x14ac:dyDescent="0.2">
      <c r="BH3590" s="25"/>
      <c r="BI3590" s="25"/>
      <c r="BJ3590" s="25"/>
      <c r="BK3590" s="25"/>
    </row>
    <row r="3591" spans="60:63" ht="14.25" x14ac:dyDescent="0.2">
      <c r="BH3591" s="25"/>
      <c r="BI3591" s="25"/>
      <c r="BJ3591" s="25"/>
      <c r="BK3591" s="25"/>
    </row>
    <row r="3592" spans="60:63" ht="14.25" x14ac:dyDescent="0.2">
      <c r="BH3592" s="25"/>
      <c r="BI3592" s="25"/>
      <c r="BJ3592" s="25"/>
      <c r="BK3592" s="25"/>
    </row>
    <row r="3593" spans="60:63" ht="14.25" x14ac:dyDescent="0.2">
      <c r="BH3593" s="25"/>
      <c r="BI3593" s="25"/>
      <c r="BJ3593" s="25"/>
      <c r="BK3593" s="25"/>
    </row>
    <row r="3594" spans="60:63" ht="14.25" x14ac:dyDescent="0.2">
      <c r="BH3594" s="25"/>
      <c r="BI3594" s="25"/>
      <c r="BJ3594" s="25"/>
      <c r="BK3594" s="25"/>
    </row>
    <row r="3595" spans="60:63" ht="14.25" x14ac:dyDescent="0.2">
      <c r="BH3595" s="25"/>
      <c r="BI3595" s="25"/>
      <c r="BJ3595" s="25"/>
      <c r="BK3595" s="25"/>
    </row>
    <row r="3596" spans="60:63" ht="14.25" x14ac:dyDescent="0.2">
      <c r="BH3596" s="25"/>
      <c r="BI3596" s="25"/>
      <c r="BJ3596" s="25"/>
      <c r="BK3596" s="25"/>
    </row>
    <row r="3597" spans="60:63" ht="14.25" x14ac:dyDescent="0.2">
      <c r="BH3597" s="25"/>
      <c r="BI3597" s="25"/>
      <c r="BJ3597" s="25"/>
      <c r="BK3597" s="25"/>
    </row>
    <row r="3598" spans="60:63" ht="14.25" x14ac:dyDescent="0.2">
      <c r="BH3598" s="25"/>
      <c r="BI3598" s="25"/>
      <c r="BJ3598" s="25"/>
      <c r="BK3598" s="25"/>
    </row>
    <row r="3599" spans="60:63" ht="14.25" x14ac:dyDescent="0.2">
      <c r="BH3599" s="25"/>
      <c r="BI3599" s="25"/>
      <c r="BJ3599" s="25"/>
      <c r="BK3599" s="25"/>
    </row>
    <row r="3600" spans="60:63" ht="14.25" x14ac:dyDescent="0.2">
      <c r="BH3600" s="25"/>
      <c r="BI3600" s="25"/>
      <c r="BJ3600" s="25"/>
      <c r="BK3600" s="25"/>
    </row>
    <row r="3601" spans="60:63" ht="14.25" x14ac:dyDescent="0.2">
      <c r="BH3601" s="25"/>
      <c r="BI3601" s="25"/>
      <c r="BJ3601" s="25"/>
      <c r="BK3601" s="25"/>
    </row>
    <row r="3602" spans="60:63" ht="14.25" x14ac:dyDescent="0.2">
      <c r="BH3602" s="25"/>
      <c r="BI3602" s="25"/>
      <c r="BJ3602" s="25"/>
      <c r="BK3602" s="25"/>
    </row>
    <row r="3603" spans="60:63" ht="14.25" x14ac:dyDescent="0.2">
      <c r="BH3603" s="25"/>
      <c r="BI3603" s="25"/>
      <c r="BJ3603" s="25"/>
      <c r="BK3603" s="25"/>
    </row>
    <row r="3604" spans="60:63" ht="14.25" x14ac:dyDescent="0.2">
      <c r="BH3604" s="25"/>
      <c r="BI3604" s="25"/>
      <c r="BJ3604" s="25"/>
      <c r="BK3604" s="25"/>
    </row>
    <row r="3605" spans="60:63" ht="14.25" x14ac:dyDescent="0.2">
      <c r="BH3605" s="25"/>
      <c r="BI3605" s="25"/>
      <c r="BJ3605" s="25"/>
      <c r="BK3605" s="25"/>
    </row>
    <row r="3606" spans="60:63" ht="14.25" x14ac:dyDescent="0.2">
      <c r="BH3606" s="25"/>
      <c r="BI3606" s="25"/>
      <c r="BJ3606" s="25"/>
      <c r="BK3606" s="25"/>
    </row>
    <row r="3607" spans="60:63" ht="14.25" x14ac:dyDescent="0.2">
      <c r="BH3607" s="25"/>
      <c r="BI3607" s="25"/>
      <c r="BJ3607" s="25"/>
      <c r="BK3607" s="25"/>
    </row>
    <row r="3608" spans="60:63" ht="14.25" x14ac:dyDescent="0.2">
      <c r="BH3608" s="25"/>
      <c r="BI3608" s="25"/>
      <c r="BJ3608" s="25"/>
      <c r="BK3608" s="25"/>
    </row>
    <row r="3609" spans="60:63" ht="14.25" x14ac:dyDescent="0.2">
      <c r="BH3609" s="25"/>
      <c r="BI3609" s="25"/>
      <c r="BJ3609" s="25"/>
      <c r="BK3609" s="25"/>
    </row>
    <row r="3610" spans="60:63" ht="14.25" x14ac:dyDescent="0.2">
      <c r="BH3610" s="25"/>
      <c r="BI3610" s="25"/>
      <c r="BJ3610" s="25"/>
      <c r="BK3610" s="25"/>
    </row>
    <row r="3611" spans="60:63" ht="14.25" x14ac:dyDescent="0.2">
      <c r="BH3611" s="25"/>
      <c r="BI3611" s="25"/>
      <c r="BJ3611" s="25"/>
      <c r="BK3611" s="25"/>
    </row>
    <row r="3612" spans="60:63" ht="14.25" x14ac:dyDescent="0.2">
      <c r="BH3612" s="25"/>
      <c r="BI3612" s="25"/>
      <c r="BJ3612" s="25"/>
      <c r="BK3612" s="25"/>
    </row>
    <row r="3613" spans="60:63" ht="14.25" x14ac:dyDescent="0.2">
      <c r="BH3613" s="25"/>
      <c r="BI3613" s="25"/>
      <c r="BJ3613" s="25"/>
      <c r="BK3613" s="25"/>
    </row>
    <row r="3614" spans="60:63" ht="14.25" x14ac:dyDescent="0.2">
      <c r="BH3614" s="25"/>
      <c r="BI3614" s="25"/>
      <c r="BJ3614" s="25"/>
      <c r="BK3614" s="25"/>
    </row>
    <row r="3615" spans="60:63" ht="14.25" x14ac:dyDescent="0.2">
      <c r="BH3615" s="25"/>
      <c r="BI3615" s="25"/>
      <c r="BJ3615" s="25"/>
      <c r="BK3615" s="25"/>
    </row>
    <row r="3616" spans="60:63" ht="14.25" x14ac:dyDescent="0.2">
      <c r="BH3616" s="25"/>
      <c r="BI3616" s="25"/>
      <c r="BJ3616" s="25"/>
      <c r="BK3616" s="25"/>
    </row>
    <row r="3617" spans="60:63" ht="14.25" x14ac:dyDescent="0.2">
      <c r="BH3617" s="25"/>
      <c r="BI3617" s="25"/>
      <c r="BJ3617" s="25"/>
      <c r="BK3617" s="25"/>
    </row>
    <row r="3618" spans="60:63" ht="14.25" x14ac:dyDescent="0.2">
      <c r="BH3618" s="25"/>
      <c r="BI3618" s="25"/>
      <c r="BJ3618" s="25"/>
      <c r="BK3618" s="25"/>
    </row>
    <row r="3619" spans="60:63" ht="14.25" x14ac:dyDescent="0.2">
      <c r="BH3619" s="25"/>
      <c r="BI3619" s="25"/>
      <c r="BJ3619" s="25"/>
      <c r="BK3619" s="25"/>
    </row>
    <row r="3620" spans="60:63" ht="14.25" x14ac:dyDescent="0.2">
      <c r="BH3620" s="25"/>
      <c r="BI3620" s="25"/>
      <c r="BJ3620" s="25"/>
      <c r="BK3620" s="25"/>
    </row>
    <row r="3621" spans="60:63" ht="14.25" x14ac:dyDescent="0.2">
      <c r="BH3621" s="25"/>
      <c r="BI3621" s="25"/>
      <c r="BJ3621" s="25"/>
      <c r="BK3621" s="25"/>
    </row>
    <row r="3622" spans="60:63" ht="14.25" x14ac:dyDescent="0.2">
      <c r="BH3622" s="25"/>
      <c r="BI3622" s="25"/>
      <c r="BJ3622" s="25"/>
      <c r="BK3622" s="25"/>
    </row>
    <row r="3623" spans="60:63" ht="14.25" x14ac:dyDescent="0.2">
      <c r="BH3623" s="25"/>
      <c r="BI3623" s="25"/>
      <c r="BJ3623" s="25"/>
      <c r="BK3623" s="25"/>
    </row>
    <row r="3624" spans="60:63" ht="14.25" x14ac:dyDescent="0.2">
      <c r="BH3624" s="25"/>
      <c r="BI3624" s="25"/>
      <c r="BJ3624" s="25"/>
      <c r="BK3624" s="25"/>
    </row>
    <row r="3625" spans="60:63" ht="14.25" x14ac:dyDescent="0.2">
      <c r="BH3625" s="25"/>
      <c r="BI3625" s="25"/>
      <c r="BJ3625" s="25"/>
      <c r="BK3625" s="25"/>
    </row>
    <row r="3626" spans="60:63" ht="14.25" x14ac:dyDescent="0.2">
      <c r="BH3626" s="25"/>
      <c r="BI3626" s="25"/>
      <c r="BJ3626" s="25"/>
      <c r="BK3626" s="25"/>
    </row>
    <row r="3627" spans="60:63" ht="14.25" x14ac:dyDescent="0.2">
      <c r="BH3627" s="25"/>
      <c r="BI3627" s="25"/>
      <c r="BJ3627" s="25"/>
      <c r="BK3627" s="25"/>
    </row>
    <row r="3628" spans="60:63" ht="14.25" x14ac:dyDescent="0.2">
      <c r="BH3628" s="25"/>
      <c r="BI3628" s="25"/>
      <c r="BJ3628" s="25"/>
      <c r="BK3628" s="25"/>
    </row>
    <row r="3629" spans="60:63" ht="14.25" x14ac:dyDescent="0.2">
      <c r="BH3629" s="25"/>
      <c r="BI3629" s="25"/>
      <c r="BJ3629" s="25"/>
      <c r="BK3629" s="25"/>
    </row>
    <row r="3630" spans="60:63" ht="14.25" x14ac:dyDescent="0.2">
      <c r="BH3630" s="25"/>
      <c r="BI3630" s="25"/>
      <c r="BJ3630" s="25"/>
      <c r="BK3630" s="25"/>
    </row>
    <row r="3631" spans="60:63" ht="14.25" x14ac:dyDescent="0.2">
      <c r="BH3631" s="25"/>
      <c r="BI3631" s="25"/>
      <c r="BJ3631" s="25"/>
      <c r="BK3631" s="25"/>
    </row>
    <row r="3632" spans="60:63" ht="14.25" x14ac:dyDescent="0.2">
      <c r="BH3632" s="25"/>
      <c r="BI3632" s="25"/>
      <c r="BJ3632" s="25"/>
      <c r="BK3632" s="25"/>
    </row>
    <row r="3633" spans="60:63" ht="14.25" x14ac:dyDescent="0.2">
      <c r="BH3633" s="25"/>
      <c r="BI3633" s="25"/>
      <c r="BJ3633" s="25"/>
      <c r="BK3633" s="25"/>
    </row>
    <row r="3634" spans="60:63" ht="14.25" x14ac:dyDescent="0.2">
      <c r="BH3634" s="25"/>
      <c r="BI3634" s="25"/>
      <c r="BJ3634" s="25"/>
      <c r="BK3634" s="25"/>
    </row>
    <row r="3635" spans="60:63" ht="14.25" x14ac:dyDescent="0.2">
      <c r="BH3635" s="25"/>
      <c r="BI3635" s="25"/>
      <c r="BJ3635" s="25"/>
      <c r="BK3635" s="25"/>
    </row>
    <row r="3636" spans="60:63" ht="14.25" x14ac:dyDescent="0.2">
      <c r="BH3636" s="25"/>
      <c r="BI3636" s="25"/>
      <c r="BJ3636" s="25"/>
      <c r="BK3636" s="25"/>
    </row>
    <row r="3637" spans="60:63" ht="14.25" x14ac:dyDescent="0.2">
      <c r="BH3637" s="25"/>
      <c r="BI3637" s="25"/>
      <c r="BJ3637" s="25"/>
      <c r="BK3637" s="25"/>
    </row>
    <row r="3638" spans="60:63" ht="14.25" x14ac:dyDescent="0.2">
      <c r="BH3638" s="25"/>
      <c r="BI3638" s="25"/>
      <c r="BJ3638" s="25"/>
      <c r="BK3638" s="25"/>
    </row>
    <row r="3639" spans="60:63" ht="14.25" x14ac:dyDescent="0.2">
      <c r="BH3639" s="25"/>
      <c r="BI3639" s="25"/>
      <c r="BJ3639" s="25"/>
      <c r="BK3639" s="25"/>
    </row>
    <row r="3640" spans="60:63" ht="14.25" x14ac:dyDescent="0.2">
      <c r="BH3640" s="25"/>
      <c r="BI3640" s="25"/>
      <c r="BJ3640" s="25"/>
      <c r="BK3640" s="25"/>
    </row>
    <row r="3641" spans="60:63" ht="14.25" x14ac:dyDescent="0.2">
      <c r="BH3641" s="25"/>
      <c r="BI3641" s="25"/>
      <c r="BJ3641" s="25"/>
      <c r="BK3641" s="25"/>
    </row>
    <row r="3642" spans="60:63" ht="14.25" x14ac:dyDescent="0.2">
      <c r="BH3642" s="25"/>
      <c r="BI3642" s="25"/>
      <c r="BJ3642" s="25"/>
      <c r="BK3642" s="25"/>
    </row>
    <row r="3643" spans="60:63" ht="14.25" x14ac:dyDescent="0.2">
      <c r="BH3643" s="25"/>
      <c r="BI3643" s="25"/>
      <c r="BJ3643" s="25"/>
      <c r="BK3643" s="25"/>
    </row>
    <row r="3644" spans="60:63" ht="14.25" x14ac:dyDescent="0.2">
      <c r="BH3644" s="25"/>
      <c r="BI3644" s="25"/>
      <c r="BJ3644" s="25"/>
      <c r="BK3644" s="25"/>
    </row>
    <row r="3645" spans="60:63" ht="14.25" x14ac:dyDescent="0.2">
      <c r="BH3645" s="25"/>
      <c r="BI3645" s="25"/>
      <c r="BJ3645" s="25"/>
      <c r="BK3645" s="25"/>
    </row>
    <row r="3646" spans="60:63" ht="14.25" x14ac:dyDescent="0.2">
      <c r="BH3646" s="25"/>
      <c r="BI3646" s="25"/>
      <c r="BJ3646" s="25"/>
      <c r="BK3646" s="25"/>
    </row>
    <row r="3647" spans="60:63" ht="14.25" x14ac:dyDescent="0.2">
      <c r="BH3647" s="25"/>
      <c r="BI3647" s="25"/>
      <c r="BJ3647" s="25"/>
      <c r="BK3647" s="25"/>
    </row>
    <row r="3648" spans="60:63" ht="14.25" x14ac:dyDescent="0.2">
      <c r="BH3648" s="25"/>
      <c r="BI3648" s="25"/>
      <c r="BJ3648" s="25"/>
      <c r="BK3648" s="25"/>
    </row>
    <row r="3649" spans="60:63" ht="14.25" x14ac:dyDescent="0.2">
      <c r="BH3649" s="25"/>
      <c r="BI3649" s="25"/>
      <c r="BJ3649" s="25"/>
      <c r="BK3649" s="25"/>
    </row>
    <row r="3650" spans="60:63" ht="14.25" x14ac:dyDescent="0.2">
      <c r="BH3650" s="25"/>
      <c r="BI3650" s="25"/>
      <c r="BJ3650" s="25"/>
      <c r="BK3650" s="25"/>
    </row>
    <row r="3651" spans="60:63" ht="14.25" x14ac:dyDescent="0.2">
      <c r="BH3651" s="25"/>
      <c r="BI3651" s="25"/>
      <c r="BJ3651" s="25"/>
      <c r="BK3651" s="25"/>
    </row>
    <row r="3652" spans="60:63" ht="14.25" x14ac:dyDescent="0.2">
      <c r="BH3652" s="25"/>
      <c r="BI3652" s="25"/>
      <c r="BJ3652" s="25"/>
      <c r="BK3652" s="25"/>
    </row>
    <row r="3653" spans="60:63" ht="14.25" x14ac:dyDescent="0.2">
      <c r="BH3653" s="25"/>
      <c r="BI3653" s="25"/>
      <c r="BJ3653" s="25"/>
      <c r="BK3653" s="25"/>
    </row>
    <row r="3654" spans="60:63" ht="14.25" x14ac:dyDescent="0.2">
      <c r="BH3654" s="25"/>
      <c r="BI3654" s="25"/>
      <c r="BJ3654" s="25"/>
      <c r="BK3654" s="25"/>
    </row>
    <row r="3655" spans="60:63" ht="14.25" x14ac:dyDescent="0.2">
      <c r="BH3655" s="25"/>
      <c r="BI3655" s="25"/>
      <c r="BJ3655" s="25"/>
      <c r="BK3655" s="25"/>
    </row>
    <row r="3656" spans="60:63" ht="14.25" x14ac:dyDescent="0.2">
      <c r="BH3656" s="25"/>
      <c r="BI3656" s="25"/>
      <c r="BJ3656" s="25"/>
      <c r="BK3656" s="25"/>
    </row>
    <row r="3657" spans="60:63" ht="14.25" x14ac:dyDescent="0.2">
      <c r="BH3657" s="25"/>
      <c r="BI3657" s="25"/>
      <c r="BJ3657" s="25"/>
      <c r="BK3657" s="25"/>
    </row>
    <row r="3658" spans="60:63" ht="14.25" x14ac:dyDescent="0.2">
      <c r="BH3658" s="25"/>
      <c r="BI3658" s="25"/>
      <c r="BJ3658" s="25"/>
      <c r="BK3658" s="25"/>
    </row>
    <row r="3659" spans="60:63" ht="14.25" x14ac:dyDescent="0.2">
      <c r="BH3659" s="25"/>
      <c r="BI3659" s="25"/>
      <c r="BJ3659" s="25"/>
      <c r="BK3659" s="25"/>
    </row>
    <row r="3660" spans="60:63" ht="14.25" x14ac:dyDescent="0.2">
      <c r="BH3660" s="25"/>
      <c r="BI3660" s="25"/>
      <c r="BJ3660" s="25"/>
      <c r="BK3660" s="25"/>
    </row>
    <row r="3661" spans="60:63" ht="14.25" x14ac:dyDescent="0.2">
      <c r="BH3661" s="25"/>
      <c r="BI3661" s="25"/>
      <c r="BJ3661" s="25"/>
      <c r="BK3661" s="25"/>
    </row>
    <row r="3662" spans="60:63" ht="14.25" x14ac:dyDescent="0.2">
      <c r="BH3662" s="25"/>
      <c r="BI3662" s="25"/>
      <c r="BJ3662" s="25"/>
      <c r="BK3662" s="25"/>
    </row>
    <row r="3663" spans="60:63" ht="14.25" x14ac:dyDescent="0.2">
      <c r="BH3663" s="25"/>
      <c r="BI3663" s="25"/>
      <c r="BJ3663" s="25"/>
      <c r="BK3663" s="25"/>
    </row>
    <row r="3664" spans="60:63" ht="14.25" x14ac:dyDescent="0.2">
      <c r="BH3664" s="25"/>
      <c r="BI3664" s="25"/>
      <c r="BJ3664" s="25"/>
      <c r="BK3664" s="25"/>
    </row>
    <row r="3665" spans="60:63" ht="14.25" x14ac:dyDescent="0.2">
      <c r="BH3665" s="25"/>
      <c r="BI3665" s="25"/>
      <c r="BJ3665" s="25"/>
      <c r="BK3665" s="25"/>
    </row>
    <row r="3666" spans="60:63" ht="14.25" x14ac:dyDescent="0.2">
      <c r="BH3666" s="25"/>
      <c r="BI3666" s="25"/>
      <c r="BJ3666" s="25"/>
      <c r="BK3666" s="25"/>
    </row>
    <row r="3667" spans="60:63" ht="14.25" x14ac:dyDescent="0.2">
      <c r="BH3667" s="25"/>
      <c r="BI3667" s="25"/>
      <c r="BJ3667" s="25"/>
      <c r="BK3667" s="25"/>
    </row>
    <row r="3668" spans="60:63" ht="14.25" x14ac:dyDescent="0.2">
      <c r="BH3668" s="25"/>
      <c r="BI3668" s="25"/>
      <c r="BJ3668" s="25"/>
      <c r="BK3668" s="25"/>
    </row>
    <row r="3669" spans="60:63" ht="14.25" x14ac:dyDescent="0.2">
      <c r="BH3669" s="25"/>
      <c r="BI3669" s="25"/>
      <c r="BJ3669" s="25"/>
      <c r="BK3669" s="25"/>
    </row>
    <row r="3670" spans="60:63" ht="14.25" x14ac:dyDescent="0.2">
      <c r="BH3670" s="25"/>
      <c r="BI3670" s="25"/>
      <c r="BJ3670" s="25"/>
      <c r="BK3670" s="25"/>
    </row>
    <row r="3671" spans="60:63" ht="14.25" x14ac:dyDescent="0.2">
      <c r="BH3671" s="25"/>
      <c r="BI3671" s="25"/>
      <c r="BJ3671" s="25"/>
      <c r="BK3671" s="25"/>
    </row>
    <row r="3672" spans="60:63" ht="14.25" x14ac:dyDescent="0.2">
      <c r="BH3672" s="25"/>
      <c r="BI3672" s="25"/>
      <c r="BJ3672" s="25"/>
      <c r="BK3672" s="25"/>
    </row>
    <row r="3673" spans="60:63" ht="14.25" x14ac:dyDescent="0.2">
      <c r="BH3673" s="25"/>
      <c r="BI3673" s="25"/>
      <c r="BJ3673" s="25"/>
      <c r="BK3673" s="25"/>
    </row>
    <row r="3674" spans="60:63" ht="14.25" x14ac:dyDescent="0.2">
      <c r="BH3674" s="25"/>
      <c r="BI3674" s="25"/>
      <c r="BJ3674" s="25"/>
      <c r="BK3674" s="25"/>
    </row>
    <row r="3675" spans="60:63" ht="14.25" x14ac:dyDescent="0.2">
      <c r="BH3675" s="25"/>
      <c r="BI3675" s="25"/>
      <c r="BJ3675" s="25"/>
      <c r="BK3675" s="25"/>
    </row>
    <row r="3676" spans="60:63" ht="14.25" x14ac:dyDescent="0.2">
      <c r="BH3676" s="25"/>
      <c r="BI3676" s="25"/>
      <c r="BJ3676" s="25"/>
      <c r="BK3676" s="25"/>
    </row>
    <row r="3677" spans="60:63" ht="14.25" x14ac:dyDescent="0.2">
      <c r="BH3677" s="25"/>
      <c r="BI3677" s="25"/>
      <c r="BJ3677" s="25"/>
      <c r="BK3677" s="25"/>
    </row>
    <row r="3678" spans="60:63" ht="14.25" x14ac:dyDescent="0.2">
      <c r="BH3678" s="25"/>
      <c r="BI3678" s="25"/>
      <c r="BJ3678" s="25"/>
      <c r="BK3678" s="25"/>
    </row>
    <row r="3679" spans="60:63" ht="14.25" x14ac:dyDescent="0.2">
      <c r="BH3679" s="25"/>
      <c r="BI3679" s="25"/>
      <c r="BJ3679" s="25"/>
      <c r="BK3679" s="25"/>
    </row>
    <row r="3680" spans="60:63" ht="14.25" x14ac:dyDescent="0.2">
      <c r="BH3680" s="25"/>
      <c r="BI3680" s="25"/>
      <c r="BJ3680" s="25"/>
      <c r="BK3680" s="25"/>
    </row>
    <row r="3681" spans="60:63" ht="14.25" x14ac:dyDescent="0.2">
      <c r="BH3681" s="25"/>
      <c r="BI3681" s="25"/>
      <c r="BJ3681" s="25"/>
      <c r="BK3681" s="25"/>
    </row>
    <row r="3682" spans="60:63" ht="14.25" x14ac:dyDescent="0.2">
      <c r="BH3682" s="25"/>
      <c r="BI3682" s="25"/>
      <c r="BJ3682" s="25"/>
      <c r="BK3682" s="25"/>
    </row>
    <row r="3683" spans="60:63" ht="14.25" x14ac:dyDescent="0.2">
      <c r="BH3683" s="25"/>
      <c r="BI3683" s="25"/>
      <c r="BJ3683" s="25"/>
      <c r="BK3683" s="25"/>
    </row>
    <row r="3684" spans="60:63" ht="14.25" x14ac:dyDescent="0.2">
      <c r="BH3684" s="25"/>
      <c r="BI3684" s="25"/>
      <c r="BJ3684" s="25"/>
      <c r="BK3684" s="25"/>
    </row>
    <row r="3685" spans="60:63" ht="14.25" x14ac:dyDescent="0.2">
      <c r="BH3685" s="25"/>
      <c r="BI3685" s="25"/>
      <c r="BJ3685" s="25"/>
      <c r="BK3685" s="25"/>
    </row>
    <row r="3686" spans="60:63" ht="14.25" x14ac:dyDescent="0.2">
      <c r="BH3686" s="25"/>
      <c r="BI3686" s="25"/>
      <c r="BJ3686" s="25"/>
      <c r="BK3686" s="25"/>
    </row>
    <row r="3687" spans="60:63" ht="14.25" x14ac:dyDescent="0.2">
      <c r="BH3687" s="25"/>
      <c r="BI3687" s="25"/>
      <c r="BJ3687" s="25"/>
      <c r="BK3687" s="25"/>
    </row>
    <row r="3688" spans="60:63" ht="14.25" x14ac:dyDescent="0.2">
      <c r="BH3688" s="25"/>
      <c r="BI3688" s="25"/>
      <c r="BJ3688" s="25"/>
      <c r="BK3688" s="25"/>
    </row>
    <row r="3689" spans="60:63" ht="14.25" x14ac:dyDescent="0.2">
      <c r="BH3689" s="25"/>
      <c r="BI3689" s="25"/>
      <c r="BJ3689" s="25"/>
      <c r="BK3689" s="25"/>
    </row>
    <row r="3690" spans="60:63" ht="14.25" x14ac:dyDescent="0.2">
      <c r="BH3690" s="25"/>
      <c r="BI3690" s="25"/>
      <c r="BJ3690" s="25"/>
      <c r="BK3690" s="25"/>
    </row>
    <row r="3691" spans="60:63" ht="14.25" x14ac:dyDescent="0.2">
      <c r="BH3691" s="25"/>
      <c r="BI3691" s="25"/>
      <c r="BJ3691" s="25"/>
      <c r="BK3691" s="25"/>
    </row>
    <row r="3692" spans="60:63" ht="14.25" x14ac:dyDescent="0.2">
      <c r="BH3692" s="25"/>
      <c r="BI3692" s="25"/>
      <c r="BJ3692" s="25"/>
      <c r="BK3692" s="25"/>
    </row>
    <row r="3693" spans="60:63" ht="14.25" x14ac:dyDescent="0.2">
      <c r="BH3693" s="25"/>
      <c r="BI3693" s="25"/>
      <c r="BJ3693" s="25"/>
      <c r="BK3693" s="25"/>
    </row>
    <row r="3694" spans="60:63" ht="14.25" x14ac:dyDescent="0.2">
      <c r="BH3694" s="25"/>
      <c r="BI3694" s="25"/>
      <c r="BJ3694" s="25"/>
      <c r="BK3694" s="25"/>
    </row>
    <row r="3695" spans="60:63" ht="14.25" x14ac:dyDescent="0.2">
      <c r="BH3695" s="25"/>
      <c r="BI3695" s="25"/>
      <c r="BJ3695" s="25"/>
      <c r="BK3695" s="25"/>
    </row>
    <row r="3696" spans="60:63" ht="14.25" x14ac:dyDescent="0.2">
      <c r="BH3696" s="25"/>
      <c r="BI3696" s="25"/>
      <c r="BJ3696" s="25"/>
      <c r="BK3696" s="25"/>
    </row>
    <row r="3697" spans="60:63" ht="14.25" x14ac:dyDescent="0.2">
      <c r="BH3697" s="25"/>
      <c r="BI3697" s="25"/>
      <c r="BJ3697" s="25"/>
      <c r="BK3697" s="25"/>
    </row>
    <row r="3698" spans="60:63" ht="14.25" x14ac:dyDescent="0.2">
      <c r="BH3698" s="25"/>
      <c r="BI3698" s="25"/>
      <c r="BJ3698" s="25"/>
      <c r="BK3698" s="25"/>
    </row>
    <row r="3699" spans="60:63" ht="14.25" x14ac:dyDescent="0.2">
      <c r="BH3699" s="25"/>
      <c r="BI3699" s="25"/>
      <c r="BJ3699" s="25"/>
      <c r="BK3699" s="25"/>
    </row>
    <row r="3700" spans="60:63" ht="14.25" x14ac:dyDescent="0.2">
      <c r="BH3700" s="25"/>
      <c r="BI3700" s="25"/>
      <c r="BJ3700" s="25"/>
      <c r="BK3700" s="25"/>
    </row>
    <row r="3701" spans="60:63" ht="14.25" x14ac:dyDescent="0.2">
      <c r="BH3701" s="25"/>
      <c r="BI3701" s="25"/>
      <c r="BJ3701" s="25"/>
      <c r="BK3701" s="25"/>
    </row>
    <row r="3702" spans="60:63" ht="14.25" x14ac:dyDescent="0.2">
      <c r="BH3702" s="25"/>
      <c r="BI3702" s="25"/>
      <c r="BJ3702" s="25"/>
      <c r="BK3702" s="25"/>
    </row>
    <row r="3703" spans="60:63" ht="14.25" x14ac:dyDescent="0.2">
      <c r="BH3703" s="25"/>
      <c r="BI3703" s="25"/>
      <c r="BJ3703" s="25"/>
      <c r="BK3703" s="25"/>
    </row>
    <row r="3704" spans="60:63" ht="14.25" x14ac:dyDescent="0.2">
      <c r="BH3704" s="25"/>
      <c r="BI3704" s="25"/>
      <c r="BJ3704" s="25"/>
      <c r="BK3704" s="25"/>
    </row>
    <row r="3705" spans="60:63" ht="14.25" x14ac:dyDescent="0.2">
      <c r="BH3705" s="25"/>
      <c r="BI3705" s="25"/>
      <c r="BJ3705" s="25"/>
      <c r="BK3705" s="25"/>
    </row>
    <row r="3706" spans="60:63" ht="14.25" x14ac:dyDescent="0.2">
      <c r="BH3706" s="25"/>
      <c r="BI3706" s="25"/>
      <c r="BJ3706" s="25"/>
      <c r="BK3706" s="25"/>
    </row>
    <row r="3707" spans="60:63" ht="14.25" x14ac:dyDescent="0.2">
      <c r="BH3707" s="25"/>
      <c r="BI3707" s="25"/>
      <c r="BJ3707" s="25"/>
      <c r="BK3707" s="25"/>
    </row>
    <row r="3708" spans="60:63" ht="14.25" x14ac:dyDescent="0.2">
      <c r="BH3708" s="25"/>
      <c r="BI3708" s="25"/>
      <c r="BJ3708" s="25"/>
      <c r="BK3708" s="25"/>
    </row>
    <row r="3709" spans="60:63" ht="14.25" x14ac:dyDescent="0.2">
      <c r="BH3709" s="25"/>
      <c r="BI3709" s="25"/>
      <c r="BJ3709" s="25"/>
      <c r="BK3709" s="25"/>
    </row>
    <row r="3710" spans="60:63" ht="14.25" x14ac:dyDescent="0.2">
      <c r="BH3710" s="25"/>
      <c r="BI3710" s="25"/>
      <c r="BJ3710" s="25"/>
      <c r="BK3710" s="25"/>
    </row>
    <row r="3711" spans="60:63" ht="14.25" x14ac:dyDescent="0.2">
      <c r="BH3711" s="25"/>
      <c r="BI3711" s="25"/>
      <c r="BJ3711" s="25"/>
      <c r="BK3711" s="25"/>
    </row>
    <row r="3712" spans="60:63" ht="14.25" x14ac:dyDescent="0.2">
      <c r="BH3712" s="25"/>
      <c r="BI3712" s="25"/>
      <c r="BJ3712" s="25"/>
      <c r="BK3712" s="25"/>
    </row>
    <row r="3713" spans="60:63" ht="14.25" x14ac:dyDescent="0.2">
      <c r="BH3713" s="25"/>
      <c r="BI3713" s="25"/>
      <c r="BJ3713" s="25"/>
      <c r="BK3713" s="25"/>
    </row>
    <row r="3714" spans="60:63" ht="14.25" x14ac:dyDescent="0.2">
      <c r="BH3714" s="25"/>
      <c r="BI3714" s="25"/>
      <c r="BJ3714" s="25"/>
      <c r="BK3714" s="25"/>
    </row>
    <row r="3715" spans="60:63" ht="14.25" x14ac:dyDescent="0.2">
      <c r="BH3715" s="25"/>
      <c r="BI3715" s="25"/>
      <c r="BJ3715" s="25"/>
      <c r="BK3715" s="25"/>
    </row>
    <row r="3716" spans="60:63" ht="14.25" x14ac:dyDescent="0.2">
      <c r="BH3716" s="25"/>
      <c r="BI3716" s="25"/>
      <c r="BJ3716" s="25"/>
      <c r="BK3716" s="25"/>
    </row>
    <row r="3717" spans="60:63" ht="14.25" x14ac:dyDescent="0.2">
      <c r="BH3717" s="25"/>
      <c r="BI3717" s="25"/>
      <c r="BJ3717" s="25"/>
      <c r="BK3717" s="25"/>
    </row>
    <row r="3718" spans="60:63" ht="14.25" x14ac:dyDescent="0.2">
      <c r="BH3718" s="25"/>
      <c r="BI3718" s="25"/>
      <c r="BJ3718" s="25"/>
      <c r="BK3718" s="25"/>
    </row>
    <row r="3719" spans="60:63" ht="14.25" x14ac:dyDescent="0.2">
      <c r="BH3719" s="25"/>
      <c r="BI3719" s="25"/>
      <c r="BJ3719" s="25"/>
      <c r="BK3719" s="25"/>
    </row>
    <row r="3720" spans="60:63" ht="14.25" x14ac:dyDescent="0.2">
      <c r="BH3720" s="25"/>
      <c r="BI3720" s="25"/>
      <c r="BJ3720" s="25"/>
      <c r="BK3720" s="25"/>
    </row>
    <row r="3721" spans="60:63" ht="14.25" x14ac:dyDescent="0.2">
      <c r="BH3721" s="25"/>
      <c r="BI3721" s="25"/>
      <c r="BJ3721" s="25"/>
      <c r="BK3721" s="25"/>
    </row>
    <row r="3722" spans="60:63" ht="14.25" x14ac:dyDescent="0.2">
      <c r="BH3722" s="25"/>
      <c r="BI3722" s="25"/>
      <c r="BJ3722" s="25"/>
      <c r="BK3722" s="25"/>
    </row>
    <row r="3723" spans="60:63" ht="14.25" x14ac:dyDescent="0.2">
      <c r="BH3723" s="25"/>
      <c r="BI3723" s="25"/>
      <c r="BJ3723" s="25"/>
      <c r="BK3723" s="25"/>
    </row>
    <row r="3724" spans="60:63" ht="14.25" x14ac:dyDescent="0.2">
      <c r="BH3724" s="25"/>
      <c r="BI3724" s="25"/>
      <c r="BJ3724" s="25"/>
      <c r="BK3724" s="25"/>
    </row>
    <row r="3725" spans="60:63" ht="14.25" x14ac:dyDescent="0.2">
      <c r="BH3725" s="25"/>
      <c r="BI3725" s="25"/>
      <c r="BJ3725" s="25"/>
      <c r="BK3725" s="25"/>
    </row>
    <row r="3726" spans="60:63" ht="14.25" x14ac:dyDescent="0.2">
      <c r="BH3726" s="25"/>
      <c r="BI3726" s="25"/>
      <c r="BJ3726" s="25"/>
      <c r="BK3726" s="25"/>
    </row>
    <row r="3727" spans="60:63" ht="14.25" x14ac:dyDescent="0.2">
      <c r="BH3727" s="25"/>
      <c r="BI3727" s="25"/>
      <c r="BJ3727" s="25"/>
      <c r="BK3727" s="25"/>
    </row>
    <row r="3728" spans="60:63" ht="14.25" x14ac:dyDescent="0.2">
      <c r="BH3728" s="25"/>
      <c r="BI3728" s="25"/>
      <c r="BJ3728" s="25"/>
      <c r="BK3728" s="25"/>
    </row>
    <row r="3729" spans="60:63" ht="14.25" x14ac:dyDescent="0.2">
      <c r="BH3729" s="25"/>
      <c r="BI3729" s="25"/>
      <c r="BJ3729" s="25"/>
      <c r="BK3729" s="25"/>
    </row>
    <row r="3730" spans="60:63" ht="14.25" x14ac:dyDescent="0.2">
      <c r="BH3730" s="25"/>
      <c r="BI3730" s="25"/>
      <c r="BJ3730" s="25"/>
      <c r="BK3730" s="25"/>
    </row>
    <row r="3731" spans="60:63" ht="14.25" x14ac:dyDescent="0.2">
      <c r="BH3731" s="25"/>
      <c r="BI3731" s="25"/>
      <c r="BJ3731" s="25"/>
      <c r="BK3731" s="25"/>
    </row>
    <row r="3732" spans="60:63" ht="14.25" x14ac:dyDescent="0.2">
      <c r="BH3732" s="25"/>
      <c r="BI3732" s="25"/>
      <c r="BJ3732" s="25"/>
      <c r="BK3732" s="25"/>
    </row>
    <row r="3733" spans="60:63" ht="14.25" x14ac:dyDescent="0.2">
      <c r="BH3733" s="25"/>
      <c r="BI3733" s="25"/>
      <c r="BJ3733" s="25"/>
      <c r="BK3733" s="25"/>
    </row>
    <row r="3734" spans="60:63" ht="14.25" x14ac:dyDescent="0.2">
      <c r="BH3734" s="25"/>
      <c r="BI3734" s="25"/>
      <c r="BJ3734" s="25"/>
      <c r="BK3734" s="25"/>
    </row>
    <row r="3735" spans="60:63" ht="14.25" x14ac:dyDescent="0.2">
      <c r="BH3735" s="25"/>
      <c r="BI3735" s="25"/>
      <c r="BJ3735" s="25"/>
      <c r="BK3735" s="25"/>
    </row>
    <row r="3736" spans="60:63" ht="14.25" x14ac:dyDescent="0.2">
      <c r="BH3736" s="25"/>
      <c r="BI3736" s="25"/>
      <c r="BJ3736" s="25"/>
      <c r="BK3736" s="25"/>
    </row>
    <row r="3737" spans="60:63" ht="14.25" x14ac:dyDescent="0.2">
      <c r="BH3737" s="25"/>
      <c r="BI3737" s="25"/>
      <c r="BJ3737" s="25"/>
      <c r="BK3737" s="25"/>
    </row>
    <row r="3738" spans="60:63" ht="14.25" x14ac:dyDescent="0.2">
      <c r="BH3738" s="25"/>
      <c r="BI3738" s="25"/>
      <c r="BJ3738" s="25"/>
      <c r="BK3738" s="25"/>
    </row>
    <row r="3739" spans="60:63" ht="14.25" x14ac:dyDescent="0.2">
      <c r="BH3739" s="25"/>
      <c r="BI3739" s="25"/>
      <c r="BJ3739" s="25"/>
      <c r="BK3739" s="25"/>
    </row>
    <row r="3740" spans="60:63" ht="14.25" x14ac:dyDescent="0.2">
      <c r="BH3740" s="25"/>
      <c r="BI3740" s="25"/>
      <c r="BJ3740" s="25"/>
      <c r="BK3740" s="25"/>
    </row>
    <row r="3741" spans="60:63" ht="14.25" x14ac:dyDescent="0.2">
      <c r="BH3741" s="25"/>
      <c r="BI3741" s="25"/>
      <c r="BJ3741" s="25"/>
      <c r="BK3741" s="25"/>
    </row>
    <row r="3742" spans="60:63" ht="14.25" x14ac:dyDescent="0.2">
      <c r="BH3742" s="25"/>
      <c r="BI3742" s="25"/>
      <c r="BJ3742" s="25"/>
      <c r="BK3742" s="25"/>
    </row>
    <row r="3743" spans="60:63" ht="14.25" x14ac:dyDescent="0.2">
      <c r="BH3743" s="25"/>
      <c r="BI3743" s="25"/>
      <c r="BJ3743" s="25"/>
      <c r="BK3743" s="25"/>
    </row>
    <row r="3744" spans="60:63" ht="14.25" x14ac:dyDescent="0.2">
      <c r="BH3744" s="25"/>
      <c r="BI3744" s="25"/>
      <c r="BJ3744" s="25"/>
      <c r="BK3744" s="25"/>
    </row>
    <row r="3745" spans="60:63" ht="14.25" x14ac:dyDescent="0.2">
      <c r="BH3745" s="25"/>
      <c r="BI3745" s="25"/>
      <c r="BJ3745" s="25"/>
      <c r="BK3745" s="25"/>
    </row>
    <row r="3746" spans="60:63" ht="14.25" x14ac:dyDescent="0.2">
      <c r="BH3746" s="25"/>
      <c r="BI3746" s="25"/>
      <c r="BJ3746" s="25"/>
      <c r="BK3746" s="25"/>
    </row>
    <row r="3747" spans="60:63" ht="14.25" x14ac:dyDescent="0.2">
      <c r="BH3747" s="25"/>
      <c r="BI3747" s="25"/>
      <c r="BJ3747" s="25"/>
      <c r="BK3747" s="25"/>
    </row>
    <row r="3748" spans="60:63" ht="14.25" x14ac:dyDescent="0.2">
      <c r="BH3748" s="25"/>
      <c r="BI3748" s="25"/>
      <c r="BJ3748" s="25"/>
      <c r="BK3748" s="25"/>
    </row>
    <row r="3749" spans="60:63" ht="14.25" x14ac:dyDescent="0.2">
      <c r="BH3749" s="25"/>
      <c r="BI3749" s="25"/>
      <c r="BJ3749" s="25"/>
      <c r="BK3749" s="25"/>
    </row>
    <row r="3750" spans="60:63" ht="14.25" x14ac:dyDescent="0.2">
      <c r="BH3750" s="25"/>
      <c r="BI3750" s="25"/>
      <c r="BJ3750" s="25"/>
      <c r="BK3750" s="25"/>
    </row>
    <row r="3751" spans="60:63" ht="14.25" x14ac:dyDescent="0.2">
      <c r="BH3751" s="25"/>
      <c r="BI3751" s="25"/>
      <c r="BJ3751" s="25"/>
      <c r="BK3751" s="25"/>
    </row>
    <row r="3752" spans="60:63" ht="14.25" x14ac:dyDescent="0.2">
      <c r="BH3752" s="25"/>
      <c r="BI3752" s="25"/>
      <c r="BJ3752" s="25"/>
      <c r="BK3752" s="25"/>
    </row>
    <row r="3753" spans="60:63" ht="14.25" x14ac:dyDescent="0.2">
      <c r="BH3753" s="25"/>
      <c r="BI3753" s="25"/>
      <c r="BJ3753" s="25"/>
      <c r="BK3753" s="25"/>
    </row>
    <row r="3754" spans="60:63" ht="14.25" x14ac:dyDescent="0.2">
      <c r="BH3754" s="25"/>
      <c r="BI3754" s="25"/>
      <c r="BJ3754" s="25"/>
      <c r="BK3754" s="25"/>
    </row>
    <row r="3755" spans="60:63" ht="14.25" x14ac:dyDescent="0.2">
      <c r="BH3755" s="25"/>
      <c r="BI3755" s="25"/>
      <c r="BJ3755" s="25"/>
      <c r="BK3755" s="25"/>
    </row>
    <row r="3756" spans="60:63" ht="14.25" x14ac:dyDescent="0.2">
      <c r="BH3756" s="25"/>
      <c r="BI3756" s="25"/>
      <c r="BJ3756" s="25"/>
      <c r="BK3756" s="25"/>
    </row>
    <row r="3757" spans="60:63" ht="14.25" x14ac:dyDescent="0.2">
      <c r="BH3757" s="25"/>
      <c r="BI3757" s="25"/>
      <c r="BJ3757" s="25"/>
      <c r="BK3757" s="25"/>
    </row>
    <row r="3758" spans="60:63" ht="14.25" x14ac:dyDescent="0.2">
      <c r="BH3758" s="25"/>
      <c r="BI3758" s="25"/>
      <c r="BJ3758" s="25"/>
      <c r="BK3758" s="25"/>
    </row>
    <row r="3759" spans="60:63" ht="14.25" x14ac:dyDescent="0.2">
      <c r="BH3759" s="25"/>
      <c r="BI3759" s="25"/>
      <c r="BJ3759" s="25"/>
      <c r="BK3759" s="25"/>
    </row>
    <row r="3760" spans="60:63" ht="14.25" x14ac:dyDescent="0.2">
      <c r="BH3760" s="25"/>
      <c r="BI3760" s="25"/>
      <c r="BJ3760" s="25"/>
      <c r="BK3760" s="25"/>
    </row>
    <row r="3761" spans="60:63" ht="14.25" x14ac:dyDescent="0.2">
      <c r="BH3761" s="25"/>
      <c r="BI3761" s="25"/>
      <c r="BJ3761" s="25"/>
      <c r="BK3761" s="25"/>
    </row>
    <row r="3762" spans="60:63" ht="14.25" x14ac:dyDescent="0.2">
      <c r="BH3762" s="25"/>
      <c r="BI3762" s="25"/>
      <c r="BJ3762" s="25"/>
      <c r="BK3762" s="25"/>
    </row>
    <row r="3763" spans="60:63" ht="14.25" x14ac:dyDescent="0.2">
      <c r="BH3763" s="25"/>
      <c r="BI3763" s="25"/>
      <c r="BJ3763" s="25"/>
      <c r="BK3763" s="25"/>
    </row>
    <row r="3764" spans="60:63" ht="14.25" x14ac:dyDescent="0.2">
      <c r="BH3764" s="25"/>
      <c r="BI3764" s="25"/>
      <c r="BJ3764" s="25"/>
      <c r="BK3764" s="25"/>
    </row>
    <row r="3765" spans="60:63" ht="14.25" x14ac:dyDescent="0.2">
      <c r="BH3765" s="25"/>
      <c r="BI3765" s="25"/>
      <c r="BJ3765" s="25"/>
      <c r="BK3765" s="25"/>
    </row>
    <row r="3766" spans="60:63" ht="14.25" x14ac:dyDescent="0.2">
      <c r="BH3766" s="25"/>
      <c r="BI3766" s="25"/>
      <c r="BJ3766" s="25"/>
      <c r="BK3766" s="25"/>
    </row>
    <row r="3767" spans="60:63" ht="14.25" x14ac:dyDescent="0.2">
      <c r="BH3767" s="25"/>
      <c r="BI3767" s="25"/>
      <c r="BJ3767" s="25"/>
      <c r="BK3767" s="25"/>
    </row>
    <row r="3768" spans="60:63" ht="14.25" x14ac:dyDescent="0.2">
      <c r="BH3768" s="25"/>
      <c r="BI3768" s="25"/>
      <c r="BJ3768" s="25"/>
      <c r="BK3768" s="25"/>
    </row>
    <row r="3769" spans="60:63" ht="14.25" x14ac:dyDescent="0.2">
      <c r="BH3769" s="25"/>
      <c r="BI3769" s="25"/>
      <c r="BJ3769" s="25"/>
      <c r="BK3769" s="25"/>
    </row>
    <row r="3770" spans="60:63" ht="14.25" x14ac:dyDescent="0.2">
      <c r="BH3770" s="25"/>
      <c r="BI3770" s="25"/>
      <c r="BJ3770" s="25"/>
      <c r="BK3770" s="25"/>
    </row>
    <row r="3771" spans="60:63" ht="14.25" x14ac:dyDescent="0.2">
      <c r="BH3771" s="25"/>
      <c r="BI3771" s="25"/>
      <c r="BJ3771" s="25"/>
      <c r="BK3771" s="25"/>
    </row>
    <row r="3772" spans="60:63" ht="14.25" x14ac:dyDescent="0.2">
      <c r="BH3772" s="25"/>
      <c r="BI3772" s="25"/>
      <c r="BJ3772" s="25"/>
      <c r="BK3772" s="25"/>
    </row>
    <row r="3773" spans="60:63" ht="14.25" x14ac:dyDescent="0.2">
      <c r="BH3773" s="25"/>
      <c r="BI3773" s="25"/>
      <c r="BJ3773" s="25"/>
      <c r="BK3773" s="25"/>
    </row>
    <row r="3774" spans="60:63" ht="14.25" x14ac:dyDescent="0.2">
      <c r="BH3774" s="25"/>
      <c r="BI3774" s="25"/>
      <c r="BJ3774" s="25"/>
      <c r="BK3774" s="25"/>
    </row>
    <row r="3775" spans="60:63" ht="14.25" x14ac:dyDescent="0.2">
      <c r="BH3775" s="25"/>
      <c r="BI3775" s="25"/>
      <c r="BJ3775" s="25"/>
      <c r="BK3775" s="25"/>
    </row>
    <row r="3776" spans="60:63" ht="14.25" x14ac:dyDescent="0.2">
      <c r="BH3776" s="25"/>
      <c r="BI3776" s="25"/>
      <c r="BJ3776" s="25"/>
      <c r="BK3776" s="25"/>
    </row>
    <row r="3777" spans="60:63" ht="14.25" x14ac:dyDescent="0.2">
      <c r="BH3777" s="25"/>
      <c r="BI3777" s="25"/>
      <c r="BJ3777" s="25"/>
      <c r="BK3777" s="25"/>
    </row>
    <row r="3778" spans="60:63" ht="14.25" x14ac:dyDescent="0.2">
      <c r="BH3778" s="25"/>
      <c r="BI3778" s="25"/>
      <c r="BJ3778" s="25"/>
      <c r="BK3778" s="25"/>
    </row>
    <row r="3779" spans="60:63" ht="14.25" x14ac:dyDescent="0.2">
      <c r="BH3779" s="25"/>
      <c r="BI3779" s="25"/>
      <c r="BJ3779" s="25"/>
      <c r="BK3779" s="25"/>
    </row>
    <row r="3780" spans="60:63" ht="14.25" x14ac:dyDescent="0.2">
      <c r="BH3780" s="25"/>
      <c r="BI3780" s="25"/>
      <c r="BJ3780" s="25"/>
      <c r="BK3780" s="25"/>
    </row>
    <row r="3781" spans="60:63" ht="14.25" x14ac:dyDescent="0.2">
      <c r="BH3781" s="25"/>
      <c r="BI3781" s="25"/>
      <c r="BJ3781" s="25"/>
      <c r="BK3781" s="25"/>
    </row>
    <row r="3782" spans="60:63" ht="14.25" x14ac:dyDescent="0.2">
      <c r="BH3782" s="25"/>
      <c r="BI3782" s="25"/>
      <c r="BJ3782" s="25"/>
      <c r="BK3782" s="25"/>
    </row>
    <row r="3783" spans="60:63" ht="14.25" x14ac:dyDescent="0.2">
      <c r="BH3783" s="25"/>
      <c r="BI3783" s="25"/>
      <c r="BJ3783" s="25"/>
      <c r="BK3783" s="25"/>
    </row>
    <row r="3784" spans="60:63" ht="14.25" x14ac:dyDescent="0.2">
      <c r="BH3784" s="25"/>
      <c r="BI3784" s="25"/>
      <c r="BJ3784" s="25"/>
      <c r="BK3784" s="25"/>
    </row>
    <row r="3785" spans="60:63" ht="14.25" x14ac:dyDescent="0.2">
      <c r="BH3785" s="25"/>
      <c r="BI3785" s="25"/>
      <c r="BJ3785" s="25"/>
      <c r="BK3785" s="25"/>
    </row>
    <row r="3786" spans="60:63" ht="14.25" x14ac:dyDescent="0.2">
      <c r="BH3786" s="25"/>
      <c r="BI3786" s="25"/>
      <c r="BJ3786" s="25"/>
      <c r="BK3786" s="25"/>
    </row>
    <row r="3787" spans="60:63" ht="14.25" x14ac:dyDescent="0.2">
      <c r="BH3787" s="25"/>
      <c r="BI3787" s="25"/>
      <c r="BJ3787" s="25"/>
      <c r="BK3787" s="25"/>
    </row>
    <row r="3788" spans="60:63" ht="14.25" x14ac:dyDescent="0.2">
      <c r="BH3788" s="25"/>
      <c r="BI3788" s="25"/>
      <c r="BJ3788" s="25"/>
      <c r="BK3788" s="25"/>
    </row>
    <row r="3789" spans="60:63" ht="14.25" x14ac:dyDescent="0.2">
      <c r="BH3789" s="25"/>
      <c r="BI3789" s="25"/>
      <c r="BJ3789" s="25"/>
      <c r="BK3789" s="25"/>
    </row>
    <row r="3790" spans="60:63" ht="14.25" x14ac:dyDescent="0.2">
      <c r="BH3790" s="25"/>
      <c r="BI3790" s="25"/>
      <c r="BJ3790" s="25"/>
      <c r="BK3790" s="25"/>
    </row>
    <row r="3791" spans="60:63" ht="14.25" x14ac:dyDescent="0.2">
      <c r="BH3791" s="25"/>
      <c r="BI3791" s="25"/>
      <c r="BJ3791" s="25"/>
      <c r="BK3791" s="25"/>
    </row>
    <row r="3792" spans="60:63" ht="14.25" x14ac:dyDescent="0.2">
      <c r="BH3792" s="25"/>
      <c r="BI3792" s="25"/>
      <c r="BJ3792" s="25"/>
      <c r="BK3792" s="25"/>
    </row>
    <row r="3793" spans="60:63" ht="14.25" x14ac:dyDescent="0.2">
      <c r="BH3793" s="25"/>
      <c r="BI3793" s="25"/>
      <c r="BJ3793" s="25"/>
      <c r="BK3793" s="25"/>
    </row>
    <row r="3794" spans="60:63" ht="14.25" x14ac:dyDescent="0.2">
      <c r="BH3794" s="25"/>
      <c r="BI3794" s="25"/>
      <c r="BJ3794" s="25"/>
      <c r="BK3794" s="25"/>
    </row>
    <row r="3795" spans="60:63" ht="14.25" x14ac:dyDescent="0.2">
      <c r="BH3795" s="25"/>
      <c r="BI3795" s="25"/>
      <c r="BJ3795" s="25"/>
      <c r="BK3795" s="25"/>
    </row>
    <row r="3796" spans="60:63" ht="14.25" x14ac:dyDescent="0.2">
      <c r="BH3796" s="25"/>
      <c r="BI3796" s="25"/>
      <c r="BJ3796" s="25"/>
      <c r="BK3796" s="25"/>
    </row>
    <row r="3797" spans="60:63" ht="14.25" x14ac:dyDescent="0.2">
      <c r="BH3797" s="25"/>
      <c r="BI3797" s="25"/>
      <c r="BJ3797" s="25"/>
      <c r="BK3797" s="25"/>
    </row>
    <row r="3798" spans="60:63" ht="14.25" x14ac:dyDescent="0.2">
      <c r="BH3798" s="25"/>
      <c r="BI3798" s="25"/>
      <c r="BJ3798" s="25"/>
      <c r="BK3798" s="25"/>
    </row>
    <row r="3799" spans="60:63" ht="14.25" x14ac:dyDescent="0.2">
      <c r="BH3799" s="25"/>
      <c r="BI3799" s="25"/>
      <c r="BJ3799" s="25"/>
      <c r="BK3799" s="25"/>
    </row>
    <row r="3800" spans="60:63" ht="14.25" x14ac:dyDescent="0.2">
      <c r="BH3800" s="25"/>
      <c r="BI3800" s="25"/>
      <c r="BJ3800" s="25"/>
      <c r="BK3800" s="25"/>
    </row>
    <row r="3801" spans="60:63" ht="14.25" x14ac:dyDescent="0.2">
      <c r="BH3801" s="25"/>
      <c r="BI3801" s="25"/>
      <c r="BJ3801" s="25"/>
      <c r="BK3801" s="25"/>
    </row>
    <row r="3802" spans="60:63" ht="14.25" x14ac:dyDescent="0.2">
      <c r="BH3802" s="25"/>
      <c r="BI3802" s="25"/>
      <c r="BJ3802" s="25"/>
      <c r="BK3802" s="25"/>
    </row>
    <row r="3803" spans="60:63" ht="14.25" x14ac:dyDescent="0.2">
      <c r="BH3803" s="25"/>
      <c r="BI3803" s="25"/>
      <c r="BJ3803" s="25"/>
      <c r="BK3803" s="25"/>
    </row>
    <row r="3804" spans="60:63" ht="14.25" x14ac:dyDescent="0.2">
      <c r="BH3804" s="25"/>
      <c r="BI3804" s="25"/>
      <c r="BJ3804" s="25"/>
      <c r="BK3804" s="25"/>
    </row>
    <row r="3805" spans="60:63" ht="14.25" x14ac:dyDescent="0.2">
      <c r="BH3805" s="25"/>
      <c r="BI3805" s="25"/>
      <c r="BJ3805" s="25"/>
      <c r="BK3805" s="25"/>
    </row>
    <row r="3806" spans="60:63" ht="14.25" x14ac:dyDescent="0.2">
      <c r="BH3806" s="25"/>
      <c r="BI3806" s="25"/>
      <c r="BJ3806" s="25"/>
      <c r="BK3806" s="25"/>
    </row>
    <row r="3807" spans="60:63" ht="14.25" x14ac:dyDescent="0.2">
      <c r="BH3807" s="25"/>
      <c r="BI3807" s="25"/>
      <c r="BJ3807" s="25"/>
      <c r="BK3807" s="25"/>
    </row>
    <row r="3808" spans="60:63" ht="14.25" x14ac:dyDescent="0.2">
      <c r="BH3808" s="25"/>
      <c r="BI3808" s="25"/>
      <c r="BJ3808" s="25"/>
      <c r="BK3808" s="25"/>
    </row>
    <row r="3809" spans="60:63" ht="14.25" x14ac:dyDescent="0.2">
      <c r="BH3809" s="25"/>
      <c r="BI3809" s="25"/>
      <c r="BJ3809" s="25"/>
      <c r="BK3809" s="25"/>
    </row>
    <row r="3810" spans="60:63" ht="14.25" x14ac:dyDescent="0.2">
      <c r="BH3810" s="25"/>
      <c r="BI3810" s="25"/>
      <c r="BJ3810" s="25"/>
      <c r="BK3810" s="25"/>
    </row>
    <row r="3811" spans="60:63" ht="14.25" x14ac:dyDescent="0.2">
      <c r="BH3811" s="25"/>
      <c r="BI3811" s="25"/>
      <c r="BJ3811" s="25"/>
      <c r="BK3811" s="25"/>
    </row>
    <row r="3812" spans="60:63" ht="14.25" x14ac:dyDescent="0.2">
      <c r="BH3812" s="25"/>
      <c r="BI3812" s="25"/>
      <c r="BJ3812" s="25"/>
      <c r="BK3812" s="25"/>
    </row>
    <row r="3813" spans="60:63" ht="14.25" x14ac:dyDescent="0.2">
      <c r="BH3813" s="25"/>
      <c r="BI3813" s="25"/>
      <c r="BJ3813" s="25"/>
      <c r="BK3813" s="25"/>
    </row>
    <row r="3814" spans="60:63" ht="14.25" x14ac:dyDescent="0.2">
      <c r="BH3814" s="25"/>
      <c r="BI3814" s="25"/>
      <c r="BJ3814" s="25"/>
      <c r="BK3814" s="25"/>
    </row>
    <row r="3815" spans="60:63" ht="14.25" x14ac:dyDescent="0.2">
      <c r="BH3815" s="25"/>
      <c r="BI3815" s="25"/>
      <c r="BJ3815" s="25"/>
      <c r="BK3815" s="25"/>
    </row>
    <row r="3816" spans="60:63" ht="14.25" x14ac:dyDescent="0.2">
      <c r="BH3816" s="25"/>
      <c r="BI3816" s="25"/>
      <c r="BJ3816" s="25"/>
      <c r="BK3816" s="25"/>
    </row>
    <row r="3817" spans="60:63" ht="14.25" x14ac:dyDescent="0.2">
      <c r="BH3817" s="25"/>
      <c r="BI3817" s="25"/>
      <c r="BJ3817" s="25"/>
      <c r="BK3817" s="25"/>
    </row>
    <row r="3818" spans="60:63" ht="14.25" x14ac:dyDescent="0.2">
      <c r="BH3818" s="25"/>
      <c r="BI3818" s="25"/>
      <c r="BJ3818" s="25"/>
      <c r="BK3818" s="25"/>
    </row>
    <row r="3819" spans="60:63" ht="14.25" x14ac:dyDescent="0.2">
      <c r="BH3819" s="25"/>
      <c r="BI3819" s="25"/>
      <c r="BJ3819" s="25"/>
      <c r="BK3819" s="25"/>
    </row>
    <row r="3820" spans="60:63" ht="14.25" x14ac:dyDescent="0.2">
      <c r="BH3820" s="25"/>
      <c r="BI3820" s="25"/>
      <c r="BJ3820" s="25"/>
      <c r="BK3820" s="25"/>
    </row>
    <row r="3821" spans="60:63" ht="14.25" x14ac:dyDescent="0.2">
      <c r="BH3821" s="25"/>
      <c r="BI3821" s="25"/>
      <c r="BJ3821" s="25"/>
      <c r="BK3821" s="25"/>
    </row>
    <row r="3822" spans="60:63" ht="14.25" x14ac:dyDescent="0.2">
      <c r="BH3822" s="25"/>
      <c r="BI3822" s="25"/>
      <c r="BJ3822" s="25"/>
      <c r="BK3822" s="25"/>
    </row>
    <row r="3823" spans="60:63" ht="14.25" x14ac:dyDescent="0.2">
      <c r="BH3823" s="25"/>
      <c r="BI3823" s="25"/>
      <c r="BJ3823" s="25"/>
      <c r="BK3823" s="25"/>
    </row>
    <row r="3824" spans="60:63" ht="14.25" x14ac:dyDescent="0.2">
      <c r="BH3824" s="25"/>
      <c r="BI3824" s="25"/>
      <c r="BJ3824" s="25"/>
      <c r="BK3824" s="25"/>
    </row>
    <row r="3825" spans="60:63" ht="14.25" x14ac:dyDescent="0.2">
      <c r="BH3825" s="25"/>
      <c r="BI3825" s="25"/>
      <c r="BJ3825" s="25"/>
      <c r="BK3825" s="25"/>
    </row>
    <row r="3826" spans="60:63" ht="14.25" x14ac:dyDescent="0.2">
      <c r="BH3826" s="25"/>
      <c r="BI3826" s="25"/>
      <c r="BJ3826" s="25"/>
      <c r="BK3826" s="25"/>
    </row>
    <row r="3827" spans="60:63" ht="14.25" x14ac:dyDescent="0.2">
      <c r="BH3827" s="25"/>
      <c r="BI3827" s="25"/>
      <c r="BJ3827" s="25"/>
      <c r="BK3827" s="25"/>
    </row>
    <row r="3828" spans="60:63" ht="14.25" x14ac:dyDescent="0.2">
      <c r="BH3828" s="25"/>
      <c r="BI3828" s="25"/>
      <c r="BJ3828" s="25"/>
      <c r="BK3828" s="25"/>
    </row>
    <row r="3829" spans="60:63" ht="14.25" x14ac:dyDescent="0.2">
      <c r="BH3829" s="25"/>
      <c r="BI3829" s="25"/>
      <c r="BJ3829" s="25"/>
      <c r="BK3829" s="25"/>
    </row>
    <row r="3830" spans="60:63" ht="14.25" x14ac:dyDescent="0.2">
      <c r="BH3830" s="25"/>
      <c r="BI3830" s="25"/>
      <c r="BJ3830" s="25"/>
      <c r="BK3830" s="25"/>
    </row>
    <row r="3831" spans="60:63" ht="14.25" x14ac:dyDescent="0.2">
      <c r="BH3831" s="25"/>
      <c r="BI3831" s="25"/>
      <c r="BJ3831" s="25"/>
      <c r="BK3831" s="25"/>
    </row>
    <row r="3832" spans="60:63" ht="14.25" x14ac:dyDescent="0.2">
      <c r="BH3832" s="25"/>
      <c r="BI3832" s="25"/>
      <c r="BJ3832" s="25"/>
      <c r="BK3832" s="25"/>
    </row>
    <row r="3833" spans="60:63" ht="14.25" x14ac:dyDescent="0.2">
      <c r="BH3833" s="25"/>
      <c r="BI3833" s="25"/>
      <c r="BJ3833" s="25"/>
      <c r="BK3833" s="25"/>
    </row>
    <row r="3834" spans="60:63" ht="14.25" x14ac:dyDescent="0.2">
      <c r="BH3834" s="25"/>
      <c r="BI3834" s="25"/>
      <c r="BJ3834" s="25"/>
      <c r="BK3834" s="25"/>
    </row>
    <row r="3835" spans="60:63" ht="14.25" x14ac:dyDescent="0.2">
      <c r="BH3835" s="25"/>
      <c r="BI3835" s="25"/>
      <c r="BJ3835" s="25"/>
      <c r="BK3835" s="25"/>
    </row>
    <row r="3836" spans="60:63" ht="14.25" x14ac:dyDescent="0.2">
      <c r="BH3836" s="25"/>
      <c r="BI3836" s="25"/>
      <c r="BJ3836" s="25"/>
      <c r="BK3836" s="25"/>
    </row>
    <row r="3837" spans="60:63" ht="14.25" x14ac:dyDescent="0.2">
      <c r="BH3837" s="25"/>
      <c r="BI3837" s="25"/>
      <c r="BJ3837" s="25"/>
      <c r="BK3837" s="25"/>
    </row>
    <row r="3838" spans="60:63" ht="14.25" x14ac:dyDescent="0.2">
      <c r="BH3838" s="25"/>
      <c r="BI3838" s="25"/>
      <c r="BJ3838" s="25"/>
      <c r="BK3838" s="25"/>
    </row>
    <row r="3839" spans="60:63" ht="14.25" x14ac:dyDescent="0.2">
      <c r="BH3839" s="25"/>
      <c r="BI3839" s="25"/>
      <c r="BJ3839" s="25"/>
      <c r="BK3839" s="25"/>
    </row>
    <row r="3840" spans="60:63" ht="14.25" x14ac:dyDescent="0.2">
      <c r="BH3840" s="25"/>
      <c r="BI3840" s="25"/>
      <c r="BJ3840" s="25"/>
      <c r="BK3840" s="25"/>
    </row>
    <row r="3841" spans="60:63" ht="14.25" x14ac:dyDescent="0.2">
      <c r="BH3841" s="25"/>
      <c r="BI3841" s="25"/>
      <c r="BJ3841" s="25"/>
      <c r="BK3841" s="25"/>
    </row>
    <row r="3842" spans="60:63" ht="14.25" x14ac:dyDescent="0.2">
      <c r="BH3842" s="25"/>
      <c r="BI3842" s="25"/>
      <c r="BJ3842" s="25"/>
      <c r="BK3842" s="25"/>
    </row>
    <row r="3843" spans="60:63" ht="14.25" x14ac:dyDescent="0.2">
      <c r="BH3843" s="25"/>
      <c r="BI3843" s="25"/>
      <c r="BJ3843" s="25"/>
      <c r="BK3843" s="25"/>
    </row>
    <row r="3844" spans="60:63" ht="14.25" x14ac:dyDescent="0.2">
      <c r="BH3844" s="25"/>
      <c r="BI3844" s="25"/>
      <c r="BJ3844" s="25"/>
      <c r="BK3844" s="25"/>
    </row>
    <row r="3845" spans="60:63" ht="14.25" x14ac:dyDescent="0.2">
      <c r="BH3845" s="25"/>
      <c r="BI3845" s="25"/>
      <c r="BJ3845" s="25"/>
      <c r="BK3845" s="25"/>
    </row>
    <row r="3846" spans="60:63" ht="14.25" x14ac:dyDescent="0.2">
      <c r="BH3846" s="25"/>
      <c r="BI3846" s="25"/>
      <c r="BJ3846" s="25"/>
      <c r="BK3846" s="25"/>
    </row>
    <row r="3847" spans="60:63" ht="14.25" x14ac:dyDescent="0.2">
      <c r="BH3847" s="25"/>
      <c r="BI3847" s="25"/>
      <c r="BJ3847" s="25"/>
      <c r="BK3847" s="25"/>
    </row>
    <row r="3848" spans="60:63" ht="14.25" x14ac:dyDescent="0.2">
      <c r="BH3848" s="25"/>
      <c r="BI3848" s="25"/>
      <c r="BJ3848" s="25"/>
      <c r="BK3848" s="25"/>
    </row>
    <row r="3849" spans="60:63" ht="14.25" x14ac:dyDescent="0.2">
      <c r="BH3849" s="25"/>
      <c r="BI3849" s="25"/>
      <c r="BJ3849" s="25"/>
      <c r="BK3849" s="25"/>
    </row>
    <row r="3850" spans="60:63" ht="14.25" x14ac:dyDescent="0.2">
      <c r="BH3850" s="25"/>
      <c r="BI3850" s="25"/>
      <c r="BJ3850" s="25"/>
      <c r="BK3850" s="25"/>
    </row>
    <row r="3851" spans="60:63" ht="14.25" x14ac:dyDescent="0.2">
      <c r="BH3851" s="25"/>
      <c r="BI3851" s="25"/>
      <c r="BJ3851" s="25"/>
      <c r="BK3851" s="25"/>
    </row>
    <row r="3852" spans="60:63" ht="14.25" x14ac:dyDescent="0.2">
      <c r="BH3852" s="25"/>
      <c r="BI3852" s="25"/>
      <c r="BJ3852" s="25"/>
      <c r="BK3852" s="25"/>
    </row>
    <row r="3853" spans="60:63" ht="14.25" x14ac:dyDescent="0.2">
      <c r="BH3853" s="25"/>
      <c r="BI3853" s="25"/>
      <c r="BJ3853" s="25"/>
      <c r="BK3853" s="25"/>
    </row>
    <row r="3854" spans="60:63" ht="14.25" x14ac:dyDescent="0.2">
      <c r="BH3854" s="25"/>
      <c r="BI3854" s="25"/>
      <c r="BJ3854" s="25"/>
      <c r="BK3854" s="25"/>
    </row>
    <row r="3855" spans="60:63" ht="14.25" x14ac:dyDescent="0.2">
      <c r="BH3855" s="25"/>
      <c r="BI3855" s="25"/>
      <c r="BJ3855" s="25"/>
      <c r="BK3855" s="25"/>
    </row>
    <row r="3856" spans="60:63" ht="14.25" x14ac:dyDescent="0.2">
      <c r="BH3856" s="25"/>
      <c r="BI3856" s="25"/>
      <c r="BJ3856" s="25"/>
      <c r="BK3856" s="25"/>
    </row>
    <row r="3857" spans="60:63" ht="14.25" x14ac:dyDescent="0.2">
      <c r="BH3857" s="25"/>
      <c r="BI3857" s="25"/>
      <c r="BJ3857" s="25"/>
      <c r="BK3857" s="25"/>
    </row>
    <row r="3858" spans="60:63" ht="14.25" x14ac:dyDescent="0.2">
      <c r="BH3858" s="25"/>
      <c r="BI3858" s="25"/>
      <c r="BJ3858" s="25"/>
      <c r="BK3858" s="25"/>
    </row>
    <row r="3859" spans="60:63" ht="14.25" x14ac:dyDescent="0.2">
      <c r="BH3859" s="25"/>
      <c r="BI3859" s="25"/>
      <c r="BJ3859" s="25"/>
      <c r="BK3859" s="25"/>
    </row>
    <row r="3860" spans="60:63" ht="14.25" x14ac:dyDescent="0.2">
      <c r="BH3860" s="25"/>
      <c r="BI3860" s="25"/>
      <c r="BJ3860" s="25"/>
      <c r="BK3860" s="25"/>
    </row>
    <row r="3861" spans="60:63" ht="14.25" x14ac:dyDescent="0.2">
      <c r="BH3861" s="25"/>
      <c r="BI3861" s="25"/>
      <c r="BJ3861" s="25"/>
      <c r="BK3861" s="25"/>
    </row>
    <row r="3862" spans="60:63" ht="14.25" x14ac:dyDescent="0.2">
      <c r="BH3862" s="25"/>
      <c r="BI3862" s="25"/>
      <c r="BJ3862" s="25"/>
      <c r="BK3862" s="25"/>
    </row>
    <row r="3863" spans="60:63" ht="14.25" x14ac:dyDescent="0.2">
      <c r="BH3863" s="25"/>
      <c r="BI3863" s="25"/>
      <c r="BJ3863" s="25"/>
      <c r="BK3863" s="25"/>
    </row>
    <row r="3864" spans="60:63" ht="14.25" x14ac:dyDescent="0.2">
      <c r="BH3864" s="25"/>
      <c r="BI3864" s="25"/>
      <c r="BJ3864" s="25"/>
      <c r="BK3864" s="25"/>
    </row>
    <row r="3865" spans="60:63" ht="14.25" x14ac:dyDescent="0.2">
      <c r="BH3865" s="25"/>
      <c r="BI3865" s="25"/>
      <c r="BJ3865" s="25"/>
      <c r="BK3865" s="25"/>
    </row>
    <row r="3866" spans="60:63" ht="14.25" x14ac:dyDescent="0.2">
      <c r="BH3866" s="25"/>
      <c r="BI3866" s="25"/>
      <c r="BJ3866" s="25"/>
      <c r="BK3866" s="25"/>
    </row>
    <row r="3867" spans="60:63" ht="14.25" x14ac:dyDescent="0.2">
      <c r="BH3867" s="25"/>
      <c r="BI3867" s="25"/>
      <c r="BJ3867" s="25"/>
      <c r="BK3867" s="25"/>
    </row>
    <row r="3868" spans="60:63" ht="14.25" x14ac:dyDescent="0.2">
      <c r="BH3868" s="25"/>
      <c r="BI3868" s="25"/>
      <c r="BJ3868" s="25"/>
      <c r="BK3868" s="25"/>
    </row>
    <row r="3869" spans="60:63" ht="14.25" x14ac:dyDescent="0.2">
      <c r="BH3869" s="25"/>
      <c r="BI3869" s="25"/>
      <c r="BJ3869" s="25"/>
      <c r="BK3869" s="25"/>
    </row>
    <row r="3870" spans="60:63" ht="14.25" x14ac:dyDescent="0.2">
      <c r="BH3870" s="25"/>
      <c r="BI3870" s="25"/>
      <c r="BJ3870" s="25"/>
      <c r="BK3870" s="25"/>
    </row>
    <row r="3871" spans="60:63" ht="14.25" x14ac:dyDescent="0.2">
      <c r="BH3871" s="25"/>
      <c r="BI3871" s="25"/>
      <c r="BJ3871" s="25"/>
      <c r="BK3871" s="25"/>
    </row>
    <row r="3872" spans="60:63" ht="14.25" x14ac:dyDescent="0.2">
      <c r="BH3872" s="25"/>
      <c r="BI3872" s="25"/>
      <c r="BJ3872" s="25"/>
      <c r="BK3872" s="25"/>
    </row>
    <row r="3873" spans="60:63" ht="14.25" x14ac:dyDescent="0.2">
      <c r="BH3873" s="25"/>
      <c r="BI3873" s="25"/>
      <c r="BJ3873" s="25"/>
      <c r="BK3873" s="25"/>
    </row>
    <row r="3874" spans="60:63" ht="14.25" x14ac:dyDescent="0.2">
      <c r="BH3874" s="25"/>
      <c r="BI3874" s="25"/>
      <c r="BJ3874" s="25"/>
      <c r="BK3874" s="25"/>
    </row>
    <row r="3875" spans="60:63" ht="14.25" x14ac:dyDescent="0.2">
      <c r="BH3875" s="25"/>
      <c r="BI3875" s="25"/>
      <c r="BJ3875" s="25"/>
      <c r="BK3875" s="25"/>
    </row>
    <row r="3876" spans="60:63" ht="14.25" x14ac:dyDescent="0.2">
      <c r="BH3876" s="25"/>
      <c r="BI3876" s="25"/>
      <c r="BJ3876" s="25"/>
      <c r="BK3876" s="25"/>
    </row>
    <row r="3877" spans="60:63" ht="14.25" x14ac:dyDescent="0.2">
      <c r="BH3877" s="25"/>
      <c r="BI3877" s="25"/>
      <c r="BJ3877" s="25"/>
      <c r="BK3877" s="25"/>
    </row>
    <row r="3878" spans="60:63" ht="14.25" x14ac:dyDescent="0.2">
      <c r="BH3878" s="25"/>
      <c r="BI3878" s="25"/>
      <c r="BJ3878" s="25"/>
      <c r="BK3878" s="25"/>
    </row>
    <row r="3879" spans="60:63" ht="14.25" x14ac:dyDescent="0.2">
      <c r="BH3879" s="25"/>
      <c r="BI3879" s="25"/>
      <c r="BJ3879" s="25"/>
      <c r="BK3879" s="25"/>
    </row>
    <row r="3880" spans="60:63" ht="14.25" x14ac:dyDescent="0.2">
      <c r="BH3880" s="25"/>
      <c r="BI3880" s="25"/>
      <c r="BJ3880" s="25"/>
      <c r="BK3880" s="25"/>
    </row>
    <row r="3881" spans="60:63" ht="14.25" x14ac:dyDescent="0.2">
      <c r="BH3881" s="25"/>
      <c r="BI3881" s="25"/>
      <c r="BJ3881" s="25"/>
      <c r="BK3881" s="25"/>
    </row>
    <row r="3882" spans="60:63" ht="14.25" x14ac:dyDescent="0.2">
      <c r="BH3882" s="25"/>
      <c r="BI3882" s="25"/>
      <c r="BJ3882" s="25"/>
      <c r="BK3882" s="25"/>
    </row>
    <row r="3883" spans="60:63" ht="14.25" x14ac:dyDescent="0.2">
      <c r="BH3883" s="25"/>
      <c r="BI3883" s="25"/>
      <c r="BJ3883" s="25"/>
      <c r="BK3883" s="25"/>
    </row>
    <row r="3884" spans="60:63" ht="14.25" x14ac:dyDescent="0.2">
      <c r="BH3884" s="25"/>
      <c r="BI3884" s="25"/>
      <c r="BJ3884" s="25"/>
      <c r="BK3884" s="25"/>
    </row>
    <row r="3885" spans="60:63" ht="14.25" x14ac:dyDescent="0.2">
      <c r="BH3885" s="25"/>
      <c r="BI3885" s="25"/>
      <c r="BJ3885" s="25"/>
      <c r="BK3885" s="25"/>
    </row>
    <row r="3886" spans="60:63" ht="14.25" x14ac:dyDescent="0.2">
      <c r="BH3886" s="25"/>
      <c r="BI3886" s="25"/>
      <c r="BJ3886" s="25"/>
      <c r="BK3886" s="25"/>
    </row>
    <row r="3887" spans="60:63" ht="14.25" x14ac:dyDescent="0.2">
      <c r="BH3887" s="25"/>
      <c r="BI3887" s="25"/>
      <c r="BJ3887" s="25"/>
      <c r="BK3887" s="25"/>
    </row>
    <row r="3888" spans="60:63" ht="14.25" x14ac:dyDescent="0.2">
      <c r="BH3888" s="25"/>
      <c r="BI3888" s="25"/>
      <c r="BJ3888" s="25"/>
      <c r="BK3888" s="25"/>
    </row>
    <row r="3889" spans="60:63" ht="14.25" x14ac:dyDescent="0.2">
      <c r="BH3889" s="25"/>
      <c r="BI3889" s="25"/>
      <c r="BJ3889" s="25"/>
      <c r="BK3889" s="25"/>
    </row>
    <row r="3890" spans="60:63" ht="14.25" x14ac:dyDescent="0.2">
      <c r="BH3890" s="25"/>
      <c r="BI3890" s="25"/>
      <c r="BJ3890" s="25"/>
      <c r="BK3890" s="25"/>
    </row>
    <row r="3891" spans="60:63" ht="14.25" x14ac:dyDescent="0.2">
      <c r="BH3891" s="25"/>
      <c r="BI3891" s="25"/>
      <c r="BJ3891" s="25"/>
      <c r="BK3891" s="25"/>
    </row>
    <row r="3892" spans="60:63" ht="14.25" x14ac:dyDescent="0.2">
      <c r="BH3892" s="25"/>
      <c r="BI3892" s="25"/>
      <c r="BJ3892" s="25"/>
      <c r="BK3892" s="25"/>
    </row>
    <row r="3893" spans="60:63" ht="14.25" x14ac:dyDescent="0.2">
      <c r="BH3893" s="25"/>
      <c r="BI3893" s="25"/>
      <c r="BJ3893" s="25"/>
      <c r="BK3893" s="25"/>
    </row>
    <row r="3894" spans="60:63" ht="14.25" x14ac:dyDescent="0.2">
      <c r="BH3894" s="25"/>
      <c r="BI3894" s="25"/>
      <c r="BJ3894" s="25"/>
      <c r="BK3894" s="25"/>
    </row>
    <row r="3895" spans="60:63" ht="14.25" x14ac:dyDescent="0.2">
      <c r="BH3895" s="25"/>
      <c r="BI3895" s="25"/>
      <c r="BJ3895" s="25"/>
      <c r="BK3895" s="25"/>
    </row>
    <row r="3896" spans="60:63" ht="14.25" x14ac:dyDescent="0.2">
      <c r="BH3896" s="25"/>
      <c r="BI3896" s="25"/>
      <c r="BJ3896" s="25"/>
      <c r="BK3896" s="25"/>
    </row>
    <row r="3897" spans="60:63" ht="14.25" x14ac:dyDescent="0.2">
      <c r="BH3897" s="25"/>
      <c r="BI3897" s="25"/>
      <c r="BJ3897" s="25"/>
      <c r="BK3897" s="25"/>
    </row>
    <row r="3898" spans="60:63" ht="14.25" x14ac:dyDescent="0.2">
      <c r="BH3898" s="25"/>
      <c r="BI3898" s="25"/>
      <c r="BJ3898" s="25"/>
      <c r="BK3898" s="25"/>
    </row>
    <row r="3899" spans="60:63" ht="14.25" x14ac:dyDescent="0.2">
      <c r="BH3899" s="25"/>
      <c r="BI3899" s="25"/>
      <c r="BJ3899" s="25"/>
      <c r="BK3899" s="25"/>
    </row>
    <row r="3900" spans="60:63" ht="14.25" x14ac:dyDescent="0.2">
      <c r="BH3900" s="25"/>
      <c r="BI3900" s="25"/>
      <c r="BJ3900" s="25"/>
      <c r="BK3900" s="25"/>
    </row>
    <row r="3901" spans="60:63" ht="14.25" x14ac:dyDescent="0.2">
      <c r="BH3901" s="25"/>
      <c r="BI3901" s="25"/>
      <c r="BJ3901" s="25"/>
      <c r="BK3901" s="25"/>
    </row>
    <row r="3902" spans="60:63" ht="14.25" x14ac:dyDescent="0.2">
      <c r="BH3902" s="25"/>
      <c r="BI3902" s="25"/>
      <c r="BJ3902" s="25"/>
      <c r="BK3902" s="25"/>
    </row>
    <row r="3903" spans="60:63" ht="14.25" x14ac:dyDescent="0.2">
      <c r="BH3903" s="25"/>
      <c r="BI3903" s="25"/>
      <c r="BJ3903" s="25"/>
      <c r="BK3903" s="25"/>
    </row>
    <row r="3904" spans="60:63" ht="14.25" x14ac:dyDescent="0.2">
      <c r="BH3904" s="25"/>
      <c r="BI3904" s="25"/>
      <c r="BJ3904" s="25"/>
      <c r="BK3904" s="25"/>
    </row>
    <row r="3905" spans="60:63" ht="14.25" x14ac:dyDescent="0.2">
      <c r="BH3905" s="25"/>
      <c r="BI3905" s="25"/>
      <c r="BJ3905" s="25"/>
      <c r="BK3905" s="25"/>
    </row>
    <row r="3906" spans="60:63" ht="14.25" x14ac:dyDescent="0.2">
      <c r="BH3906" s="25"/>
      <c r="BI3906" s="25"/>
      <c r="BJ3906" s="25"/>
      <c r="BK3906" s="25"/>
    </row>
    <row r="3907" spans="60:63" ht="14.25" x14ac:dyDescent="0.2">
      <c r="BH3907" s="25"/>
      <c r="BI3907" s="25"/>
      <c r="BJ3907" s="25"/>
      <c r="BK3907" s="25"/>
    </row>
    <row r="3908" spans="60:63" ht="14.25" x14ac:dyDescent="0.2">
      <c r="BH3908" s="25"/>
      <c r="BI3908" s="25"/>
      <c r="BJ3908" s="25"/>
      <c r="BK3908" s="25"/>
    </row>
    <row r="3909" spans="60:63" ht="14.25" x14ac:dyDescent="0.2">
      <c r="BH3909" s="25"/>
      <c r="BI3909" s="25"/>
      <c r="BJ3909" s="25"/>
      <c r="BK3909" s="25"/>
    </row>
    <row r="3910" spans="60:63" ht="14.25" x14ac:dyDescent="0.2">
      <c r="BH3910" s="25"/>
      <c r="BI3910" s="25"/>
      <c r="BJ3910" s="25"/>
      <c r="BK3910" s="25"/>
    </row>
    <row r="3911" spans="60:63" ht="14.25" x14ac:dyDescent="0.2">
      <c r="BH3911" s="25"/>
      <c r="BI3911" s="25"/>
      <c r="BJ3911" s="25"/>
      <c r="BK3911" s="25"/>
    </row>
    <row r="3912" spans="60:63" ht="14.25" x14ac:dyDescent="0.2">
      <c r="BH3912" s="25"/>
      <c r="BI3912" s="25"/>
      <c r="BJ3912" s="25"/>
      <c r="BK3912" s="25"/>
    </row>
    <row r="3913" spans="60:63" ht="14.25" x14ac:dyDescent="0.2">
      <c r="BH3913" s="25"/>
      <c r="BI3913" s="25"/>
      <c r="BJ3913" s="25"/>
      <c r="BK3913" s="25"/>
    </row>
    <row r="3914" spans="60:63" ht="14.25" x14ac:dyDescent="0.2">
      <c r="BH3914" s="25"/>
      <c r="BI3914" s="25"/>
      <c r="BJ3914" s="25"/>
      <c r="BK3914" s="25"/>
    </row>
    <row r="3915" spans="60:63" ht="14.25" x14ac:dyDescent="0.2">
      <c r="BH3915" s="25"/>
      <c r="BI3915" s="25"/>
      <c r="BJ3915" s="25"/>
      <c r="BK3915" s="25"/>
    </row>
    <row r="3916" spans="60:63" ht="14.25" x14ac:dyDescent="0.2">
      <c r="BH3916" s="25"/>
      <c r="BI3916" s="25"/>
      <c r="BJ3916" s="25"/>
      <c r="BK3916" s="25"/>
    </row>
    <row r="3917" spans="60:63" ht="14.25" x14ac:dyDescent="0.2">
      <c r="BH3917" s="25"/>
      <c r="BI3917" s="25"/>
      <c r="BJ3917" s="25"/>
      <c r="BK3917" s="25"/>
    </row>
    <row r="3918" spans="60:63" ht="14.25" x14ac:dyDescent="0.2">
      <c r="BH3918" s="25"/>
      <c r="BI3918" s="25"/>
      <c r="BJ3918" s="25"/>
      <c r="BK3918" s="25"/>
    </row>
    <row r="3919" spans="60:63" ht="14.25" x14ac:dyDescent="0.2">
      <c r="BH3919" s="25"/>
      <c r="BI3919" s="25"/>
      <c r="BJ3919" s="25"/>
      <c r="BK3919" s="25"/>
    </row>
    <row r="3920" spans="60:63" ht="14.25" x14ac:dyDescent="0.2">
      <c r="BH3920" s="25"/>
      <c r="BI3920" s="25"/>
      <c r="BJ3920" s="25"/>
      <c r="BK3920" s="25"/>
    </row>
    <row r="3921" spans="60:63" ht="14.25" x14ac:dyDescent="0.2">
      <c r="BH3921" s="25"/>
      <c r="BI3921" s="25"/>
      <c r="BJ3921" s="25"/>
      <c r="BK3921" s="25"/>
    </row>
    <row r="3922" spans="60:63" ht="14.25" x14ac:dyDescent="0.2">
      <c r="BH3922" s="25"/>
      <c r="BI3922" s="25"/>
      <c r="BJ3922" s="25"/>
      <c r="BK3922" s="25"/>
    </row>
    <row r="3923" spans="60:63" ht="14.25" x14ac:dyDescent="0.2">
      <c r="BH3923" s="25"/>
      <c r="BI3923" s="25"/>
      <c r="BJ3923" s="25"/>
      <c r="BK3923" s="25"/>
    </row>
    <row r="3924" spans="60:63" ht="14.25" x14ac:dyDescent="0.2">
      <c r="BH3924" s="25"/>
      <c r="BI3924" s="25"/>
      <c r="BJ3924" s="25"/>
      <c r="BK3924" s="25"/>
    </row>
    <row r="3925" spans="60:63" ht="14.25" x14ac:dyDescent="0.2">
      <c r="BH3925" s="25"/>
      <c r="BI3925" s="25"/>
      <c r="BJ3925" s="25"/>
      <c r="BK3925" s="25"/>
    </row>
    <row r="3926" spans="60:63" ht="14.25" x14ac:dyDescent="0.2">
      <c r="BH3926" s="25"/>
      <c r="BI3926" s="25"/>
      <c r="BJ3926" s="25"/>
      <c r="BK3926" s="25"/>
    </row>
    <row r="3927" spans="60:63" ht="14.25" x14ac:dyDescent="0.2">
      <c r="BH3927" s="25"/>
      <c r="BI3927" s="25"/>
      <c r="BJ3927" s="25"/>
      <c r="BK3927" s="25"/>
    </row>
    <row r="3928" spans="60:63" ht="14.25" x14ac:dyDescent="0.2">
      <c r="BH3928" s="25"/>
      <c r="BI3928" s="25"/>
      <c r="BJ3928" s="25"/>
      <c r="BK3928" s="25"/>
    </row>
    <row r="3929" spans="60:63" ht="14.25" x14ac:dyDescent="0.2">
      <c r="BH3929" s="25"/>
      <c r="BI3929" s="25"/>
      <c r="BJ3929" s="25"/>
      <c r="BK3929" s="25"/>
    </row>
    <row r="3930" spans="60:63" ht="14.25" x14ac:dyDescent="0.2">
      <c r="BH3930" s="25"/>
      <c r="BI3930" s="25"/>
      <c r="BJ3930" s="25"/>
      <c r="BK3930" s="25"/>
    </row>
    <row r="3931" spans="60:63" ht="14.25" x14ac:dyDescent="0.2">
      <c r="BH3931" s="25"/>
      <c r="BI3931" s="25"/>
      <c r="BJ3931" s="25"/>
      <c r="BK3931" s="25"/>
    </row>
    <row r="3932" spans="60:63" ht="14.25" x14ac:dyDescent="0.2">
      <c r="BH3932" s="25"/>
      <c r="BI3932" s="25"/>
      <c r="BJ3932" s="25"/>
      <c r="BK3932" s="25"/>
    </row>
    <row r="3933" spans="60:63" ht="14.25" x14ac:dyDescent="0.2">
      <c r="BH3933" s="25"/>
      <c r="BI3933" s="25"/>
      <c r="BJ3933" s="25"/>
      <c r="BK3933" s="25"/>
    </row>
    <row r="3934" spans="60:63" ht="14.25" x14ac:dyDescent="0.2">
      <c r="BH3934" s="25"/>
      <c r="BI3934" s="25"/>
      <c r="BJ3934" s="25"/>
      <c r="BK3934" s="25"/>
    </row>
    <row r="3935" spans="60:63" ht="14.25" x14ac:dyDescent="0.2">
      <c r="BH3935" s="25"/>
      <c r="BI3935" s="25"/>
      <c r="BJ3935" s="25"/>
      <c r="BK3935" s="25"/>
    </row>
    <row r="3936" spans="60:63" ht="14.25" x14ac:dyDescent="0.2">
      <c r="BH3936" s="25"/>
      <c r="BI3936" s="25"/>
      <c r="BJ3936" s="25"/>
      <c r="BK3936" s="25"/>
    </row>
    <row r="3937" spans="60:63" ht="14.25" x14ac:dyDescent="0.2">
      <c r="BH3937" s="25"/>
      <c r="BI3937" s="25"/>
      <c r="BJ3937" s="25"/>
      <c r="BK3937" s="25"/>
    </row>
    <row r="3938" spans="60:63" ht="14.25" x14ac:dyDescent="0.2">
      <c r="BH3938" s="25"/>
      <c r="BI3938" s="25"/>
      <c r="BJ3938" s="25"/>
      <c r="BK3938" s="25"/>
    </row>
    <row r="3939" spans="60:63" ht="14.25" x14ac:dyDescent="0.2">
      <c r="BH3939" s="25"/>
      <c r="BI3939" s="25"/>
      <c r="BJ3939" s="25"/>
      <c r="BK3939" s="25"/>
    </row>
    <row r="3940" spans="60:63" ht="14.25" x14ac:dyDescent="0.2">
      <c r="BH3940" s="25"/>
      <c r="BI3940" s="25"/>
      <c r="BJ3940" s="25"/>
      <c r="BK3940" s="25"/>
    </row>
    <row r="3941" spans="60:63" ht="14.25" x14ac:dyDescent="0.2">
      <c r="BH3941" s="25"/>
      <c r="BI3941" s="25"/>
      <c r="BJ3941" s="25"/>
      <c r="BK3941" s="25"/>
    </row>
    <row r="3942" spans="60:63" ht="14.25" x14ac:dyDescent="0.2">
      <c r="BH3942" s="25"/>
      <c r="BI3942" s="25"/>
      <c r="BJ3942" s="25"/>
      <c r="BK3942" s="25"/>
    </row>
    <row r="3943" spans="60:63" ht="14.25" x14ac:dyDescent="0.2">
      <c r="BH3943" s="25"/>
      <c r="BI3943" s="25"/>
      <c r="BJ3943" s="25"/>
      <c r="BK3943" s="25"/>
    </row>
    <row r="3944" spans="60:63" ht="14.25" x14ac:dyDescent="0.2">
      <c r="BH3944" s="25"/>
      <c r="BI3944" s="25"/>
      <c r="BJ3944" s="25"/>
      <c r="BK3944" s="25"/>
    </row>
    <row r="3945" spans="60:63" ht="14.25" x14ac:dyDescent="0.2">
      <c r="BH3945" s="25"/>
      <c r="BI3945" s="25"/>
      <c r="BJ3945" s="25"/>
      <c r="BK3945" s="25"/>
    </row>
    <row r="3946" spans="60:63" ht="14.25" x14ac:dyDescent="0.2">
      <c r="BH3946" s="25"/>
      <c r="BI3946" s="25"/>
      <c r="BJ3946" s="25"/>
      <c r="BK3946" s="25"/>
    </row>
    <row r="3947" spans="60:63" ht="14.25" x14ac:dyDescent="0.2">
      <c r="BH3947" s="25"/>
      <c r="BI3947" s="25"/>
      <c r="BJ3947" s="25"/>
      <c r="BK3947" s="25"/>
    </row>
    <row r="3948" spans="60:63" ht="14.25" x14ac:dyDescent="0.2">
      <c r="BH3948" s="25"/>
      <c r="BI3948" s="25"/>
      <c r="BJ3948" s="25"/>
      <c r="BK3948" s="25"/>
    </row>
    <row r="3949" spans="60:63" ht="14.25" x14ac:dyDescent="0.2">
      <c r="BH3949" s="25"/>
      <c r="BI3949" s="25"/>
      <c r="BJ3949" s="25"/>
      <c r="BK3949" s="25"/>
    </row>
    <row r="3950" spans="60:63" ht="14.25" x14ac:dyDescent="0.2">
      <c r="BH3950" s="25"/>
      <c r="BI3950" s="25"/>
      <c r="BJ3950" s="25"/>
      <c r="BK3950" s="25"/>
    </row>
    <row r="3951" spans="60:63" ht="14.25" x14ac:dyDescent="0.2">
      <c r="BH3951" s="25"/>
      <c r="BI3951" s="25"/>
      <c r="BJ3951" s="25"/>
      <c r="BK3951" s="25"/>
    </row>
    <row r="3952" spans="60:63" ht="14.25" x14ac:dyDescent="0.2">
      <c r="BH3952" s="25"/>
      <c r="BI3952" s="25"/>
      <c r="BJ3952" s="25"/>
      <c r="BK3952" s="25"/>
    </row>
    <row r="3953" spans="60:63" ht="14.25" x14ac:dyDescent="0.2">
      <c r="BH3953" s="25"/>
      <c r="BI3953" s="25"/>
      <c r="BJ3953" s="25"/>
      <c r="BK3953" s="25"/>
    </row>
    <row r="3954" spans="60:63" ht="14.25" x14ac:dyDescent="0.2">
      <c r="BH3954" s="25"/>
      <c r="BI3954" s="25"/>
      <c r="BJ3954" s="25"/>
      <c r="BK3954" s="25"/>
    </row>
    <row r="3955" spans="60:63" ht="14.25" x14ac:dyDescent="0.2">
      <c r="BH3955" s="25"/>
      <c r="BI3955" s="25"/>
      <c r="BJ3955" s="25"/>
      <c r="BK3955" s="25"/>
    </row>
    <row r="3956" spans="60:63" ht="14.25" x14ac:dyDescent="0.2">
      <c r="BH3956" s="25"/>
      <c r="BI3956" s="25"/>
      <c r="BJ3956" s="25"/>
      <c r="BK3956" s="25"/>
    </row>
    <row r="3957" spans="60:63" ht="14.25" x14ac:dyDescent="0.2">
      <c r="BH3957" s="25"/>
      <c r="BI3957" s="25"/>
      <c r="BJ3957" s="25"/>
      <c r="BK3957" s="25"/>
    </row>
    <row r="3958" spans="60:63" ht="14.25" x14ac:dyDescent="0.2">
      <c r="BH3958" s="25"/>
      <c r="BI3958" s="25"/>
      <c r="BJ3958" s="25"/>
      <c r="BK3958" s="25"/>
    </row>
    <row r="3959" spans="60:63" ht="14.25" x14ac:dyDescent="0.2">
      <c r="BH3959" s="25"/>
      <c r="BI3959" s="25"/>
      <c r="BJ3959" s="25"/>
      <c r="BK3959" s="25"/>
    </row>
    <row r="3960" spans="60:63" ht="14.25" x14ac:dyDescent="0.2">
      <c r="BH3960" s="25"/>
      <c r="BI3960" s="25"/>
      <c r="BJ3960" s="25"/>
      <c r="BK3960" s="25"/>
    </row>
    <row r="3961" spans="60:63" ht="14.25" x14ac:dyDescent="0.2">
      <c r="BH3961" s="25"/>
      <c r="BI3961" s="25"/>
      <c r="BJ3961" s="25"/>
      <c r="BK3961" s="25"/>
    </row>
    <row r="3962" spans="60:63" ht="14.25" x14ac:dyDescent="0.2">
      <c r="BH3962" s="25"/>
      <c r="BI3962" s="25"/>
      <c r="BJ3962" s="25"/>
      <c r="BK3962" s="25"/>
    </row>
    <row r="3963" spans="60:63" ht="14.25" x14ac:dyDescent="0.2">
      <c r="BH3963" s="25"/>
      <c r="BI3963" s="25"/>
      <c r="BJ3963" s="25"/>
      <c r="BK3963" s="25"/>
    </row>
    <row r="3964" spans="60:63" ht="14.25" x14ac:dyDescent="0.2">
      <c r="BH3964" s="25"/>
      <c r="BI3964" s="25"/>
      <c r="BJ3964" s="25"/>
      <c r="BK3964" s="25"/>
    </row>
    <row r="3965" spans="60:63" ht="14.25" x14ac:dyDescent="0.2">
      <c r="BH3965" s="25"/>
      <c r="BI3965" s="25"/>
      <c r="BJ3965" s="25"/>
      <c r="BK3965" s="25"/>
    </row>
    <row r="3966" spans="60:63" ht="14.25" x14ac:dyDescent="0.2">
      <c r="BH3966" s="25"/>
      <c r="BI3966" s="25"/>
      <c r="BJ3966" s="25"/>
      <c r="BK3966" s="25"/>
    </row>
    <row r="3967" spans="60:63" ht="14.25" x14ac:dyDescent="0.2">
      <c r="BH3967" s="25"/>
      <c r="BI3967" s="25"/>
      <c r="BJ3967" s="25"/>
      <c r="BK3967" s="25"/>
    </row>
    <row r="3968" spans="60:63" ht="14.25" x14ac:dyDescent="0.2">
      <c r="BH3968" s="25"/>
      <c r="BI3968" s="25"/>
      <c r="BJ3968" s="25"/>
      <c r="BK3968" s="25"/>
    </row>
    <row r="3969" spans="60:63" ht="14.25" x14ac:dyDescent="0.2">
      <c r="BH3969" s="25"/>
      <c r="BI3969" s="25"/>
      <c r="BJ3969" s="25"/>
      <c r="BK3969" s="25"/>
    </row>
    <row r="3970" spans="60:63" ht="14.25" x14ac:dyDescent="0.2">
      <c r="BH3970" s="25"/>
      <c r="BI3970" s="25"/>
      <c r="BJ3970" s="25"/>
      <c r="BK3970" s="25"/>
    </row>
    <row r="3971" spans="60:63" ht="14.25" x14ac:dyDescent="0.2">
      <c r="BH3971" s="25"/>
      <c r="BI3971" s="25"/>
      <c r="BJ3971" s="25"/>
      <c r="BK3971" s="25"/>
    </row>
    <row r="3972" spans="60:63" ht="14.25" x14ac:dyDescent="0.2">
      <c r="BH3972" s="25"/>
      <c r="BI3972" s="25"/>
      <c r="BJ3972" s="25"/>
      <c r="BK3972" s="25"/>
    </row>
    <row r="3973" spans="60:63" ht="14.25" x14ac:dyDescent="0.2">
      <c r="BH3973" s="25"/>
      <c r="BI3973" s="25"/>
      <c r="BJ3973" s="25"/>
      <c r="BK3973" s="25"/>
    </row>
    <row r="3974" spans="60:63" ht="14.25" x14ac:dyDescent="0.2">
      <c r="BH3974" s="25"/>
      <c r="BI3974" s="25"/>
      <c r="BJ3974" s="25"/>
      <c r="BK3974" s="25"/>
    </row>
    <row r="3975" spans="60:63" ht="14.25" x14ac:dyDescent="0.2">
      <c r="BH3975" s="25"/>
      <c r="BI3975" s="25"/>
      <c r="BJ3975" s="25"/>
      <c r="BK3975" s="25"/>
    </row>
    <row r="3976" spans="60:63" ht="14.25" x14ac:dyDescent="0.2">
      <c r="BH3976" s="25"/>
      <c r="BI3976" s="25"/>
      <c r="BJ3976" s="25"/>
      <c r="BK3976" s="25"/>
    </row>
    <row r="3977" spans="60:63" ht="14.25" x14ac:dyDescent="0.2">
      <c r="BH3977" s="25"/>
      <c r="BI3977" s="25"/>
      <c r="BJ3977" s="25"/>
      <c r="BK3977" s="25"/>
    </row>
    <row r="3978" spans="60:63" ht="14.25" x14ac:dyDescent="0.2">
      <c r="BH3978" s="25"/>
      <c r="BI3978" s="25"/>
      <c r="BJ3978" s="25"/>
      <c r="BK3978" s="25"/>
    </row>
    <row r="3979" spans="60:63" ht="14.25" x14ac:dyDescent="0.2">
      <c r="BH3979" s="25"/>
      <c r="BI3979" s="25"/>
      <c r="BJ3979" s="25"/>
      <c r="BK3979" s="25"/>
    </row>
    <row r="3980" spans="60:63" ht="14.25" x14ac:dyDescent="0.2">
      <c r="BH3980" s="25"/>
      <c r="BI3980" s="25"/>
      <c r="BJ3980" s="25"/>
      <c r="BK3980" s="25"/>
    </row>
    <row r="3981" spans="60:63" ht="14.25" x14ac:dyDescent="0.2">
      <c r="BH3981" s="25"/>
      <c r="BI3981" s="25"/>
      <c r="BJ3981" s="25"/>
      <c r="BK3981" s="25"/>
    </row>
    <row r="3982" spans="60:63" ht="14.25" x14ac:dyDescent="0.2">
      <c r="BH3982" s="25"/>
      <c r="BI3982" s="25"/>
      <c r="BJ3982" s="25"/>
      <c r="BK3982" s="25"/>
    </row>
    <row r="3983" spans="60:63" ht="14.25" x14ac:dyDescent="0.2">
      <c r="BH3983" s="25"/>
      <c r="BI3983" s="25"/>
      <c r="BJ3983" s="25"/>
      <c r="BK3983" s="25"/>
    </row>
    <row r="3984" spans="60:63" ht="14.25" x14ac:dyDescent="0.2">
      <c r="BH3984" s="25"/>
      <c r="BI3984" s="25"/>
      <c r="BJ3984" s="25"/>
      <c r="BK3984" s="25"/>
    </row>
    <row r="3985" spans="60:63" ht="14.25" x14ac:dyDescent="0.2">
      <c r="BH3985" s="25"/>
      <c r="BI3985" s="25"/>
      <c r="BJ3985" s="25"/>
      <c r="BK3985" s="25"/>
    </row>
    <row r="3986" spans="60:63" ht="14.25" x14ac:dyDescent="0.2">
      <c r="BH3986" s="25"/>
      <c r="BI3986" s="25"/>
      <c r="BJ3986" s="25"/>
      <c r="BK3986" s="25"/>
    </row>
    <row r="3987" spans="60:63" ht="14.25" x14ac:dyDescent="0.2">
      <c r="BH3987" s="25"/>
      <c r="BI3987" s="25"/>
      <c r="BJ3987" s="25"/>
      <c r="BK3987" s="25"/>
    </row>
    <row r="3988" spans="60:63" ht="14.25" x14ac:dyDescent="0.2">
      <c r="BH3988" s="25"/>
      <c r="BI3988" s="25"/>
      <c r="BJ3988" s="25"/>
      <c r="BK3988" s="25"/>
    </row>
    <row r="3989" spans="60:63" ht="14.25" x14ac:dyDescent="0.2">
      <c r="BH3989" s="25"/>
      <c r="BI3989" s="25"/>
      <c r="BJ3989" s="25"/>
      <c r="BK3989" s="25"/>
    </row>
    <row r="3990" spans="60:63" ht="14.25" x14ac:dyDescent="0.2">
      <c r="BH3990" s="25"/>
      <c r="BI3990" s="25"/>
      <c r="BJ3990" s="25"/>
      <c r="BK3990" s="25"/>
    </row>
    <row r="3991" spans="60:63" ht="14.25" x14ac:dyDescent="0.2">
      <c r="BH3991" s="25"/>
      <c r="BI3991" s="25"/>
      <c r="BJ3991" s="25"/>
      <c r="BK3991" s="25"/>
    </row>
    <row r="3992" spans="60:63" ht="14.25" x14ac:dyDescent="0.2">
      <c r="BH3992" s="25"/>
      <c r="BI3992" s="25"/>
      <c r="BJ3992" s="25"/>
      <c r="BK3992" s="25"/>
    </row>
    <row r="3993" spans="60:63" ht="14.25" x14ac:dyDescent="0.2">
      <c r="BH3993" s="25"/>
      <c r="BI3993" s="25"/>
      <c r="BJ3993" s="25"/>
      <c r="BK3993" s="25"/>
    </row>
    <row r="3994" spans="60:63" ht="14.25" x14ac:dyDescent="0.2">
      <c r="BH3994" s="25"/>
      <c r="BI3994" s="25"/>
      <c r="BJ3994" s="25"/>
      <c r="BK3994" s="25"/>
    </row>
    <row r="3995" spans="60:63" ht="14.25" x14ac:dyDescent="0.2">
      <c r="BH3995" s="25"/>
      <c r="BI3995" s="25"/>
      <c r="BJ3995" s="25"/>
      <c r="BK3995" s="25"/>
    </row>
    <row r="3996" spans="60:63" ht="14.25" x14ac:dyDescent="0.2">
      <c r="BH3996" s="25"/>
      <c r="BI3996" s="25"/>
      <c r="BJ3996" s="25"/>
      <c r="BK3996" s="25"/>
    </row>
    <row r="3997" spans="60:63" ht="14.25" x14ac:dyDescent="0.2">
      <c r="BH3997" s="25"/>
      <c r="BI3997" s="25"/>
      <c r="BJ3997" s="25"/>
      <c r="BK3997" s="25"/>
    </row>
    <row r="3998" spans="60:63" ht="14.25" x14ac:dyDescent="0.2">
      <c r="BH3998" s="25"/>
      <c r="BI3998" s="25"/>
      <c r="BJ3998" s="25"/>
      <c r="BK3998" s="25"/>
    </row>
    <row r="3999" spans="60:63" ht="14.25" x14ac:dyDescent="0.2">
      <c r="BH3999" s="25"/>
      <c r="BI3999" s="25"/>
      <c r="BJ3999" s="25"/>
      <c r="BK3999" s="25"/>
    </row>
    <row r="4000" spans="60:63" ht="14.25" x14ac:dyDescent="0.2">
      <c r="BH4000" s="25"/>
      <c r="BI4000" s="25"/>
      <c r="BJ4000" s="25"/>
      <c r="BK4000" s="25"/>
    </row>
    <row r="4001" spans="60:63" ht="14.25" x14ac:dyDescent="0.2">
      <c r="BH4001" s="25"/>
      <c r="BI4001" s="25"/>
      <c r="BJ4001" s="25"/>
      <c r="BK4001" s="25"/>
    </row>
    <row r="4002" spans="60:63" ht="14.25" x14ac:dyDescent="0.2">
      <c r="BH4002" s="25"/>
      <c r="BI4002" s="25"/>
      <c r="BJ4002" s="25"/>
      <c r="BK4002" s="25"/>
    </row>
    <row r="4003" spans="60:63" ht="14.25" x14ac:dyDescent="0.2">
      <c r="BH4003" s="25"/>
      <c r="BI4003" s="25"/>
      <c r="BJ4003" s="25"/>
      <c r="BK4003" s="25"/>
    </row>
    <row r="4004" spans="60:63" ht="14.25" x14ac:dyDescent="0.2">
      <c r="BH4004" s="25"/>
      <c r="BI4004" s="25"/>
      <c r="BJ4004" s="25"/>
      <c r="BK4004" s="25"/>
    </row>
    <row r="4005" spans="60:63" ht="14.25" x14ac:dyDescent="0.2">
      <c r="BH4005" s="25"/>
      <c r="BI4005" s="25"/>
      <c r="BJ4005" s="25"/>
      <c r="BK4005" s="25"/>
    </row>
    <row r="4006" spans="60:63" ht="14.25" x14ac:dyDescent="0.2">
      <c r="BH4006" s="25"/>
      <c r="BI4006" s="25"/>
      <c r="BJ4006" s="25"/>
      <c r="BK4006" s="25"/>
    </row>
    <row r="4007" spans="60:63" ht="14.25" x14ac:dyDescent="0.2">
      <c r="BH4007" s="25"/>
      <c r="BI4007" s="25"/>
      <c r="BJ4007" s="25"/>
      <c r="BK4007" s="25"/>
    </row>
    <row r="4008" spans="60:63" ht="14.25" x14ac:dyDescent="0.2">
      <c r="BH4008" s="25"/>
      <c r="BI4008" s="25"/>
      <c r="BJ4008" s="25"/>
      <c r="BK4008" s="25"/>
    </row>
    <row r="4009" spans="60:63" ht="14.25" x14ac:dyDescent="0.2">
      <c r="BH4009" s="25"/>
      <c r="BI4009" s="25"/>
      <c r="BJ4009" s="25"/>
      <c r="BK4009" s="25"/>
    </row>
    <row r="4010" spans="60:63" ht="14.25" x14ac:dyDescent="0.2">
      <c r="BH4010" s="25"/>
      <c r="BI4010" s="25"/>
      <c r="BJ4010" s="25"/>
      <c r="BK4010" s="25"/>
    </row>
    <row r="4011" spans="60:63" ht="14.25" x14ac:dyDescent="0.2">
      <c r="BH4011" s="25"/>
      <c r="BI4011" s="25"/>
      <c r="BJ4011" s="25"/>
      <c r="BK4011" s="25"/>
    </row>
    <row r="4012" spans="60:63" ht="14.25" x14ac:dyDescent="0.2">
      <c r="BH4012" s="25"/>
      <c r="BI4012" s="25"/>
      <c r="BJ4012" s="25"/>
      <c r="BK4012" s="25"/>
    </row>
    <row r="4013" spans="60:63" ht="14.25" x14ac:dyDescent="0.2">
      <c r="BH4013" s="25"/>
      <c r="BI4013" s="25"/>
      <c r="BJ4013" s="25"/>
      <c r="BK4013" s="25"/>
    </row>
    <row r="4014" spans="60:63" ht="14.25" x14ac:dyDescent="0.2">
      <c r="BH4014" s="25"/>
      <c r="BI4014" s="25"/>
      <c r="BJ4014" s="25"/>
      <c r="BK4014" s="25"/>
    </row>
    <row r="4015" spans="60:63" ht="14.25" x14ac:dyDescent="0.2">
      <c r="BH4015" s="25"/>
      <c r="BI4015" s="25"/>
      <c r="BJ4015" s="25"/>
      <c r="BK4015" s="25"/>
    </row>
    <row r="4016" spans="60:63" ht="14.25" x14ac:dyDescent="0.2">
      <c r="BH4016" s="25"/>
      <c r="BI4016" s="25"/>
      <c r="BJ4016" s="25"/>
      <c r="BK4016" s="25"/>
    </row>
    <row r="4017" spans="60:63" ht="14.25" x14ac:dyDescent="0.2">
      <c r="BH4017" s="25"/>
      <c r="BI4017" s="25"/>
      <c r="BJ4017" s="25"/>
      <c r="BK4017" s="25"/>
    </row>
    <row r="4018" spans="60:63" ht="14.25" x14ac:dyDescent="0.2">
      <c r="BH4018" s="25"/>
      <c r="BI4018" s="25"/>
      <c r="BJ4018" s="25"/>
      <c r="BK4018" s="25"/>
    </row>
    <row r="4019" spans="60:63" ht="14.25" x14ac:dyDescent="0.2">
      <c r="BH4019" s="25"/>
      <c r="BI4019" s="25"/>
      <c r="BJ4019" s="25"/>
      <c r="BK4019" s="25"/>
    </row>
    <row r="4020" spans="60:63" ht="14.25" x14ac:dyDescent="0.2">
      <c r="BH4020" s="25"/>
      <c r="BI4020" s="25"/>
      <c r="BJ4020" s="25"/>
      <c r="BK4020" s="25"/>
    </row>
    <row r="4021" spans="60:63" ht="14.25" x14ac:dyDescent="0.2">
      <c r="BH4021" s="25"/>
      <c r="BI4021" s="25"/>
      <c r="BJ4021" s="25"/>
      <c r="BK4021" s="25"/>
    </row>
    <row r="4022" spans="60:63" ht="14.25" x14ac:dyDescent="0.2">
      <c r="BH4022" s="25"/>
      <c r="BI4022" s="25"/>
      <c r="BJ4022" s="25"/>
      <c r="BK4022" s="25"/>
    </row>
    <row r="4023" spans="60:63" ht="14.25" x14ac:dyDescent="0.2">
      <c r="BH4023" s="25"/>
      <c r="BI4023" s="25"/>
      <c r="BJ4023" s="25"/>
      <c r="BK4023" s="25"/>
    </row>
    <row r="4024" spans="60:63" ht="14.25" x14ac:dyDescent="0.2">
      <c r="BH4024" s="25"/>
      <c r="BI4024" s="25"/>
      <c r="BJ4024" s="25"/>
      <c r="BK4024" s="25"/>
    </row>
    <row r="4025" spans="60:63" ht="14.25" x14ac:dyDescent="0.2">
      <c r="BH4025" s="25"/>
      <c r="BI4025" s="25"/>
      <c r="BJ4025" s="25"/>
      <c r="BK4025" s="25"/>
    </row>
    <row r="4026" spans="60:63" ht="14.25" x14ac:dyDescent="0.2">
      <c r="BH4026" s="25"/>
      <c r="BI4026" s="25"/>
      <c r="BJ4026" s="25"/>
      <c r="BK4026" s="25"/>
    </row>
    <row r="4027" spans="60:63" ht="14.25" x14ac:dyDescent="0.2">
      <c r="BH4027" s="25"/>
      <c r="BI4027" s="25"/>
      <c r="BJ4027" s="25"/>
      <c r="BK4027" s="25"/>
    </row>
    <row r="4028" spans="60:63" ht="14.25" x14ac:dyDescent="0.2">
      <c r="BH4028" s="25"/>
      <c r="BI4028" s="25"/>
      <c r="BJ4028" s="25"/>
      <c r="BK4028" s="25"/>
    </row>
    <row r="4029" spans="60:63" ht="14.25" x14ac:dyDescent="0.2">
      <c r="BH4029" s="25"/>
      <c r="BI4029" s="25"/>
      <c r="BJ4029" s="25"/>
      <c r="BK4029" s="25"/>
    </row>
    <row r="4030" spans="60:63" ht="14.25" x14ac:dyDescent="0.2">
      <c r="BH4030" s="25"/>
      <c r="BI4030" s="25"/>
      <c r="BJ4030" s="25"/>
      <c r="BK4030" s="25"/>
    </row>
    <row r="4031" spans="60:63" ht="14.25" x14ac:dyDescent="0.2">
      <c r="BH4031" s="25"/>
      <c r="BI4031" s="25"/>
      <c r="BJ4031" s="25"/>
      <c r="BK4031" s="25"/>
    </row>
    <row r="4032" spans="60:63" ht="14.25" x14ac:dyDescent="0.2">
      <c r="BH4032" s="25"/>
      <c r="BI4032" s="25"/>
      <c r="BJ4032" s="25"/>
      <c r="BK4032" s="25"/>
    </row>
    <row r="4033" spans="60:63" ht="14.25" x14ac:dyDescent="0.2">
      <c r="BH4033" s="25"/>
      <c r="BI4033" s="25"/>
      <c r="BJ4033" s="25"/>
      <c r="BK4033" s="25"/>
    </row>
    <row r="4034" spans="60:63" ht="14.25" x14ac:dyDescent="0.2">
      <c r="BH4034" s="25"/>
      <c r="BI4034" s="25"/>
      <c r="BJ4034" s="25"/>
      <c r="BK4034" s="25"/>
    </row>
    <row r="4035" spans="60:63" ht="14.25" x14ac:dyDescent="0.2">
      <c r="BH4035" s="25"/>
      <c r="BI4035" s="25"/>
      <c r="BJ4035" s="25"/>
      <c r="BK4035" s="25"/>
    </row>
    <row r="4036" spans="60:63" ht="14.25" x14ac:dyDescent="0.2">
      <c r="BH4036" s="25"/>
      <c r="BI4036" s="25"/>
      <c r="BJ4036" s="25"/>
      <c r="BK4036" s="25"/>
    </row>
    <row r="4037" spans="60:63" ht="14.25" x14ac:dyDescent="0.2">
      <c r="BH4037" s="25"/>
      <c r="BI4037" s="25"/>
      <c r="BJ4037" s="25"/>
      <c r="BK4037" s="25"/>
    </row>
    <row r="4038" spans="60:63" ht="14.25" x14ac:dyDescent="0.2">
      <c r="BH4038" s="25"/>
      <c r="BI4038" s="25"/>
      <c r="BJ4038" s="25"/>
      <c r="BK4038" s="25"/>
    </row>
    <row r="4039" spans="60:63" ht="14.25" x14ac:dyDescent="0.2">
      <c r="BH4039" s="25"/>
      <c r="BI4039" s="25"/>
      <c r="BJ4039" s="25"/>
      <c r="BK4039" s="25"/>
    </row>
    <row r="4040" spans="60:63" ht="14.25" x14ac:dyDescent="0.2">
      <c r="BH4040" s="25"/>
      <c r="BI4040" s="25"/>
      <c r="BJ4040" s="25"/>
      <c r="BK4040" s="25"/>
    </row>
    <row r="4041" spans="60:63" ht="14.25" x14ac:dyDescent="0.2">
      <c r="BH4041" s="25"/>
      <c r="BI4041" s="25"/>
      <c r="BJ4041" s="25"/>
      <c r="BK4041" s="25"/>
    </row>
    <row r="4042" spans="60:63" ht="14.25" x14ac:dyDescent="0.2">
      <c r="BH4042" s="25"/>
      <c r="BI4042" s="25"/>
      <c r="BJ4042" s="25"/>
      <c r="BK4042" s="25"/>
    </row>
    <row r="4043" spans="60:63" ht="14.25" x14ac:dyDescent="0.2">
      <c r="BH4043" s="25"/>
      <c r="BI4043" s="25"/>
      <c r="BJ4043" s="25"/>
      <c r="BK4043" s="25"/>
    </row>
    <row r="4044" spans="60:63" ht="14.25" x14ac:dyDescent="0.2">
      <c r="BH4044" s="25"/>
      <c r="BI4044" s="25"/>
      <c r="BJ4044" s="25"/>
      <c r="BK4044" s="25"/>
    </row>
    <row r="4045" spans="60:63" ht="14.25" x14ac:dyDescent="0.2">
      <c r="BH4045" s="25"/>
      <c r="BI4045" s="25"/>
      <c r="BJ4045" s="25"/>
      <c r="BK4045" s="25"/>
    </row>
    <row r="4046" spans="60:63" ht="14.25" x14ac:dyDescent="0.2">
      <c r="BH4046" s="25"/>
      <c r="BI4046" s="25"/>
      <c r="BJ4046" s="25"/>
      <c r="BK4046" s="25"/>
    </row>
    <row r="4047" spans="60:63" ht="14.25" x14ac:dyDescent="0.2">
      <c r="BH4047" s="25"/>
      <c r="BI4047" s="25"/>
      <c r="BJ4047" s="25"/>
      <c r="BK4047" s="25"/>
    </row>
    <row r="4048" spans="60:63" ht="14.25" x14ac:dyDescent="0.2">
      <c r="BH4048" s="25"/>
      <c r="BI4048" s="25"/>
      <c r="BJ4048" s="25"/>
      <c r="BK4048" s="25"/>
    </row>
    <row r="4049" spans="60:63" ht="14.25" x14ac:dyDescent="0.2">
      <c r="BH4049" s="25"/>
      <c r="BI4049" s="25"/>
      <c r="BJ4049" s="25"/>
      <c r="BK4049" s="25"/>
    </row>
    <row r="4050" spans="60:63" ht="14.25" x14ac:dyDescent="0.2">
      <c r="BH4050" s="25"/>
      <c r="BI4050" s="25"/>
      <c r="BJ4050" s="25"/>
      <c r="BK4050" s="25"/>
    </row>
    <row r="4051" spans="60:63" ht="14.25" x14ac:dyDescent="0.2">
      <c r="BH4051" s="25"/>
      <c r="BI4051" s="25"/>
      <c r="BJ4051" s="25"/>
      <c r="BK4051" s="25"/>
    </row>
    <row r="4052" spans="60:63" ht="14.25" x14ac:dyDescent="0.2">
      <c r="BH4052" s="25"/>
      <c r="BI4052" s="25"/>
      <c r="BJ4052" s="25"/>
      <c r="BK4052" s="25"/>
    </row>
    <row r="4053" spans="60:63" ht="14.25" x14ac:dyDescent="0.2">
      <c r="BH4053" s="25"/>
      <c r="BI4053" s="25"/>
      <c r="BJ4053" s="25"/>
      <c r="BK4053" s="25"/>
    </row>
    <row r="4054" spans="60:63" ht="14.25" x14ac:dyDescent="0.2">
      <c r="BH4054" s="25"/>
      <c r="BI4054" s="25"/>
      <c r="BJ4054" s="25"/>
      <c r="BK4054" s="25"/>
    </row>
    <row r="4055" spans="60:63" ht="14.25" x14ac:dyDescent="0.2">
      <c r="BH4055" s="25"/>
      <c r="BI4055" s="25"/>
      <c r="BJ4055" s="25"/>
      <c r="BK4055" s="25"/>
    </row>
    <row r="4056" spans="60:63" ht="14.25" x14ac:dyDescent="0.2">
      <c r="BH4056" s="25"/>
      <c r="BI4056" s="25"/>
      <c r="BJ4056" s="25"/>
      <c r="BK4056" s="25"/>
    </row>
    <row r="4057" spans="60:63" ht="14.25" x14ac:dyDescent="0.2">
      <c r="BH4057" s="25"/>
      <c r="BI4057" s="25"/>
      <c r="BJ4057" s="25"/>
      <c r="BK4057" s="25"/>
    </row>
    <row r="4058" spans="60:63" ht="14.25" x14ac:dyDescent="0.2">
      <c r="BH4058" s="25"/>
      <c r="BI4058" s="25"/>
      <c r="BJ4058" s="25"/>
      <c r="BK4058" s="25"/>
    </row>
    <row r="4059" spans="60:63" ht="14.25" x14ac:dyDescent="0.2">
      <c r="BH4059" s="25"/>
      <c r="BI4059" s="25"/>
      <c r="BJ4059" s="25"/>
      <c r="BK4059" s="25"/>
    </row>
    <row r="4060" spans="60:63" ht="14.25" x14ac:dyDescent="0.2">
      <c r="BH4060" s="25"/>
      <c r="BI4060" s="25"/>
      <c r="BJ4060" s="25"/>
      <c r="BK4060" s="25"/>
    </row>
    <row r="4061" spans="60:63" ht="14.25" x14ac:dyDescent="0.2">
      <c r="BH4061" s="25"/>
      <c r="BI4061" s="25"/>
      <c r="BJ4061" s="25"/>
      <c r="BK4061" s="25"/>
    </row>
    <row r="4062" spans="60:63" ht="14.25" x14ac:dyDescent="0.2">
      <c r="BH4062" s="25"/>
      <c r="BI4062" s="25"/>
      <c r="BJ4062" s="25"/>
      <c r="BK4062" s="25"/>
    </row>
    <row r="4063" spans="60:63" ht="14.25" x14ac:dyDescent="0.2">
      <c r="BH4063" s="25"/>
      <c r="BI4063" s="25"/>
      <c r="BJ4063" s="25"/>
      <c r="BK4063" s="25"/>
    </row>
    <row r="4064" spans="60:63" ht="14.25" x14ac:dyDescent="0.2">
      <c r="BH4064" s="25"/>
      <c r="BI4064" s="25"/>
      <c r="BJ4064" s="25"/>
      <c r="BK4064" s="25"/>
    </row>
    <row r="4065" spans="60:63" ht="14.25" x14ac:dyDescent="0.2">
      <c r="BH4065" s="25"/>
      <c r="BI4065" s="25"/>
      <c r="BJ4065" s="25"/>
      <c r="BK4065" s="25"/>
    </row>
    <row r="4066" spans="60:63" ht="14.25" x14ac:dyDescent="0.2">
      <c r="BH4066" s="25"/>
      <c r="BI4066" s="25"/>
      <c r="BJ4066" s="25"/>
      <c r="BK4066" s="25"/>
    </row>
    <row r="4067" spans="60:63" ht="14.25" x14ac:dyDescent="0.2">
      <c r="BH4067" s="25"/>
      <c r="BI4067" s="25"/>
      <c r="BJ4067" s="25"/>
      <c r="BK4067" s="25"/>
    </row>
    <row r="4068" spans="60:63" ht="14.25" x14ac:dyDescent="0.2">
      <c r="BH4068" s="25"/>
      <c r="BI4068" s="25"/>
      <c r="BJ4068" s="25"/>
      <c r="BK4068" s="25"/>
    </row>
    <row r="4069" spans="60:63" ht="14.25" x14ac:dyDescent="0.2">
      <c r="BH4069" s="25"/>
      <c r="BI4069" s="25"/>
      <c r="BJ4069" s="25"/>
      <c r="BK4069" s="25"/>
    </row>
    <row r="4070" spans="60:63" ht="14.25" x14ac:dyDescent="0.2">
      <c r="BH4070" s="25"/>
      <c r="BI4070" s="25"/>
      <c r="BJ4070" s="25"/>
      <c r="BK4070" s="25"/>
    </row>
    <row r="4071" spans="60:63" ht="14.25" x14ac:dyDescent="0.2">
      <c r="BH4071" s="25"/>
      <c r="BI4071" s="25"/>
      <c r="BJ4071" s="25"/>
      <c r="BK4071" s="25"/>
    </row>
    <row r="4072" spans="60:63" ht="14.25" x14ac:dyDescent="0.2">
      <c r="BH4072" s="25"/>
      <c r="BI4072" s="25"/>
      <c r="BJ4072" s="25"/>
      <c r="BK4072" s="25"/>
    </row>
    <row r="4073" spans="60:63" ht="14.25" x14ac:dyDescent="0.2">
      <c r="BH4073" s="25"/>
      <c r="BI4073" s="25"/>
      <c r="BJ4073" s="25"/>
      <c r="BK4073" s="25"/>
    </row>
    <row r="4074" spans="60:63" ht="14.25" x14ac:dyDescent="0.2">
      <c r="BH4074" s="25"/>
      <c r="BI4074" s="25"/>
      <c r="BJ4074" s="25"/>
      <c r="BK4074" s="25"/>
    </row>
    <row r="4075" spans="60:63" ht="14.25" x14ac:dyDescent="0.2">
      <c r="BH4075" s="25"/>
      <c r="BI4075" s="25"/>
      <c r="BJ4075" s="25"/>
      <c r="BK4075" s="25"/>
    </row>
    <row r="4076" spans="60:63" ht="14.25" x14ac:dyDescent="0.2">
      <c r="BH4076" s="25"/>
      <c r="BI4076" s="25"/>
      <c r="BJ4076" s="25"/>
      <c r="BK4076" s="25"/>
    </row>
    <row r="4077" spans="60:63" ht="14.25" x14ac:dyDescent="0.2">
      <c r="BH4077" s="25"/>
      <c r="BI4077" s="25"/>
      <c r="BJ4077" s="25"/>
      <c r="BK4077" s="25"/>
    </row>
    <row r="4078" spans="60:63" ht="14.25" x14ac:dyDescent="0.2">
      <c r="BH4078" s="25"/>
      <c r="BI4078" s="25"/>
      <c r="BJ4078" s="25"/>
      <c r="BK4078" s="25"/>
    </row>
    <row r="4079" spans="60:63" ht="14.25" x14ac:dyDescent="0.2">
      <c r="BH4079" s="25"/>
      <c r="BI4079" s="25"/>
      <c r="BJ4079" s="25"/>
      <c r="BK4079" s="25"/>
    </row>
    <row r="4080" spans="60:63" ht="14.25" x14ac:dyDescent="0.2">
      <c r="BH4080" s="25"/>
      <c r="BI4080" s="25"/>
      <c r="BJ4080" s="25"/>
      <c r="BK4080" s="25"/>
    </row>
    <row r="4081" spans="60:63" ht="14.25" x14ac:dyDescent="0.2">
      <c r="BH4081" s="25"/>
      <c r="BI4081" s="25"/>
      <c r="BJ4081" s="25"/>
      <c r="BK4081" s="25"/>
    </row>
    <row r="4082" spans="60:63" ht="14.25" x14ac:dyDescent="0.2">
      <c r="BH4082" s="25"/>
      <c r="BI4082" s="25"/>
      <c r="BJ4082" s="25"/>
      <c r="BK4082" s="25"/>
    </row>
    <row r="4083" spans="60:63" ht="14.25" x14ac:dyDescent="0.2">
      <c r="BH4083" s="25"/>
      <c r="BI4083" s="25"/>
      <c r="BJ4083" s="25"/>
      <c r="BK4083" s="25"/>
    </row>
    <row r="4084" spans="60:63" ht="14.25" x14ac:dyDescent="0.2">
      <c r="BH4084" s="25"/>
      <c r="BI4084" s="25"/>
      <c r="BJ4084" s="25"/>
      <c r="BK4084" s="25"/>
    </row>
    <row r="4085" spans="60:63" ht="14.25" x14ac:dyDescent="0.2">
      <c r="BH4085" s="25"/>
      <c r="BI4085" s="25"/>
      <c r="BJ4085" s="25"/>
      <c r="BK4085" s="25"/>
    </row>
    <row r="4086" spans="60:63" ht="14.25" x14ac:dyDescent="0.2">
      <c r="BH4086" s="25"/>
      <c r="BI4086" s="25"/>
      <c r="BJ4086" s="25"/>
      <c r="BK4086" s="25"/>
    </row>
    <row r="4087" spans="60:63" ht="14.25" x14ac:dyDescent="0.2">
      <c r="BH4087" s="25"/>
      <c r="BI4087" s="25"/>
      <c r="BJ4087" s="25"/>
      <c r="BK4087" s="25"/>
    </row>
    <row r="4088" spans="60:63" ht="14.25" x14ac:dyDescent="0.2">
      <c r="BH4088" s="25"/>
      <c r="BI4088" s="25"/>
      <c r="BJ4088" s="25"/>
      <c r="BK4088" s="25"/>
    </row>
    <row r="4089" spans="60:63" ht="14.25" x14ac:dyDescent="0.2">
      <c r="BH4089" s="25"/>
      <c r="BI4089" s="25"/>
      <c r="BJ4089" s="25"/>
      <c r="BK4089" s="25"/>
    </row>
    <row r="4090" spans="60:63" ht="14.25" x14ac:dyDescent="0.2">
      <c r="BH4090" s="25"/>
      <c r="BI4090" s="25"/>
      <c r="BJ4090" s="25"/>
      <c r="BK4090" s="25"/>
    </row>
    <row r="4091" spans="60:63" ht="14.25" x14ac:dyDescent="0.2">
      <c r="BH4091" s="25"/>
      <c r="BI4091" s="25"/>
      <c r="BJ4091" s="25"/>
      <c r="BK4091" s="25"/>
    </row>
    <row r="4092" spans="60:63" ht="14.25" x14ac:dyDescent="0.2">
      <c r="BH4092" s="25"/>
      <c r="BI4092" s="25"/>
      <c r="BJ4092" s="25"/>
      <c r="BK4092" s="25"/>
    </row>
    <row r="4093" spans="60:63" ht="14.25" x14ac:dyDescent="0.2">
      <c r="BH4093" s="25"/>
      <c r="BI4093" s="25"/>
      <c r="BJ4093" s="25"/>
      <c r="BK4093" s="25"/>
    </row>
    <row r="4094" spans="60:63" ht="14.25" x14ac:dyDescent="0.2">
      <c r="BH4094" s="25"/>
      <c r="BI4094" s="25"/>
      <c r="BJ4094" s="25"/>
      <c r="BK4094" s="25"/>
    </row>
    <row r="4095" spans="60:63" ht="14.25" x14ac:dyDescent="0.2">
      <c r="BH4095" s="25"/>
      <c r="BI4095" s="25"/>
      <c r="BJ4095" s="25"/>
      <c r="BK4095" s="25"/>
    </row>
    <row r="4096" spans="60:63" ht="14.25" x14ac:dyDescent="0.2">
      <c r="BH4096" s="25"/>
      <c r="BI4096" s="25"/>
      <c r="BJ4096" s="25"/>
      <c r="BK4096" s="25"/>
    </row>
    <row r="4097" spans="60:63" ht="14.25" x14ac:dyDescent="0.2">
      <c r="BH4097" s="25"/>
      <c r="BI4097" s="25"/>
      <c r="BJ4097" s="25"/>
      <c r="BK4097" s="25"/>
    </row>
    <row r="4098" spans="60:63" ht="14.25" x14ac:dyDescent="0.2">
      <c r="BH4098" s="25"/>
      <c r="BI4098" s="25"/>
      <c r="BJ4098" s="25"/>
      <c r="BK4098" s="25"/>
    </row>
    <row r="4099" spans="60:63" ht="14.25" x14ac:dyDescent="0.2">
      <c r="BH4099" s="25"/>
      <c r="BI4099" s="25"/>
      <c r="BJ4099" s="25"/>
      <c r="BK4099" s="25"/>
    </row>
    <row r="4100" spans="60:63" ht="14.25" x14ac:dyDescent="0.2">
      <c r="BH4100" s="25"/>
      <c r="BI4100" s="25"/>
      <c r="BJ4100" s="25"/>
      <c r="BK4100" s="25"/>
    </row>
    <row r="4101" spans="60:63" ht="14.25" x14ac:dyDescent="0.2">
      <c r="BH4101" s="25"/>
      <c r="BI4101" s="25"/>
      <c r="BJ4101" s="25"/>
      <c r="BK4101" s="25"/>
    </row>
    <row r="4102" spans="60:63" ht="14.25" x14ac:dyDescent="0.2">
      <c r="BH4102" s="25"/>
      <c r="BI4102" s="25"/>
      <c r="BJ4102" s="25"/>
      <c r="BK4102" s="25"/>
    </row>
    <row r="4103" spans="60:63" ht="14.25" x14ac:dyDescent="0.2">
      <c r="BH4103" s="25"/>
      <c r="BI4103" s="25"/>
      <c r="BJ4103" s="25"/>
      <c r="BK4103" s="25"/>
    </row>
    <row r="4104" spans="60:63" ht="14.25" x14ac:dyDescent="0.2">
      <c r="BH4104" s="25"/>
      <c r="BI4104" s="25"/>
      <c r="BJ4104" s="25"/>
      <c r="BK4104" s="25"/>
    </row>
    <row r="4105" spans="60:63" ht="14.25" x14ac:dyDescent="0.2">
      <c r="BH4105" s="25"/>
      <c r="BI4105" s="25"/>
      <c r="BJ4105" s="25"/>
      <c r="BK4105" s="25"/>
    </row>
    <row r="4106" spans="60:63" ht="14.25" x14ac:dyDescent="0.2">
      <c r="BH4106" s="25"/>
      <c r="BI4106" s="25"/>
      <c r="BJ4106" s="25"/>
      <c r="BK4106" s="25"/>
    </row>
    <row r="4107" spans="60:63" ht="14.25" x14ac:dyDescent="0.2">
      <c r="BH4107" s="25"/>
      <c r="BI4107" s="25"/>
      <c r="BJ4107" s="25"/>
      <c r="BK4107" s="25"/>
    </row>
    <row r="4108" spans="60:63" ht="14.25" x14ac:dyDescent="0.2">
      <c r="BH4108" s="25"/>
      <c r="BI4108" s="25"/>
      <c r="BJ4108" s="25"/>
      <c r="BK4108" s="25"/>
    </row>
    <row r="4109" spans="60:63" ht="14.25" x14ac:dyDescent="0.2">
      <c r="BH4109" s="25"/>
      <c r="BI4109" s="25"/>
      <c r="BJ4109" s="25"/>
      <c r="BK4109" s="25"/>
    </row>
    <row r="4110" spans="60:63" ht="14.25" x14ac:dyDescent="0.2">
      <c r="BH4110" s="25"/>
      <c r="BI4110" s="25"/>
      <c r="BJ4110" s="25"/>
      <c r="BK4110" s="25"/>
    </row>
    <row r="4111" spans="60:63" ht="14.25" x14ac:dyDescent="0.2">
      <c r="BH4111" s="25"/>
      <c r="BI4111" s="25"/>
      <c r="BJ4111" s="25"/>
      <c r="BK4111" s="25"/>
    </row>
    <row r="4112" spans="60:63" ht="14.25" x14ac:dyDescent="0.2">
      <c r="BH4112" s="25"/>
      <c r="BI4112" s="25"/>
      <c r="BJ4112" s="25"/>
      <c r="BK4112" s="25"/>
    </row>
    <row r="4113" spans="60:63" ht="14.25" x14ac:dyDescent="0.2">
      <c r="BH4113" s="25"/>
      <c r="BI4113" s="25"/>
      <c r="BJ4113" s="25"/>
      <c r="BK4113" s="25"/>
    </row>
    <row r="4114" spans="60:63" ht="14.25" x14ac:dyDescent="0.2">
      <c r="BH4114" s="25"/>
      <c r="BI4114" s="25"/>
      <c r="BJ4114" s="25"/>
      <c r="BK4114" s="25"/>
    </row>
    <row r="4115" spans="60:63" ht="14.25" x14ac:dyDescent="0.2">
      <c r="BH4115" s="25"/>
      <c r="BI4115" s="25"/>
      <c r="BJ4115" s="25"/>
      <c r="BK4115" s="25"/>
    </row>
    <row r="4116" spans="60:63" ht="14.25" x14ac:dyDescent="0.2">
      <c r="BH4116" s="25"/>
      <c r="BI4116" s="25"/>
      <c r="BJ4116" s="25"/>
      <c r="BK4116" s="25"/>
    </row>
    <row r="4117" spans="60:63" ht="14.25" x14ac:dyDescent="0.2">
      <c r="BH4117" s="25"/>
      <c r="BI4117" s="25"/>
      <c r="BJ4117" s="25"/>
      <c r="BK4117" s="25"/>
    </row>
    <row r="4118" spans="60:63" ht="14.25" x14ac:dyDescent="0.2">
      <c r="BH4118" s="25"/>
      <c r="BI4118" s="25"/>
      <c r="BJ4118" s="25"/>
      <c r="BK4118" s="25"/>
    </row>
    <row r="4119" spans="60:63" ht="14.25" x14ac:dyDescent="0.2">
      <c r="BH4119" s="25"/>
      <c r="BI4119" s="25"/>
      <c r="BJ4119" s="25"/>
      <c r="BK4119" s="25"/>
    </row>
    <row r="4120" spans="60:63" ht="14.25" x14ac:dyDescent="0.2">
      <c r="BH4120" s="25"/>
      <c r="BI4120" s="25"/>
      <c r="BJ4120" s="25"/>
      <c r="BK4120" s="25"/>
    </row>
    <row r="4121" spans="60:63" ht="14.25" x14ac:dyDescent="0.2">
      <c r="BH4121" s="25"/>
      <c r="BI4121" s="25"/>
      <c r="BJ4121" s="25"/>
      <c r="BK4121" s="25"/>
    </row>
    <row r="4122" spans="60:63" ht="14.25" x14ac:dyDescent="0.2">
      <c r="BH4122" s="25"/>
      <c r="BI4122" s="25"/>
      <c r="BJ4122" s="25"/>
      <c r="BK4122" s="25"/>
    </row>
    <row r="4123" spans="60:63" ht="14.25" x14ac:dyDescent="0.2">
      <c r="BH4123" s="25"/>
      <c r="BI4123" s="25"/>
      <c r="BJ4123" s="25"/>
      <c r="BK4123" s="25"/>
    </row>
    <row r="4124" spans="60:63" ht="14.25" x14ac:dyDescent="0.2">
      <c r="BH4124" s="25"/>
      <c r="BI4124" s="25"/>
      <c r="BJ4124" s="25"/>
      <c r="BK4124" s="25"/>
    </row>
    <row r="4125" spans="60:63" ht="14.25" x14ac:dyDescent="0.2">
      <c r="BH4125" s="25"/>
      <c r="BI4125" s="25"/>
      <c r="BJ4125" s="25"/>
      <c r="BK4125" s="25"/>
    </row>
    <row r="4126" spans="60:63" ht="14.25" x14ac:dyDescent="0.2">
      <c r="BH4126" s="25"/>
      <c r="BI4126" s="25"/>
      <c r="BJ4126" s="25"/>
      <c r="BK4126" s="25"/>
    </row>
    <row r="4127" spans="60:63" ht="14.25" x14ac:dyDescent="0.2">
      <c r="BH4127" s="25"/>
      <c r="BI4127" s="25"/>
      <c r="BJ4127" s="25"/>
      <c r="BK4127" s="25"/>
    </row>
    <row r="4128" spans="60:63" ht="14.25" x14ac:dyDescent="0.2">
      <c r="BH4128" s="25"/>
      <c r="BI4128" s="25"/>
      <c r="BJ4128" s="25"/>
      <c r="BK4128" s="25"/>
    </row>
    <row r="4129" spans="60:63" ht="14.25" x14ac:dyDescent="0.2">
      <c r="BH4129" s="25"/>
      <c r="BI4129" s="25"/>
      <c r="BJ4129" s="25"/>
      <c r="BK4129" s="25"/>
    </row>
    <row r="4130" spans="60:63" ht="14.25" x14ac:dyDescent="0.2">
      <c r="BH4130" s="25"/>
      <c r="BI4130" s="25"/>
      <c r="BJ4130" s="25"/>
      <c r="BK4130" s="25"/>
    </row>
    <row r="4131" spans="60:63" ht="14.25" x14ac:dyDescent="0.2">
      <c r="BH4131" s="25"/>
      <c r="BI4131" s="25"/>
      <c r="BJ4131" s="25"/>
      <c r="BK4131" s="25"/>
    </row>
    <row r="4132" spans="60:63" ht="14.25" x14ac:dyDescent="0.2">
      <c r="BH4132" s="25"/>
      <c r="BI4132" s="25"/>
      <c r="BJ4132" s="25"/>
      <c r="BK4132" s="25"/>
    </row>
    <row r="4133" spans="60:63" ht="14.25" x14ac:dyDescent="0.2">
      <c r="BH4133" s="25"/>
      <c r="BI4133" s="25"/>
      <c r="BJ4133" s="25"/>
      <c r="BK4133" s="25"/>
    </row>
    <row r="4134" spans="60:63" ht="14.25" x14ac:dyDescent="0.2">
      <c r="BH4134" s="25"/>
      <c r="BI4134" s="25"/>
      <c r="BJ4134" s="25"/>
      <c r="BK4134" s="25"/>
    </row>
    <row r="4135" spans="60:63" ht="14.25" x14ac:dyDescent="0.2">
      <c r="BH4135" s="25"/>
      <c r="BI4135" s="25"/>
      <c r="BJ4135" s="25"/>
      <c r="BK4135" s="25"/>
    </row>
    <row r="4136" spans="60:63" ht="14.25" x14ac:dyDescent="0.2">
      <c r="BH4136" s="25"/>
      <c r="BI4136" s="25"/>
      <c r="BJ4136" s="25"/>
      <c r="BK4136" s="25"/>
    </row>
    <row r="4137" spans="60:63" ht="14.25" x14ac:dyDescent="0.2">
      <c r="BH4137" s="25"/>
      <c r="BI4137" s="25"/>
      <c r="BJ4137" s="25"/>
      <c r="BK4137" s="25"/>
    </row>
    <row r="4138" spans="60:63" ht="14.25" x14ac:dyDescent="0.2">
      <c r="BH4138" s="25"/>
      <c r="BI4138" s="25"/>
      <c r="BJ4138" s="25"/>
      <c r="BK4138" s="25"/>
    </row>
    <row r="4139" spans="60:63" ht="14.25" x14ac:dyDescent="0.2">
      <c r="BH4139" s="25"/>
      <c r="BI4139" s="25"/>
      <c r="BJ4139" s="25"/>
      <c r="BK4139" s="25"/>
    </row>
    <row r="4140" spans="60:63" ht="14.25" x14ac:dyDescent="0.2">
      <c r="BH4140" s="25"/>
      <c r="BI4140" s="25"/>
      <c r="BJ4140" s="25"/>
      <c r="BK4140" s="25"/>
    </row>
    <row r="4141" spans="60:63" ht="14.25" x14ac:dyDescent="0.2">
      <c r="BH4141" s="25"/>
      <c r="BI4141" s="25"/>
      <c r="BJ4141" s="25"/>
      <c r="BK4141" s="25"/>
    </row>
    <row r="4142" spans="60:63" ht="14.25" x14ac:dyDescent="0.2">
      <c r="BH4142" s="25"/>
      <c r="BI4142" s="25"/>
      <c r="BJ4142" s="25"/>
      <c r="BK4142" s="25"/>
    </row>
    <row r="4143" spans="60:63" ht="14.25" x14ac:dyDescent="0.2">
      <c r="BH4143" s="25"/>
      <c r="BI4143" s="25"/>
      <c r="BJ4143" s="25"/>
      <c r="BK4143" s="25"/>
    </row>
    <row r="4144" spans="60:63" ht="14.25" x14ac:dyDescent="0.2">
      <c r="BH4144" s="25"/>
      <c r="BI4144" s="25"/>
      <c r="BJ4144" s="25"/>
      <c r="BK4144" s="25"/>
    </row>
    <row r="4145" spans="60:63" ht="14.25" x14ac:dyDescent="0.2">
      <c r="BH4145" s="25"/>
      <c r="BI4145" s="25"/>
      <c r="BJ4145" s="25"/>
      <c r="BK4145" s="25"/>
    </row>
    <row r="4146" spans="60:63" ht="14.25" x14ac:dyDescent="0.2">
      <c r="BH4146" s="25"/>
      <c r="BI4146" s="25"/>
      <c r="BJ4146" s="25"/>
      <c r="BK4146" s="25"/>
    </row>
    <row r="4147" spans="60:63" ht="14.25" x14ac:dyDescent="0.2">
      <c r="BH4147" s="25"/>
      <c r="BI4147" s="25"/>
      <c r="BJ4147" s="25"/>
      <c r="BK4147" s="25"/>
    </row>
    <row r="4148" spans="60:63" ht="14.25" x14ac:dyDescent="0.2">
      <c r="BH4148" s="25"/>
      <c r="BI4148" s="25"/>
      <c r="BJ4148" s="25"/>
      <c r="BK4148" s="25"/>
    </row>
    <row r="4149" spans="60:63" ht="14.25" x14ac:dyDescent="0.2">
      <c r="BH4149" s="25"/>
      <c r="BI4149" s="25"/>
      <c r="BJ4149" s="25"/>
      <c r="BK4149" s="25"/>
    </row>
    <row r="4150" spans="60:63" ht="14.25" x14ac:dyDescent="0.2">
      <c r="BH4150" s="25"/>
      <c r="BI4150" s="25"/>
      <c r="BJ4150" s="25"/>
      <c r="BK4150" s="25"/>
    </row>
    <row r="4151" spans="60:63" ht="14.25" x14ac:dyDescent="0.2">
      <c r="BH4151" s="25"/>
      <c r="BI4151" s="25"/>
      <c r="BJ4151" s="25"/>
      <c r="BK4151" s="25"/>
    </row>
    <row r="4152" spans="60:63" ht="14.25" x14ac:dyDescent="0.2">
      <c r="BH4152" s="25"/>
      <c r="BI4152" s="25"/>
      <c r="BJ4152" s="25"/>
      <c r="BK4152" s="25"/>
    </row>
    <row r="4153" spans="60:63" ht="14.25" x14ac:dyDescent="0.2">
      <c r="BH4153" s="25"/>
      <c r="BI4153" s="25"/>
      <c r="BJ4153" s="25"/>
      <c r="BK4153" s="25"/>
    </row>
    <row r="4154" spans="60:63" ht="14.25" x14ac:dyDescent="0.2">
      <c r="BH4154" s="25"/>
      <c r="BI4154" s="25"/>
      <c r="BJ4154" s="25"/>
      <c r="BK4154" s="25"/>
    </row>
    <row r="4155" spans="60:63" ht="14.25" x14ac:dyDescent="0.2">
      <c r="BH4155" s="25"/>
      <c r="BI4155" s="25"/>
      <c r="BJ4155" s="25"/>
      <c r="BK4155" s="25"/>
    </row>
    <row r="4156" spans="60:63" ht="14.25" x14ac:dyDescent="0.2">
      <c r="BH4156" s="25"/>
      <c r="BI4156" s="25"/>
      <c r="BJ4156" s="25"/>
      <c r="BK4156" s="25"/>
    </row>
    <row r="4157" spans="60:63" ht="14.25" x14ac:dyDescent="0.2">
      <c r="BH4157" s="25"/>
      <c r="BI4157" s="25"/>
      <c r="BJ4157" s="25"/>
      <c r="BK4157" s="25"/>
    </row>
    <row r="4158" spans="60:63" ht="14.25" x14ac:dyDescent="0.2">
      <c r="BH4158" s="25"/>
      <c r="BI4158" s="25"/>
      <c r="BJ4158" s="25"/>
      <c r="BK4158" s="25"/>
    </row>
    <row r="4159" spans="60:63" ht="14.25" x14ac:dyDescent="0.2">
      <c r="BH4159" s="25"/>
      <c r="BI4159" s="25"/>
      <c r="BJ4159" s="25"/>
      <c r="BK4159" s="25"/>
    </row>
    <row r="4160" spans="60:63" ht="14.25" x14ac:dyDescent="0.2">
      <c r="BH4160" s="25"/>
      <c r="BI4160" s="25"/>
      <c r="BJ4160" s="25"/>
      <c r="BK4160" s="25"/>
    </row>
    <row r="4161" spans="60:63" ht="14.25" x14ac:dyDescent="0.2">
      <c r="BH4161" s="25"/>
      <c r="BI4161" s="25"/>
      <c r="BJ4161" s="25"/>
      <c r="BK4161" s="25"/>
    </row>
    <row r="4162" spans="60:63" ht="14.25" x14ac:dyDescent="0.2">
      <c r="BH4162" s="25"/>
      <c r="BI4162" s="25"/>
      <c r="BJ4162" s="25"/>
      <c r="BK4162" s="25"/>
    </row>
    <row r="4163" spans="60:63" ht="14.25" x14ac:dyDescent="0.2">
      <c r="BH4163" s="25"/>
      <c r="BI4163" s="25"/>
      <c r="BJ4163" s="25"/>
      <c r="BK4163" s="25"/>
    </row>
    <row r="4164" spans="60:63" ht="14.25" x14ac:dyDescent="0.2">
      <c r="BH4164" s="25"/>
      <c r="BI4164" s="25"/>
      <c r="BJ4164" s="25"/>
      <c r="BK4164" s="25"/>
    </row>
    <row r="4165" spans="60:63" ht="14.25" x14ac:dyDescent="0.2">
      <c r="BH4165" s="25"/>
      <c r="BI4165" s="25"/>
      <c r="BJ4165" s="25"/>
      <c r="BK4165" s="25"/>
    </row>
    <row r="4166" spans="60:63" ht="14.25" x14ac:dyDescent="0.2">
      <c r="BH4166" s="25"/>
      <c r="BI4166" s="25"/>
      <c r="BJ4166" s="25"/>
      <c r="BK4166" s="25"/>
    </row>
    <row r="4167" spans="60:63" ht="14.25" x14ac:dyDescent="0.2">
      <c r="BH4167" s="25"/>
      <c r="BI4167" s="25"/>
      <c r="BJ4167" s="25"/>
      <c r="BK4167" s="25"/>
    </row>
    <row r="4168" spans="60:63" ht="14.25" x14ac:dyDescent="0.2">
      <c r="BH4168" s="25"/>
      <c r="BI4168" s="25"/>
      <c r="BJ4168" s="25"/>
      <c r="BK4168" s="25"/>
    </row>
    <row r="4169" spans="60:63" ht="14.25" x14ac:dyDescent="0.2">
      <c r="BH4169" s="25"/>
      <c r="BI4169" s="25"/>
      <c r="BJ4169" s="25"/>
      <c r="BK4169" s="25"/>
    </row>
    <row r="4170" spans="60:63" ht="14.25" x14ac:dyDescent="0.2">
      <c r="BH4170" s="25"/>
      <c r="BI4170" s="25"/>
      <c r="BJ4170" s="25"/>
      <c r="BK4170" s="25"/>
    </row>
    <row r="4171" spans="60:63" ht="14.25" x14ac:dyDescent="0.2">
      <c r="BH4171" s="25"/>
      <c r="BI4171" s="25"/>
      <c r="BJ4171" s="25"/>
      <c r="BK4171" s="25"/>
    </row>
    <row r="4172" spans="60:63" ht="14.25" x14ac:dyDescent="0.2">
      <c r="BH4172" s="25"/>
      <c r="BI4172" s="25"/>
      <c r="BJ4172" s="25"/>
      <c r="BK4172" s="25"/>
    </row>
    <row r="4173" spans="60:63" ht="14.25" x14ac:dyDescent="0.2">
      <c r="BH4173" s="25"/>
      <c r="BI4173" s="25"/>
      <c r="BJ4173" s="25"/>
      <c r="BK4173" s="25"/>
    </row>
    <row r="4174" spans="60:63" ht="14.25" x14ac:dyDescent="0.2">
      <c r="BH4174" s="25"/>
      <c r="BI4174" s="25"/>
      <c r="BJ4174" s="25"/>
      <c r="BK4174" s="25"/>
    </row>
    <row r="4175" spans="60:63" ht="14.25" x14ac:dyDescent="0.2">
      <c r="BH4175" s="25"/>
      <c r="BI4175" s="25"/>
      <c r="BJ4175" s="25"/>
      <c r="BK4175" s="25"/>
    </row>
    <row r="4176" spans="60:63" ht="14.25" x14ac:dyDescent="0.2">
      <c r="BH4176" s="25"/>
      <c r="BI4176" s="25"/>
      <c r="BJ4176" s="25"/>
      <c r="BK4176" s="25"/>
    </row>
    <row r="4177" spans="60:63" ht="14.25" x14ac:dyDescent="0.2">
      <c r="BH4177" s="25"/>
      <c r="BI4177" s="25"/>
      <c r="BJ4177" s="25"/>
      <c r="BK4177" s="25"/>
    </row>
    <row r="4178" spans="60:63" ht="14.25" x14ac:dyDescent="0.2">
      <c r="BH4178" s="25"/>
      <c r="BI4178" s="25"/>
      <c r="BJ4178" s="25"/>
      <c r="BK4178" s="25"/>
    </row>
    <row r="4179" spans="60:63" ht="14.25" x14ac:dyDescent="0.2">
      <c r="BH4179" s="25"/>
      <c r="BI4179" s="25"/>
      <c r="BJ4179" s="25"/>
      <c r="BK4179" s="25"/>
    </row>
    <row r="4180" spans="60:63" ht="14.25" x14ac:dyDescent="0.2">
      <c r="BH4180" s="25"/>
      <c r="BI4180" s="25"/>
      <c r="BJ4180" s="25"/>
      <c r="BK4180" s="25"/>
    </row>
    <row r="4181" spans="60:63" ht="14.25" x14ac:dyDescent="0.2">
      <c r="BH4181" s="25"/>
      <c r="BI4181" s="25"/>
      <c r="BJ4181" s="25"/>
      <c r="BK4181" s="25"/>
    </row>
    <row r="4182" spans="60:63" ht="14.25" x14ac:dyDescent="0.2">
      <c r="BH4182" s="25"/>
      <c r="BI4182" s="25"/>
      <c r="BJ4182" s="25"/>
      <c r="BK4182" s="25"/>
    </row>
    <row r="4183" spans="60:63" ht="14.25" x14ac:dyDescent="0.2">
      <c r="BH4183" s="25"/>
      <c r="BI4183" s="25"/>
      <c r="BJ4183" s="25"/>
      <c r="BK4183" s="25"/>
    </row>
    <row r="4184" spans="60:63" ht="14.25" x14ac:dyDescent="0.2">
      <c r="BH4184" s="25"/>
      <c r="BI4184" s="25"/>
      <c r="BJ4184" s="25"/>
      <c r="BK4184" s="25"/>
    </row>
    <row r="4185" spans="60:63" ht="14.25" x14ac:dyDescent="0.2">
      <c r="BH4185" s="25"/>
      <c r="BI4185" s="25"/>
      <c r="BJ4185" s="25"/>
      <c r="BK4185" s="25"/>
    </row>
    <row r="4186" spans="60:63" ht="14.25" x14ac:dyDescent="0.2">
      <c r="BH4186" s="25"/>
      <c r="BI4186" s="25"/>
      <c r="BJ4186" s="25"/>
      <c r="BK4186" s="25"/>
    </row>
    <row r="4187" spans="60:63" ht="14.25" x14ac:dyDescent="0.2">
      <c r="BH4187" s="25"/>
      <c r="BI4187" s="25"/>
      <c r="BJ4187" s="25"/>
      <c r="BK4187" s="25"/>
    </row>
    <row r="4188" spans="60:63" ht="14.25" x14ac:dyDescent="0.2">
      <c r="BH4188" s="25"/>
      <c r="BI4188" s="25"/>
      <c r="BJ4188" s="25"/>
      <c r="BK4188" s="25"/>
    </row>
    <row r="4189" spans="60:63" ht="14.25" x14ac:dyDescent="0.2">
      <c r="BH4189" s="25"/>
      <c r="BI4189" s="25"/>
      <c r="BJ4189" s="25"/>
      <c r="BK4189" s="25"/>
    </row>
    <row r="4190" spans="60:63" ht="14.25" x14ac:dyDescent="0.2">
      <c r="BH4190" s="25"/>
      <c r="BI4190" s="25"/>
      <c r="BJ4190" s="25"/>
      <c r="BK4190" s="25"/>
    </row>
    <row r="4191" spans="60:63" ht="14.25" x14ac:dyDescent="0.2">
      <c r="BH4191" s="25"/>
      <c r="BI4191" s="25"/>
      <c r="BJ4191" s="25"/>
      <c r="BK4191" s="25"/>
    </row>
    <row r="4192" spans="60:63" ht="14.25" x14ac:dyDescent="0.2">
      <c r="BH4192" s="25"/>
      <c r="BI4192" s="25"/>
      <c r="BJ4192" s="25"/>
      <c r="BK4192" s="25"/>
    </row>
    <row r="4193" spans="60:63" ht="14.25" x14ac:dyDescent="0.2">
      <c r="BH4193" s="25"/>
      <c r="BI4193" s="25"/>
      <c r="BJ4193" s="25"/>
      <c r="BK4193" s="25"/>
    </row>
    <row r="4194" spans="60:63" ht="14.25" x14ac:dyDescent="0.2">
      <c r="BH4194" s="25"/>
      <c r="BI4194" s="25"/>
      <c r="BJ4194" s="25"/>
      <c r="BK4194" s="25"/>
    </row>
    <row r="4195" spans="60:63" ht="14.25" x14ac:dyDescent="0.2">
      <c r="BH4195" s="25"/>
      <c r="BI4195" s="25"/>
      <c r="BJ4195" s="25"/>
      <c r="BK4195" s="25"/>
    </row>
    <row r="4196" spans="60:63" ht="14.25" x14ac:dyDescent="0.2">
      <c r="BH4196" s="25"/>
      <c r="BI4196" s="25"/>
      <c r="BJ4196" s="25"/>
      <c r="BK4196" s="25"/>
    </row>
    <row r="4197" spans="60:63" ht="14.25" x14ac:dyDescent="0.2">
      <c r="BH4197" s="25"/>
      <c r="BI4197" s="25"/>
      <c r="BJ4197" s="25"/>
      <c r="BK4197" s="25"/>
    </row>
    <row r="4198" spans="60:63" ht="14.25" x14ac:dyDescent="0.2">
      <c r="BH4198" s="25"/>
      <c r="BI4198" s="25"/>
      <c r="BJ4198" s="25"/>
      <c r="BK4198" s="25"/>
    </row>
    <row r="4199" spans="60:63" ht="14.25" x14ac:dyDescent="0.2">
      <c r="BH4199" s="25"/>
      <c r="BI4199" s="25"/>
      <c r="BJ4199" s="25"/>
      <c r="BK4199" s="25"/>
    </row>
    <row r="4200" spans="60:63" ht="14.25" x14ac:dyDescent="0.2">
      <c r="BH4200" s="25"/>
      <c r="BI4200" s="25"/>
      <c r="BJ4200" s="25"/>
      <c r="BK4200" s="25"/>
    </row>
    <row r="4201" spans="60:63" ht="14.25" x14ac:dyDescent="0.2">
      <c r="BH4201" s="25"/>
      <c r="BI4201" s="25"/>
      <c r="BJ4201" s="25"/>
      <c r="BK4201" s="25"/>
    </row>
    <row r="4202" spans="60:63" ht="14.25" x14ac:dyDescent="0.2">
      <c r="BH4202" s="25"/>
      <c r="BI4202" s="25"/>
      <c r="BJ4202" s="25"/>
      <c r="BK4202" s="25"/>
    </row>
    <row r="4203" spans="60:63" ht="14.25" x14ac:dyDescent="0.2">
      <c r="BH4203" s="25"/>
      <c r="BI4203" s="25"/>
      <c r="BJ4203" s="25"/>
      <c r="BK4203" s="25"/>
    </row>
    <row r="4204" spans="60:63" ht="14.25" x14ac:dyDescent="0.2">
      <c r="BH4204" s="25"/>
      <c r="BI4204" s="25"/>
      <c r="BJ4204" s="25"/>
      <c r="BK4204" s="25"/>
    </row>
    <row r="4205" spans="60:63" ht="14.25" x14ac:dyDescent="0.2">
      <c r="BH4205" s="25"/>
      <c r="BI4205" s="25"/>
      <c r="BJ4205" s="25"/>
      <c r="BK4205" s="25"/>
    </row>
    <row r="4206" spans="60:63" ht="14.25" x14ac:dyDescent="0.2">
      <c r="BH4206" s="25"/>
      <c r="BI4206" s="25"/>
      <c r="BJ4206" s="25"/>
      <c r="BK4206" s="25"/>
    </row>
    <row r="4207" spans="60:63" ht="14.25" x14ac:dyDescent="0.2">
      <c r="BH4207" s="25"/>
      <c r="BI4207" s="25"/>
      <c r="BJ4207" s="25"/>
      <c r="BK4207" s="25"/>
    </row>
    <row r="4208" spans="60:63" ht="14.25" x14ac:dyDescent="0.2">
      <c r="BH4208" s="25"/>
      <c r="BI4208" s="25"/>
      <c r="BJ4208" s="25"/>
      <c r="BK4208" s="25"/>
    </row>
    <row r="4209" spans="60:63" ht="14.25" x14ac:dyDescent="0.2">
      <c r="BH4209" s="25"/>
      <c r="BI4209" s="25"/>
      <c r="BJ4209" s="25"/>
      <c r="BK4209" s="25"/>
    </row>
    <row r="4210" spans="60:63" ht="14.25" x14ac:dyDescent="0.2">
      <c r="BH4210" s="25"/>
      <c r="BI4210" s="25"/>
      <c r="BJ4210" s="25"/>
      <c r="BK4210" s="25"/>
    </row>
    <row r="4211" spans="60:63" ht="14.25" x14ac:dyDescent="0.2">
      <c r="BH4211" s="25"/>
      <c r="BI4211" s="25"/>
      <c r="BJ4211" s="25"/>
      <c r="BK4211" s="25"/>
    </row>
    <row r="4212" spans="60:63" ht="14.25" x14ac:dyDescent="0.2">
      <c r="BH4212" s="25"/>
      <c r="BI4212" s="25"/>
      <c r="BJ4212" s="25"/>
      <c r="BK4212" s="25"/>
    </row>
    <row r="4213" spans="60:63" ht="14.25" x14ac:dyDescent="0.2">
      <c r="BH4213" s="25"/>
      <c r="BI4213" s="25"/>
      <c r="BJ4213" s="25"/>
      <c r="BK4213" s="25"/>
    </row>
    <row r="4214" spans="60:63" ht="14.25" x14ac:dyDescent="0.2">
      <c r="BH4214" s="25"/>
      <c r="BI4214" s="25"/>
      <c r="BJ4214" s="25"/>
      <c r="BK4214" s="25"/>
    </row>
    <row r="4215" spans="60:63" ht="14.25" x14ac:dyDescent="0.2">
      <c r="BH4215" s="25"/>
      <c r="BI4215" s="25"/>
      <c r="BJ4215" s="25"/>
      <c r="BK4215" s="25"/>
    </row>
    <row r="4216" spans="60:63" ht="14.25" x14ac:dyDescent="0.2">
      <c r="BH4216" s="25"/>
      <c r="BI4216" s="25"/>
      <c r="BJ4216" s="25"/>
      <c r="BK4216" s="25"/>
    </row>
    <row r="4217" spans="60:63" ht="14.25" x14ac:dyDescent="0.2">
      <c r="BH4217" s="25"/>
      <c r="BI4217" s="25"/>
      <c r="BJ4217" s="25"/>
      <c r="BK4217" s="25"/>
    </row>
    <row r="4218" spans="60:63" ht="14.25" x14ac:dyDescent="0.2">
      <c r="BH4218" s="25"/>
      <c r="BI4218" s="25"/>
      <c r="BJ4218" s="25"/>
      <c r="BK4218" s="25"/>
    </row>
    <row r="4219" spans="60:63" ht="14.25" x14ac:dyDescent="0.2">
      <c r="BH4219" s="25"/>
      <c r="BI4219" s="25"/>
      <c r="BJ4219" s="25"/>
      <c r="BK4219" s="25"/>
    </row>
    <row r="4220" spans="60:63" ht="14.25" x14ac:dyDescent="0.2">
      <c r="BH4220" s="25"/>
      <c r="BI4220" s="25"/>
      <c r="BJ4220" s="25"/>
      <c r="BK4220" s="25"/>
    </row>
    <row r="4221" spans="60:63" ht="14.25" x14ac:dyDescent="0.2">
      <c r="BH4221" s="25"/>
      <c r="BI4221" s="25"/>
      <c r="BJ4221" s="25"/>
      <c r="BK4221" s="25"/>
    </row>
    <row r="4222" spans="60:63" ht="14.25" x14ac:dyDescent="0.2">
      <c r="BH4222" s="25"/>
      <c r="BI4222" s="25"/>
      <c r="BJ4222" s="25"/>
      <c r="BK4222" s="25"/>
    </row>
    <row r="4223" spans="60:63" ht="14.25" x14ac:dyDescent="0.2">
      <c r="BH4223" s="25"/>
      <c r="BI4223" s="25"/>
      <c r="BJ4223" s="25"/>
      <c r="BK4223" s="25"/>
    </row>
    <row r="4224" spans="60:63" ht="14.25" x14ac:dyDescent="0.2">
      <c r="BH4224" s="25"/>
      <c r="BI4224" s="25"/>
      <c r="BJ4224" s="25"/>
      <c r="BK4224" s="25"/>
    </row>
    <row r="4225" spans="60:63" ht="14.25" x14ac:dyDescent="0.2">
      <c r="BH4225" s="25"/>
      <c r="BI4225" s="25"/>
      <c r="BJ4225" s="25"/>
      <c r="BK4225" s="25"/>
    </row>
    <row r="4226" spans="60:63" ht="14.25" x14ac:dyDescent="0.2">
      <c r="BH4226" s="25"/>
      <c r="BI4226" s="25"/>
      <c r="BJ4226" s="25"/>
      <c r="BK4226" s="25"/>
    </row>
    <row r="4227" spans="60:63" ht="14.25" x14ac:dyDescent="0.2">
      <c r="BH4227" s="25"/>
      <c r="BI4227" s="25"/>
      <c r="BJ4227" s="25"/>
      <c r="BK4227" s="25"/>
    </row>
    <row r="4228" spans="60:63" ht="14.25" x14ac:dyDescent="0.2">
      <c r="BH4228" s="25"/>
      <c r="BI4228" s="25"/>
      <c r="BJ4228" s="25"/>
      <c r="BK4228" s="25"/>
    </row>
    <row r="4229" spans="60:63" ht="14.25" x14ac:dyDescent="0.2">
      <c r="BH4229" s="25"/>
      <c r="BI4229" s="25"/>
      <c r="BJ4229" s="25"/>
      <c r="BK4229" s="25"/>
    </row>
    <row r="4230" spans="60:63" ht="14.25" x14ac:dyDescent="0.2">
      <c r="BH4230" s="25"/>
      <c r="BI4230" s="25"/>
      <c r="BJ4230" s="25"/>
      <c r="BK4230" s="25"/>
    </row>
    <row r="4231" spans="60:63" ht="14.25" x14ac:dyDescent="0.2">
      <c r="BH4231" s="25"/>
      <c r="BI4231" s="25"/>
      <c r="BJ4231" s="25"/>
      <c r="BK4231" s="25"/>
    </row>
    <row r="4232" spans="60:63" ht="14.25" x14ac:dyDescent="0.2">
      <c r="BH4232" s="25"/>
      <c r="BI4232" s="25"/>
      <c r="BJ4232" s="25"/>
      <c r="BK4232" s="25"/>
    </row>
    <row r="4233" spans="60:63" ht="14.25" x14ac:dyDescent="0.2">
      <c r="BH4233" s="25"/>
      <c r="BI4233" s="25"/>
      <c r="BJ4233" s="25"/>
      <c r="BK4233" s="25"/>
    </row>
    <row r="4234" spans="60:63" ht="14.25" x14ac:dyDescent="0.2">
      <c r="BH4234" s="25"/>
      <c r="BI4234" s="25"/>
      <c r="BJ4234" s="25"/>
      <c r="BK4234" s="25"/>
    </row>
    <row r="4235" spans="60:63" ht="14.25" x14ac:dyDescent="0.2">
      <c r="BH4235" s="25"/>
      <c r="BI4235" s="25"/>
      <c r="BJ4235" s="25"/>
      <c r="BK4235" s="25"/>
    </row>
    <row r="4236" spans="60:63" ht="14.25" x14ac:dyDescent="0.2">
      <c r="BH4236" s="25"/>
      <c r="BI4236" s="25"/>
      <c r="BJ4236" s="25"/>
      <c r="BK4236" s="25"/>
    </row>
    <row r="4237" spans="60:63" ht="14.25" x14ac:dyDescent="0.2">
      <c r="BH4237" s="25"/>
      <c r="BI4237" s="25"/>
      <c r="BJ4237" s="25"/>
      <c r="BK4237" s="25"/>
    </row>
    <row r="4238" spans="60:63" ht="14.25" x14ac:dyDescent="0.2">
      <c r="BH4238" s="25"/>
      <c r="BI4238" s="25"/>
      <c r="BJ4238" s="25"/>
      <c r="BK4238" s="25"/>
    </row>
    <row r="4239" spans="60:63" ht="14.25" x14ac:dyDescent="0.2">
      <c r="BH4239" s="25"/>
      <c r="BI4239" s="25"/>
      <c r="BJ4239" s="25"/>
      <c r="BK4239" s="25"/>
    </row>
    <row r="4240" spans="60:63" ht="14.25" x14ac:dyDescent="0.2">
      <c r="BH4240" s="25"/>
      <c r="BI4240" s="25"/>
      <c r="BJ4240" s="25"/>
      <c r="BK4240" s="25"/>
    </row>
    <row r="4241" spans="60:63" ht="14.25" x14ac:dyDescent="0.2">
      <c r="BH4241" s="25"/>
      <c r="BI4241" s="25"/>
      <c r="BJ4241" s="25"/>
      <c r="BK4241" s="25"/>
    </row>
    <row r="4242" spans="60:63" ht="14.25" x14ac:dyDescent="0.2">
      <c r="BH4242" s="25"/>
      <c r="BI4242" s="25"/>
      <c r="BJ4242" s="25"/>
      <c r="BK4242" s="25"/>
    </row>
    <row r="4243" spans="60:63" ht="14.25" x14ac:dyDescent="0.2">
      <c r="BH4243" s="25"/>
      <c r="BI4243" s="25"/>
      <c r="BJ4243" s="25"/>
      <c r="BK4243" s="25"/>
    </row>
    <row r="4244" spans="60:63" ht="14.25" x14ac:dyDescent="0.2">
      <c r="BH4244" s="25"/>
      <c r="BI4244" s="25"/>
      <c r="BJ4244" s="25"/>
      <c r="BK4244" s="25"/>
    </row>
    <row r="4245" spans="60:63" ht="14.25" x14ac:dyDescent="0.2">
      <c r="BH4245" s="25"/>
      <c r="BI4245" s="25"/>
      <c r="BJ4245" s="25"/>
      <c r="BK4245" s="25"/>
    </row>
    <row r="4246" spans="60:63" ht="14.25" x14ac:dyDescent="0.2">
      <c r="BH4246" s="25"/>
      <c r="BI4246" s="25"/>
      <c r="BJ4246" s="25"/>
      <c r="BK4246" s="25"/>
    </row>
    <row r="4247" spans="60:63" ht="14.25" x14ac:dyDescent="0.2">
      <c r="BH4247" s="25"/>
      <c r="BI4247" s="25"/>
      <c r="BJ4247" s="25"/>
      <c r="BK4247" s="25"/>
    </row>
    <row r="4248" spans="60:63" ht="14.25" x14ac:dyDescent="0.2">
      <c r="BH4248" s="25"/>
      <c r="BI4248" s="25"/>
      <c r="BJ4248" s="25"/>
      <c r="BK4248" s="25"/>
    </row>
    <row r="4249" spans="60:63" ht="14.25" x14ac:dyDescent="0.2">
      <c r="BH4249" s="25"/>
      <c r="BI4249" s="25"/>
      <c r="BJ4249" s="25"/>
      <c r="BK4249" s="25"/>
    </row>
    <row r="4250" spans="60:63" ht="14.25" x14ac:dyDescent="0.2">
      <c r="BH4250" s="25"/>
      <c r="BI4250" s="25"/>
      <c r="BJ4250" s="25"/>
      <c r="BK4250" s="25"/>
    </row>
    <row r="4251" spans="60:63" ht="14.25" x14ac:dyDescent="0.2">
      <c r="BH4251" s="25"/>
      <c r="BI4251" s="25"/>
      <c r="BJ4251" s="25"/>
      <c r="BK4251" s="25"/>
    </row>
    <row r="4252" spans="60:63" ht="14.25" x14ac:dyDescent="0.2">
      <c r="BH4252" s="25"/>
      <c r="BI4252" s="25"/>
      <c r="BJ4252" s="25"/>
      <c r="BK4252" s="25"/>
    </row>
    <row r="4253" spans="60:63" ht="14.25" x14ac:dyDescent="0.2">
      <c r="BH4253" s="25"/>
      <c r="BI4253" s="25"/>
      <c r="BJ4253" s="25"/>
      <c r="BK4253" s="25"/>
    </row>
    <row r="4254" spans="60:63" ht="14.25" x14ac:dyDescent="0.2">
      <c r="BH4254" s="25"/>
      <c r="BI4254" s="25"/>
      <c r="BJ4254" s="25"/>
      <c r="BK4254" s="25"/>
    </row>
    <row r="4255" spans="60:63" ht="14.25" x14ac:dyDescent="0.2">
      <c r="BH4255" s="25"/>
      <c r="BI4255" s="25"/>
      <c r="BJ4255" s="25"/>
      <c r="BK4255" s="25"/>
    </row>
    <row r="4256" spans="60:63" ht="14.25" x14ac:dyDescent="0.2">
      <c r="BH4256" s="25"/>
      <c r="BI4256" s="25"/>
      <c r="BJ4256" s="25"/>
      <c r="BK4256" s="25"/>
    </row>
    <row r="4257" spans="60:63" ht="14.25" x14ac:dyDescent="0.2">
      <c r="BH4257" s="25"/>
      <c r="BI4257" s="25"/>
      <c r="BJ4257" s="25"/>
      <c r="BK4257" s="25"/>
    </row>
    <row r="4258" spans="60:63" ht="14.25" x14ac:dyDescent="0.2">
      <c r="BH4258" s="25"/>
      <c r="BI4258" s="25"/>
      <c r="BJ4258" s="25"/>
      <c r="BK4258" s="25"/>
    </row>
    <row r="4259" spans="60:63" ht="14.25" x14ac:dyDescent="0.2">
      <c r="BH4259" s="25"/>
      <c r="BI4259" s="25"/>
      <c r="BJ4259" s="25"/>
      <c r="BK4259" s="25"/>
    </row>
    <row r="4260" spans="60:63" ht="14.25" x14ac:dyDescent="0.2">
      <c r="BH4260" s="25"/>
      <c r="BI4260" s="25"/>
      <c r="BJ4260" s="25"/>
      <c r="BK4260" s="25"/>
    </row>
    <row r="4261" spans="60:63" ht="14.25" x14ac:dyDescent="0.2">
      <c r="BH4261" s="25"/>
      <c r="BI4261" s="25"/>
      <c r="BJ4261" s="25"/>
      <c r="BK4261" s="25"/>
    </row>
    <row r="4262" spans="60:63" ht="14.25" x14ac:dyDescent="0.2">
      <c r="BH4262" s="25"/>
      <c r="BI4262" s="25"/>
      <c r="BJ4262" s="25"/>
      <c r="BK4262" s="25"/>
    </row>
    <row r="4263" spans="60:63" ht="14.25" x14ac:dyDescent="0.2">
      <c r="BH4263" s="25"/>
      <c r="BI4263" s="25"/>
      <c r="BJ4263" s="25"/>
      <c r="BK4263" s="25"/>
    </row>
    <row r="4264" spans="60:63" ht="14.25" x14ac:dyDescent="0.2">
      <c r="BH4264" s="25"/>
      <c r="BI4264" s="25"/>
      <c r="BJ4264" s="25"/>
      <c r="BK4264" s="25"/>
    </row>
    <row r="4265" spans="60:63" ht="14.25" x14ac:dyDescent="0.2">
      <c r="BH4265" s="25"/>
      <c r="BI4265" s="25"/>
      <c r="BJ4265" s="25"/>
      <c r="BK4265" s="25"/>
    </row>
    <row r="4266" spans="60:63" ht="14.25" x14ac:dyDescent="0.2">
      <c r="BH4266" s="25"/>
      <c r="BI4266" s="25"/>
      <c r="BJ4266" s="25"/>
      <c r="BK4266" s="25"/>
    </row>
    <row r="4267" spans="60:63" ht="14.25" x14ac:dyDescent="0.2">
      <c r="BH4267" s="25"/>
      <c r="BI4267" s="25"/>
      <c r="BJ4267" s="25"/>
      <c r="BK4267" s="25"/>
    </row>
    <row r="4268" spans="60:63" ht="14.25" x14ac:dyDescent="0.2">
      <c r="BH4268" s="25"/>
      <c r="BI4268" s="25"/>
      <c r="BJ4268" s="25"/>
      <c r="BK4268" s="25"/>
    </row>
    <row r="4269" spans="60:63" ht="14.25" x14ac:dyDescent="0.2">
      <c r="BH4269" s="25"/>
      <c r="BI4269" s="25"/>
      <c r="BJ4269" s="25"/>
      <c r="BK4269" s="25"/>
    </row>
    <row r="4270" spans="60:63" ht="14.25" x14ac:dyDescent="0.2">
      <c r="BH4270" s="25"/>
      <c r="BI4270" s="25"/>
      <c r="BJ4270" s="25"/>
      <c r="BK4270" s="25"/>
    </row>
    <row r="4271" spans="60:63" ht="14.25" x14ac:dyDescent="0.2">
      <c r="BH4271" s="25"/>
      <c r="BI4271" s="25"/>
      <c r="BJ4271" s="25"/>
      <c r="BK4271" s="25"/>
    </row>
    <row r="4272" spans="60:63" ht="14.25" x14ac:dyDescent="0.2">
      <c r="BH4272" s="25"/>
      <c r="BI4272" s="25"/>
      <c r="BJ4272" s="25"/>
      <c r="BK4272" s="25"/>
    </row>
    <row r="4273" spans="60:63" ht="14.25" x14ac:dyDescent="0.2">
      <c r="BH4273" s="25"/>
      <c r="BI4273" s="25"/>
      <c r="BJ4273" s="25"/>
      <c r="BK4273" s="25"/>
    </row>
    <row r="4274" spans="60:63" ht="14.25" x14ac:dyDescent="0.2">
      <c r="BH4274" s="25"/>
      <c r="BI4274" s="25"/>
      <c r="BJ4274" s="25"/>
      <c r="BK4274" s="25"/>
    </row>
    <row r="4275" spans="60:63" ht="14.25" x14ac:dyDescent="0.2">
      <c r="BH4275" s="25"/>
      <c r="BI4275" s="25"/>
      <c r="BJ4275" s="25"/>
      <c r="BK4275" s="25"/>
    </row>
    <row r="4276" spans="60:63" ht="14.25" x14ac:dyDescent="0.2">
      <c r="BH4276" s="25"/>
      <c r="BI4276" s="25"/>
      <c r="BJ4276" s="25"/>
      <c r="BK4276" s="25"/>
    </row>
    <row r="4277" spans="60:63" ht="14.25" x14ac:dyDescent="0.2">
      <c r="BH4277" s="25"/>
      <c r="BI4277" s="25"/>
      <c r="BJ4277" s="25"/>
      <c r="BK4277" s="25"/>
    </row>
    <row r="4278" spans="60:63" ht="14.25" x14ac:dyDescent="0.2">
      <c r="BH4278" s="25"/>
      <c r="BI4278" s="25"/>
      <c r="BJ4278" s="25"/>
      <c r="BK4278" s="25"/>
    </row>
    <row r="4279" spans="60:63" ht="14.25" x14ac:dyDescent="0.2">
      <c r="BH4279" s="25"/>
      <c r="BI4279" s="25"/>
      <c r="BJ4279" s="25"/>
      <c r="BK4279" s="25"/>
    </row>
    <row r="4280" spans="60:63" ht="14.25" x14ac:dyDescent="0.2">
      <c r="BH4280" s="25"/>
      <c r="BI4280" s="25"/>
      <c r="BJ4280" s="25"/>
      <c r="BK4280" s="25"/>
    </row>
    <row r="4281" spans="60:63" ht="14.25" x14ac:dyDescent="0.2">
      <c r="BH4281" s="25"/>
      <c r="BI4281" s="25"/>
      <c r="BJ4281" s="25"/>
      <c r="BK4281" s="25"/>
    </row>
    <row r="4282" spans="60:63" ht="14.25" x14ac:dyDescent="0.2">
      <c r="BH4282" s="25"/>
      <c r="BI4282" s="25"/>
      <c r="BJ4282" s="25"/>
      <c r="BK4282" s="25"/>
    </row>
    <row r="4283" spans="60:63" ht="14.25" x14ac:dyDescent="0.2">
      <c r="BH4283" s="25"/>
      <c r="BI4283" s="25"/>
      <c r="BJ4283" s="25"/>
      <c r="BK4283" s="25"/>
    </row>
    <row r="4284" spans="60:63" ht="14.25" x14ac:dyDescent="0.2">
      <c r="BH4284" s="25"/>
      <c r="BI4284" s="25"/>
      <c r="BJ4284" s="25"/>
      <c r="BK4284" s="25"/>
    </row>
    <row r="4285" spans="60:63" ht="14.25" x14ac:dyDescent="0.2">
      <c r="BH4285" s="25"/>
      <c r="BI4285" s="25"/>
      <c r="BJ4285" s="25"/>
      <c r="BK4285" s="25"/>
    </row>
    <row r="4286" spans="60:63" ht="14.25" x14ac:dyDescent="0.2">
      <c r="BH4286" s="25"/>
      <c r="BI4286" s="25"/>
      <c r="BJ4286" s="25"/>
      <c r="BK4286" s="25"/>
    </row>
    <row r="4287" spans="60:63" ht="14.25" x14ac:dyDescent="0.2">
      <c r="BH4287" s="25"/>
      <c r="BI4287" s="25"/>
      <c r="BJ4287" s="25"/>
      <c r="BK4287" s="25"/>
    </row>
    <row r="4288" spans="60:63" ht="14.25" x14ac:dyDescent="0.2">
      <c r="BH4288" s="25"/>
      <c r="BI4288" s="25"/>
      <c r="BJ4288" s="25"/>
      <c r="BK4288" s="25"/>
    </row>
    <row r="4289" spans="60:63" ht="14.25" x14ac:dyDescent="0.2">
      <c r="BH4289" s="25"/>
      <c r="BI4289" s="25"/>
      <c r="BJ4289" s="25"/>
      <c r="BK4289" s="25"/>
    </row>
    <row r="4290" spans="60:63" ht="14.25" x14ac:dyDescent="0.2">
      <c r="BH4290" s="25"/>
      <c r="BI4290" s="25"/>
      <c r="BJ4290" s="25"/>
      <c r="BK4290" s="25"/>
    </row>
    <row r="4291" spans="60:63" ht="14.25" x14ac:dyDescent="0.2">
      <c r="BH4291" s="25"/>
      <c r="BI4291" s="25"/>
      <c r="BJ4291" s="25"/>
      <c r="BK4291" s="25"/>
    </row>
    <row r="4292" spans="60:63" ht="14.25" x14ac:dyDescent="0.2">
      <c r="BH4292" s="25"/>
      <c r="BI4292" s="25"/>
      <c r="BJ4292" s="25"/>
      <c r="BK4292" s="25"/>
    </row>
    <row r="4293" spans="60:63" ht="14.25" x14ac:dyDescent="0.2">
      <c r="BH4293" s="25"/>
      <c r="BI4293" s="25"/>
      <c r="BJ4293" s="25"/>
      <c r="BK4293" s="25"/>
    </row>
    <row r="4294" spans="60:63" ht="14.25" x14ac:dyDescent="0.2">
      <c r="BH4294" s="25"/>
      <c r="BI4294" s="25"/>
      <c r="BJ4294" s="25"/>
      <c r="BK4294" s="25"/>
    </row>
    <row r="4295" spans="60:63" ht="14.25" x14ac:dyDescent="0.2">
      <c r="BH4295" s="25"/>
      <c r="BI4295" s="25"/>
      <c r="BJ4295" s="25"/>
      <c r="BK4295" s="25"/>
    </row>
    <row r="4296" spans="60:63" ht="14.25" x14ac:dyDescent="0.2">
      <c r="BH4296" s="25"/>
      <c r="BI4296" s="25"/>
      <c r="BJ4296" s="25"/>
      <c r="BK4296" s="25"/>
    </row>
    <row r="4297" spans="60:63" ht="14.25" x14ac:dyDescent="0.2">
      <c r="BH4297" s="25"/>
      <c r="BI4297" s="25"/>
      <c r="BJ4297" s="25"/>
      <c r="BK4297" s="25"/>
    </row>
    <row r="4298" spans="60:63" ht="14.25" x14ac:dyDescent="0.2">
      <c r="BH4298" s="25"/>
      <c r="BI4298" s="25"/>
      <c r="BJ4298" s="25"/>
      <c r="BK4298" s="25"/>
    </row>
    <row r="4299" spans="60:63" ht="14.25" x14ac:dyDescent="0.2">
      <c r="BH4299" s="25"/>
      <c r="BI4299" s="25"/>
      <c r="BJ4299" s="25"/>
      <c r="BK4299" s="25"/>
    </row>
    <row r="4300" spans="60:63" ht="14.25" x14ac:dyDescent="0.2">
      <c r="BH4300" s="25"/>
      <c r="BI4300" s="25"/>
      <c r="BJ4300" s="25"/>
      <c r="BK4300" s="25"/>
    </row>
    <row r="4301" spans="60:63" ht="14.25" x14ac:dyDescent="0.2">
      <c r="BH4301" s="25"/>
      <c r="BI4301" s="25"/>
      <c r="BJ4301" s="25"/>
      <c r="BK4301" s="25"/>
    </row>
    <row r="4302" spans="60:63" ht="14.25" x14ac:dyDescent="0.2">
      <c r="BH4302" s="25"/>
      <c r="BI4302" s="25"/>
      <c r="BJ4302" s="25"/>
      <c r="BK4302" s="25"/>
    </row>
    <row r="4303" spans="60:63" ht="14.25" x14ac:dyDescent="0.2">
      <c r="BH4303" s="25"/>
      <c r="BI4303" s="25"/>
      <c r="BJ4303" s="25"/>
      <c r="BK4303" s="25"/>
    </row>
    <row r="4304" spans="60:63" ht="14.25" x14ac:dyDescent="0.2">
      <c r="BH4304" s="25"/>
      <c r="BI4304" s="25"/>
      <c r="BJ4304" s="25"/>
      <c r="BK4304" s="25"/>
    </row>
    <row r="4305" spans="60:63" ht="14.25" x14ac:dyDescent="0.2">
      <c r="BH4305" s="25"/>
      <c r="BI4305" s="25"/>
      <c r="BJ4305" s="25"/>
      <c r="BK4305" s="25"/>
    </row>
    <row r="4306" spans="60:63" ht="14.25" x14ac:dyDescent="0.2">
      <c r="BH4306" s="25"/>
      <c r="BI4306" s="25"/>
      <c r="BJ4306" s="25"/>
      <c r="BK4306" s="25"/>
    </row>
    <row r="4307" spans="60:63" ht="14.25" x14ac:dyDescent="0.2">
      <c r="BH4307" s="25"/>
      <c r="BI4307" s="25"/>
      <c r="BJ4307" s="25"/>
      <c r="BK4307" s="25"/>
    </row>
    <row r="4308" spans="60:63" ht="14.25" x14ac:dyDescent="0.2">
      <c r="BH4308" s="25"/>
      <c r="BI4308" s="25"/>
      <c r="BJ4308" s="25"/>
      <c r="BK4308" s="25"/>
    </row>
    <row r="4309" spans="60:63" ht="14.25" x14ac:dyDescent="0.2">
      <c r="BH4309" s="25"/>
      <c r="BI4309" s="25"/>
      <c r="BJ4309" s="25"/>
      <c r="BK4309" s="25"/>
    </row>
    <row r="4310" spans="60:63" ht="14.25" x14ac:dyDescent="0.2">
      <c r="BH4310" s="25"/>
      <c r="BI4310" s="25"/>
      <c r="BJ4310" s="25"/>
      <c r="BK4310" s="25"/>
    </row>
    <row r="4311" spans="60:63" ht="14.25" x14ac:dyDescent="0.2">
      <c r="BH4311" s="25"/>
      <c r="BI4311" s="25"/>
      <c r="BJ4311" s="25"/>
      <c r="BK4311" s="25"/>
    </row>
    <row r="4312" spans="60:63" ht="14.25" x14ac:dyDescent="0.2">
      <c r="BH4312" s="25"/>
      <c r="BI4312" s="25"/>
      <c r="BJ4312" s="25"/>
      <c r="BK4312" s="25"/>
    </row>
    <row r="4313" spans="60:63" ht="14.25" x14ac:dyDescent="0.2">
      <c r="BH4313" s="25"/>
      <c r="BI4313" s="25"/>
      <c r="BJ4313" s="25"/>
      <c r="BK4313" s="25"/>
    </row>
    <row r="4314" spans="60:63" ht="14.25" x14ac:dyDescent="0.2">
      <c r="BH4314" s="25"/>
      <c r="BI4314" s="25"/>
      <c r="BJ4314" s="25"/>
      <c r="BK4314" s="25"/>
    </row>
    <row r="4315" spans="60:63" ht="14.25" x14ac:dyDescent="0.2">
      <c r="BH4315" s="25"/>
      <c r="BI4315" s="25"/>
      <c r="BJ4315" s="25"/>
      <c r="BK4315" s="25"/>
    </row>
    <row r="4316" spans="60:63" ht="14.25" x14ac:dyDescent="0.2">
      <c r="BH4316" s="25"/>
      <c r="BI4316" s="25"/>
      <c r="BJ4316" s="25"/>
      <c r="BK4316" s="25"/>
    </row>
    <row r="4317" spans="60:63" ht="14.25" x14ac:dyDescent="0.2">
      <c r="BH4317" s="25"/>
      <c r="BI4317" s="25"/>
      <c r="BJ4317" s="25"/>
      <c r="BK4317" s="25"/>
    </row>
    <row r="4318" spans="60:63" ht="14.25" x14ac:dyDescent="0.2">
      <c r="BH4318" s="25"/>
      <c r="BI4318" s="25"/>
      <c r="BJ4318" s="25"/>
      <c r="BK4318" s="25"/>
    </row>
    <row r="4319" spans="60:63" ht="14.25" x14ac:dyDescent="0.2">
      <c r="BH4319" s="25"/>
      <c r="BI4319" s="25"/>
      <c r="BJ4319" s="25"/>
      <c r="BK4319" s="25"/>
    </row>
    <row r="4320" spans="60:63" ht="14.25" x14ac:dyDescent="0.2">
      <c r="BH4320" s="25"/>
      <c r="BI4320" s="25"/>
      <c r="BJ4320" s="25"/>
      <c r="BK4320" s="25"/>
    </row>
    <row r="4321" spans="60:63" ht="14.25" x14ac:dyDescent="0.2">
      <c r="BH4321" s="25"/>
      <c r="BI4321" s="25"/>
      <c r="BJ4321" s="25"/>
      <c r="BK4321" s="25"/>
    </row>
    <row r="4322" spans="60:63" ht="14.25" x14ac:dyDescent="0.2">
      <c r="BH4322" s="25"/>
      <c r="BI4322" s="25"/>
      <c r="BJ4322" s="25"/>
      <c r="BK4322" s="25"/>
    </row>
    <row r="4323" spans="60:63" ht="14.25" x14ac:dyDescent="0.2">
      <c r="BH4323" s="25"/>
      <c r="BI4323" s="25"/>
      <c r="BJ4323" s="25"/>
      <c r="BK4323" s="25"/>
    </row>
    <row r="4324" spans="60:63" ht="14.25" x14ac:dyDescent="0.2">
      <c r="BH4324" s="25"/>
      <c r="BI4324" s="25"/>
      <c r="BJ4324" s="25"/>
      <c r="BK4324" s="25"/>
    </row>
    <row r="4325" spans="60:63" ht="14.25" x14ac:dyDescent="0.2">
      <c r="BH4325" s="25"/>
      <c r="BI4325" s="25"/>
      <c r="BJ4325" s="25"/>
      <c r="BK4325" s="25"/>
    </row>
    <row r="4326" spans="60:63" ht="14.25" x14ac:dyDescent="0.2">
      <c r="BH4326" s="25"/>
      <c r="BI4326" s="25"/>
      <c r="BJ4326" s="25"/>
      <c r="BK4326" s="25"/>
    </row>
    <row r="4327" spans="60:63" ht="14.25" x14ac:dyDescent="0.2">
      <c r="BH4327" s="25"/>
      <c r="BI4327" s="25"/>
      <c r="BJ4327" s="25"/>
      <c r="BK4327" s="25"/>
    </row>
    <row r="4328" spans="60:63" ht="14.25" x14ac:dyDescent="0.2">
      <c r="BH4328" s="25"/>
      <c r="BI4328" s="25"/>
      <c r="BJ4328" s="25"/>
      <c r="BK4328" s="25"/>
    </row>
    <row r="4329" spans="60:63" ht="14.25" x14ac:dyDescent="0.2">
      <c r="BH4329" s="25"/>
      <c r="BI4329" s="25"/>
      <c r="BJ4329" s="25"/>
      <c r="BK4329" s="25"/>
    </row>
    <row r="4330" spans="60:63" ht="14.25" x14ac:dyDescent="0.2">
      <c r="BH4330" s="25"/>
      <c r="BI4330" s="25"/>
      <c r="BJ4330" s="25"/>
      <c r="BK4330" s="25"/>
    </row>
    <row r="4331" spans="60:63" ht="14.25" x14ac:dyDescent="0.2">
      <c r="BH4331" s="25"/>
      <c r="BI4331" s="25"/>
      <c r="BJ4331" s="25"/>
      <c r="BK4331" s="25"/>
    </row>
    <row r="4332" spans="60:63" ht="14.25" x14ac:dyDescent="0.2">
      <c r="BH4332" s="25"/>
      <c r="BI4332" s="25"/>
      <c r="BJ4332" s="25"/>
      <c r="BK4332" s="25"/>
    </row>
    <row r="4333" spans="60:63" ht="14.25" x14ac:dyDescent="0.2">
      <c r="BH4333" s="25"/>
      <c r="BI4333" s="25"/>
      <c r="BJ4333" s="25"/>
      <c r="BK4333" s="25"/>
    </row>
    <row r="4334" spans="60:63" ht="14.25" x14ac:dyDescent="0.2">
      <c r="BH4334" s="25"/>
      <c r="BI4334" s="25"/>
      <c r="BJ4334" s="25"/>
      <c r="BK4334" s="25"/>
    </row>
    <row r="4335" spans="60:63" ht="14.25" x14ac:dyDescent="0.2">
      <c r="BH4335" s="25"/>
      <c r="BI4335" s="25"/>
      <c r="BJ4335" s="25"/>
      <c r="BK4335" s="25"/>
    </row>
    <row r="4336" spans="60:63" ht="14.25" x14ac:dyDescent="0.2">
      <c r="BH4336" s="25"/>
      <c r="BI4336" s="25"/>
      <c r="BJ4336" s="25"/>
      <c r="BK4336" s="25"/>
    </row>
    <row r="4337" spans="60:63" ht="14.25" x14ac:dyDescent="0.2">
      <c r="BH4337" s="25"/>
      <c r="BI4337" s="25"/>
      <c r="BJ4337" s="25"/>
      <c r="BK4337" s="25"/>
    </row>
    <row r="4338" spans="60:63" ht="14.25" x14ac:dyDescent="0.2">
      <c r="BH4338" s="25"/>
      <c r="BI4338" s="25"/>
      <c r="BJ4338" s="25"/>
      <c r="BK4338" s="25"/>
    </row>
    <row r="4339" spans="60:63" ht="14.25" x14ac:dyDescent="0.2">
      <c r="BH4339" s="25"/>
      <c r="BI4339" s="25"/>
      <c r="BJ4339" s="25"/>
      <c r="BK4339" s="25"/>
    </row>
    <row r="4340" spans="60:63" ht="14.25" x14ac:dyDescent="0.2">
      <c r="BH4340" s="25"/>
      <c r="BI4340" s="25"/>
      <c r="BJ4340" s="25"/>
      <c r="BK4340" s="25"/>
    </row>
    <row r="4341" spans="60:63" ht="14.25" x14ac:dyDescent="0.2">
      <c r="BH4341" s="25"/>
      <c r="BI4341" s="25"/>
      <c r="BJ4341" s="25"/>
      <c r="BK4341" s="25"/>
    </row>
    <row r="4342" spans="60:63" ht="14.25" x14ac:dyDescent="0.2">
      <c r="BH4342" s="25"/>
      <c r="BI4342" s="25"/>
      <c r="BJ4342" s="25"/>
      <c r="BK4342" s="25"/>
    </row>
    <row r="4343" spans="60:63" ht="14.25" x14ac:dyDescent="0.2">
      <c r="BH4343" s="25"/>
      <c r="BI4343" s="25"/>
      <c r="BJ4343" s="25"/>
      <c r="BK4343" s="25"/>
    </row>
    <row r="4344" spans="60:63" ht="14.25" x14ac:dyDescent="0.2">
      <c r="BH4344" s="25"/>
      <c r="BI4344" s="25"/>
      <c r="BJ4344" s="25"/>
      <c r="BK4344" s="25"/>
    </row>
    <row r="4345" spans="60:63" ht="14.25" x14ac:dyDescent="0.2">
      <c r="BH4345" s="25"/>
      <c r="BI4345" s="25"/>
      <c r="BJ4345" s="25"/>
      <c r="BK4345" s="25"/>
    </row>
    <row r="4346" spans="60:63" ht="14.25" x14ac:dyDescent="0.2">
      <c r="BH4346" s="25"/>
      <c r="BI4346" s="25"/>
      <c r="BJ4346" s="25"/>
      <c r="BK4346" s="25"/>
    </row>
    <row r="4347" spans="60:63" ht="14.25" x14ac:dyDescent="0.2">
      <c r="BH4347" s="25"/>
      <c r="BI4347" s="25"/>
      <c r="BJ4347" s="25"/>
      <c r="BK4347" s="25"/>
    </row>
    <row r="4348" spans="60:63" ht="14.25" x14ac:dyDescent="0.2">
      <c r="BH4348" s="25"/>
      <c r="BI4348" s="25"/>
      <c r="BJ4348" s="25"/>
      <c r="BK4348" s="25"/>
    </row>
    <row r="4349" spans="60:63" ht="14.25" x14ac:dyDescent="0.2">
      <c r="BH4349" s="25"/>
      <c r="BI4349" s="25"/>
      <c r="BJ4349" s="25"/>
      <c r="BK4349" s="25"/>
    </row>
    <row r="4350" spans="60:63" ht="14.25" x14ac:dyDescent="0.2">
      <c r="BH4350" s="25"/>
      <c r="BI4350" s="25"/>
      <c r="BJ4350" s="25"/>
      <c r="BK4350" s="25"/>
    </row>
    <row r="4351" spans="60:63" ht="14.25" x14ac:dyDescent="0.2">
      <c r="BH4351" s="25"/>
      <c r="BI4351" s="25"/>
      <c r="BJ4351" s="25"/>
      <c r="BK4351" s="25"/>
    </row>
    <row r="4352" spans="60:63" ht="14.25" x14ac:dyDescent="0.2">
      <c r="BH4352" s="25"/>
      <c r="BI4352" s="25"/>
      <c r="BJ4352" s="25"/>
      <c r="BK4352" s="25"/>
    </row>
    <row r="4353" spans="60:63" ht="14.25" x14ac:dyDescent="0.2">
      <c r="BH4353" s="25"/>
      <c r="BI4353" s="25"/>
      <c r="BJ4353" s="25"/>
      <c r="BK4353" s="25"/>
    </row>
    <row r="4354" spans="60:63" ht="14.25" x14ac:dyDescent="0.2">
      <c r="BH4354" s="25"/>
      <c r="BI4354" s="25"/>
      <c r="BJ4354" s="25"/>
      <c r="BK4354" s="25"/>
    </row>
    <row r="4355" spans="60:63" ht="14.25" x14ac:dyDescent="0.2">
      <c r="BH4355" s="25"/>
      <c r="BI4355" s="25"/>
      <c r="BJ4355" s="25"/>
      <c r="BK4355" s="25"/>
    </row>
    <row r="4356" spans="60:63" ht="14.25" x14ac:dyDescent="0.2">
      <c r="BH4356" s="25"/>
      <c r="BI4356" s="25"/>
      <c r="BJ4356" s="25"/>
      <c r="BK4356" s="25"/>
    </row>
    <row r="4357" spans="60:63" ht="14.25" x14ac:dyDescent="0.2">
      <c r="BH4357" s="25"/>
      <c r="BI4357" s="25"/>
      <c r="BJ4357" s="25"/>
      <c r="BK4357" s="25"/>
    </row>
    <row r="4358" spans="60:63" ht="14.25" x14ac:dyDescent="0.2">
      <c r="BH4358" s="25"/>
      <c r="BI4358" s="25"/>
      <c r="BJ4358" s="25"/>
      <c r="BK4358" s="25"/>
    </row>
    <row r="4359" spans="60:63" ht="14.25" x14ac:dyDescent="0.2">
      <c r="BH4359" s="25"/>
      <c r="BI4359" s="25"/>
      <c r="BJ4359" s="25"/>
      <c r="BK4359" s="25"/>
    </row>
    <row r="4360" spans="60:63" ht="14.25" x14ac:dyDescent="0.2">
      <c r="BH4360" s="25"/>
      <c r="BI4360" s="25"/>
      <c r="BJ4360" s="25"/>
      <c r="BK4360" s="25"/>
    </row>
    <row r="4361" spans="60:63" ht="14.25" x14ac:dyDescent="0.2">
      <c r="BH4361" s="25"/>
      <c r="BI4361" s="25"/>
      <c r="BJ4361" s="25"/>
      <c r="BK4361" s="25"/>
    </row>
    <row r="4362" spans="60:63" ht="14.25" x14ac:dyDescent="0.2">
      <c r="BH4362" s="25"/>
      <c r="BI4362" s="25"/>
      <c r="BJ4362" s="25"/>
      <c r="BK4362" s="25"/>
    </row>
    <row r="4363" spans="60:63" ht="14.25" x14ac:dyDescent="0.2">
      <c r="BH4363" s="25"/>
      <c r="BI4363" s="25"/>
      <c r="BJ4363" s="25"/>
      <c r="BK4363" s="25"/>
    </row>
    <row r="4364" spans="60:63" ht="14.25" x14ac:dyDescent="0.2">
      <c r="BH4364" s="25"/>
      <c r="BI4364" s="25"/>
      <c r="BJ4364" s="25"/>
      <c r="BK4364" s="25"/>
    </row>
    <row r="4365" spans="60:63" ht="14.25" x14ac:dyDescent="0.2">
      <c r="BH4365" s="25"/>
      <c r="BI4365" s="25"/>
      <c r="BJ4365" s="25"/>
      <c r="BK4365" s="25"/>
    </row>
    <row r="4366" spans="60:63" ht="14.25" x14ac:dyDescent="0.2">
      <c r="BH4366" s="25"/>
      <c r="BI4366" s="25"/>
      <c r="BJ4366" s="25"/>
      <c r="BK4366" s="25"/>
    </row>
    <row r="4367" spans="60:63" ht="14.25" x14ac:dyDescent="0.2">
      <c r="BH4367" s="25"/>
      <c r="BI4367" s="25"/>
      <c r="BJ4367" s="25"/>
      <c r="BK4367" s="25"/>
    </row>
    <row r="4368" spans="60:63" ht="14.25" x14ac:dyDescent="0.2">
      <c r="BH4368" s="25"/>
      <c r="BI4368" s="25"/>
      <c r="BJ4368" s="25"/>
      <c r="BK4368" s="25"/>
    </row>
    <row r="4369" spans="60:63" ht="14.25" x14ac:dyDescent="0.2">
      <c r="BH4369" s="25"/>
      <c r="BI4369" s="25"/>
      <c r="BJ4369" s="25"/>
      <c r="BK4369" s="25"/>
    </row>
    <row r="4370" spans="60:63" ht="14.25" x14ac:dyDescent="0.2">
      <c r="BH4370" s="25"/>
      <c r="BI4370" s="25"/>
      <c r="BJ4370" s="25"/>
      <c r="BK4370" s="25"/>
    </row>
    <row r="4371" spans="60:63" ht="14.25" x14ac:dyDescent="0.2">
      <c r="BH4371" s="25"/>
      <c r="BI4371" s="25"/>
      <c r="BJ4371" s="25"/>
      <c r="BK4371" s="25"/>
    </row>
    <row r="4372" spans="60:63" ht="14.25" x14ac:dyDescent="0.2">
      <c r="BH4372" s="25"/>
      <c r="BI4372" s="25"/>
      <c r="BJ4372" s="25"/>
      <c r="BK4372" s="25"/>
    </row>
    <row r="4373" spans="60:63" ht="14.25" x14ac:dyDescent="0.2">
      <c r="BH4373" s="25"/>
      <c r="BI4373" s="25"/>
      <c r="BJ4373" s="25"/>
      <c r="BK4373" s="25"/>
    </row>
    <row r="4374" spans="60:63" ht="14.25" x14ac:dyDescent="0.2">
      <c r="BH4374" s="25"/>
      <c r="BI4374" s="25"/>
      <c r="BJ4374" s="25"/>
      <c r="BK4374" s="25"/>
    </row>
    <row r="4375" spans="60:63" ht="14.25" x14ac:dyDescent="0.2">
      <c r="BH4375" s="25"/>
      <c r="BI4375" s="25"/>
      <c r="BJ4375" s="25"/>
      <c r="BK4375" s="25"/>
    </row>
    <row r="4376" spans="60:63" ht="14.25" x14ac:dyDescent="0.2">
      <c r="BH4376" s="25"/>
      <c r="BI4376" s="25"/>
      <c r="BJ4376" s="25"/>
      <c r="BK4376" s="25"/>
    </row>
    <row r="4377" spans="60:63" ht="14.25" x14ac:dyDescent="0.2">
      <c r="BH4377" s="25"/>
      <c r="BI4377" s="25"/>
      <c r="BJ4377" s="25"/>
      <c r="BK4377" s="25"/>
    </row>
    <row r="4378" spans="60:63" ht="14.25" x14ac:dyDescent="0.2">
      <c r="BH4378" s="25"/>
      <c r="BI4378" s="25"/>
      <c r="BJ4378" s="25"/>
      <c r="BK4378" s="25"/>
    </row>
    <row r="4379" spans="60:63" ht="14.25" x14ac:dyDescent="0.2">
      <c r="BH4379" s="25"/>
      <c r="BI4379" s="25"/>
      <c r="BJ4379" s="25"/>
      <c r="BK4379" s="25"/>
    </row>
    <row r="4380" spans="60:63" ht="14.25" x14ac:dyDescent="0.2">
      <c r="BH4380" s="25"/>
      <c r="BI4380" s="25"/>
      <c r="BJ4380" s="25"/>
      <c r="BK4380" s="25"/>
    </row>
    <row r="4381" spans="60:63" ht="14.25" x14ac:dyDescent="0.2">
      <c r="BH4381" s="25"/>
      <c r="BI4381" s="25"/>
      <c r="BJ4381" s="25"/>
      <c r="BK4381" s="25"/>
    </row>
    <row r="4382" spans="60:63" ht="14.25" x14ac:dyDescent="0.2">
      <c r="BH4382" s="25"/>
      <c r="BI4382" s="25"/>
      <c r="BJ4382" s="25"/>
      <c r="BK4382" s="25"/>
    </row>
    <row r="4383" spans="60:63" ht="14.25" x14ac:dyDescent="0.2">
      <c r="BH4383" s="25"/>
      <c r="BI4383" s="25"/>
      <c r="BJ4383" s="25"/>
      <c r="BK4383" s="25"/>
    </row>
    <row r="4384" spans="60:63" ht="14.25" x14ac:dyDescent="0.2">
      <c r="BH4384" s="25"/>
      <c r="BI4384" s="25"/>
      <c r="BJ4384" s="25"/>
      <c r="BK4384" s="25"/>
    </row>
    <row r="4385" spans="60:63" ht="14.25" x14ac:dyDescent="0.2">
      <c r="BH4385" s="25"/>
      <c r="BI4385" s="25"/>
      <c r="BJ4385" s="25"/>
      <c r="BK4385" s="25"/>
    </row>
    <row r="4386" spans="60:63" ht="14.25" x14ac:dyDescent="0.2">
      <c r="BH4386" s="25"/>
      <c r="BI4386" s="25"/>
      <c r="BJ4386" s="25"/>
      <c r="BK4386" s="25"/>
    </row>
    <row r="4387" spans="60:63" ht="14.25" x14ac:dyDescent="0.2">
      <c r="BH4387" s="25"/>
      <c r="BI4387" s="25"/>
      <c r="BJ4387" s="25"/>
      <c r="BK4387" s="25"/>
    </row>
    <row r="4388" spans="60:63" ht="14.25" x14ac:dyDescent="0.2">
      <c r="BH4388" s="25"/>
      <c r="BI4388" s="25"/>
      <c r="BJ4388" s="25"/>
      <c r="BK4388" s="25"/>
    </row>
    <row r="4389" spans="60:63" ht="14.25" x14ac:dyDescent="0.2">
      <c r="BH4389" s="25"/>
      <c r="BI4389" s="25"/>
      <c r="BJ4389" s="25"/>
      <c r="BK4389" s="25"/>
    </row>
    <row r="4390" spans="60:63" ht="14.25" x14ac:dyDescent="0.2">
      <c r="BH4390" s="25"/>
      <c r="BI4390" s="25"/>
      <c r="BJ4390" s="25"/>
      <c r="BK4390" s="25"/>
    </row>
    <row r="4391" spans="60:63" ht="14.25" x14ac:dyDescent="0.2">
      <c r="BH4391" s="25"/>
      <c r="BI4391" s="25"/>
      <c r="BJ4391" s="25"/>
      <c r="BK4391" s="25"/>
    </row>
    <row r="4392" spans="60:63" ht="14.25" x14ac:dyDescent="0.2">
      <c r="BH4392" s="25"/>
      <c r="BI4392" s="25"/>
      <c r="BJ4392" s="25"/>
      <c r="BK4392" s="25"/>
    </row>
    <row r="4393" spans="60:63" ht="14.25" x14ac:dyDescent="0.2">
      <c r="BH4393" s="25"/>
      <c r="BI4393" s="25"/>
      <c r="BJ4393" s="25"/>
      <c r="BK4393" s="25"/>
    </row>
    <row r="4394" spans="60:63" ht="14.25" x14ac:dyDescent="0.2">
      <c r="BH4394" s="25"/>
      <c r="BI4394" s="25"/>
      <c r="BJ4394" s="25"/>
      <c r="BK4394" s="25"/>
    </row>
    <row r="4395" spans="60:63" ht="14.25" x14ac:dyDescent="0.2">
      <c r="BH4395" s="25"/>
      <c r="BI4395" s="25"/>
      <c r="BJ4395" s="25"/>
      <c r="BK4395" s="25"/>
    </row>
    <row r="4396" spans="60:63" ht="14.25" x14ac:dyDescent="0.2">
      <c r="BH4396" s="25"/>
      <c r="BI4396" s="25"/>
      <c r="BJ4396" s="25"/>
      <c r="BK4396" s="25"/>
    </row>
    <row r="4397" spans="60:63" ht="14.25" x14ac:dyDescent="0.2">
      <c r="BH4397" s="25"/>
      <c r="BI4397" s="25"/>
      <c r="BJ4397" s="25"/>
      <c r="BK4397" s="25"/>
    </row>
    <row r="4398" spans="60:63" ht="14.25" x14ac:dyDescent="0.2">
      <c r="BH4398" s="25"/>
      <c r="BI4398" s="25"/>
      <c r="BJ4398" s="25"/>
      <c r="BK4398" s="25"/>
    </row>
    <row r="4399" spans="60:63" ht="14.25" x14ac:dyDescent="0.2">
      <c r="BH4399" s="25"/>
      <c r="BI4399" s="25"/>
      <c r="BJ4399" s="25"/>
      <c r="BK4399" s="25"/>
    </row>
    <row r="4400" spans="60:63" ht="14.25" x14ac:dyDescent="0.2">
      <c r="BH4400" s="25"/>
      <c r="BI4400" s="25"/>
      <c r="BJ4400" s="25"/>
      <c r="BK4400" s="25"/>
    </row>
    <row r="4401" spans="60:63" ht="14.25" x14ac:dyDescent="0.2">
      <c r="BH4401" s="25"/>
      <c r="BI4401" s="25"/>
      <c r="BJ4401" s="25"/>
      <c r="BK4401" s="25"/>
    </row>
    <row r="4402" spans="60:63" ht="14.25" x14ac:dyDescent="0.2">
      <c r="BH4402" s="25"/>
      <c r="BI4402" s="25"/>
      <c r="BJ4402" s="25"/>
      <c r="BK4402" s="25"/>
    </row>
    <row r="4403" spans="60:63" ht="14.25" x14ac:dyDescent="0.2">
      <c r="BH4403" s="25"/>
      <c r="BI4403" s="25"/>
      <c r="BJ4403" s="25"/>
      <c r="BK4403" s="25"/>
    </row>
    <row r="4404" spans="60:63" ht="14.25" x14ac:dyDescent="0.2">
      <c r="BH4404" s="25"/>
      <c r="BI4404" s="25"/>
      <c r="BJ4404" s="25"/>
      <c r="BK4404" s="25"/>
    </row>
    <row r="4405" spans="60:63" ht="14.25" x14ac:dyDescent="0.2">
      <c r="BH4405" s="25"/>
      <c r="BI4405" s="25"/>
      <c r="BJ4405" s="25"/>
      <c r="BK4405" s="25"/>
    </row>
    <row r="4406" spans="60:63" ht="14.25" x14ac:dyDescent="0.2">
      <c r="BH4406" s="25"/>
      <c r="BI4406" s="25"/>
      <c r="BJ4406" s="25"/>
      <c r="BK4406" s="25"/>
    </row>
    <row r="4407" spans="60:63" ht="14.25" x14ac:dyDescent="0.2">
      <c r="BH4407" s="25"/>
      <c r="BI4407" s="25"/>
      <c r="BJ4407" s="25"/>
      <c r="BK4407" s="25"/>
    </row>
    <row r="4408" spans="60:63" ht="14.25" x14ac:dyDescent="0.2">
      <c r="BH4408" s="25"/>
      <c r="BI4408" s="25"/>
      <c r="BJ4408" s="25"/>
      <c r="BK4408" s="25"/>
    </row>
    <row r="4409" spans="60:63" ht="14.25" x14ac:dyDescent="0.2">
      <c r="BH4409" s="25"/>
      <c r="BI4409" s="25"/>
      <c r="BJ4409" s="25"/>
      <c r="BK4409" s="25"/>
    </row>
    <row r="4410" spans="60:63" ht="14.25" x14ac:dyDescent="0.2">
      <c r="BH4410" s="25"/>
      <c r="BI4410" s="25"/>
      <c r="BJ4410" s="25"/>
      <c r="BK4410" s="25"/>
    </row>
    <row r="4411" spans="60:63" ht="14.25" x14ac:dyDescent="0.2">
      <c r="BH4411" s="25"/>
      <c r="BI4411" s="25"/>
      <c r="BJ4411" s="25"/>
      <c r="BK4411" s="25"/>
    </row>
    <row r="4412" spans="60:63" ht="14.25" x14ac:dyDescent="0.2">
      <c r="BH4412" s="25"/>
      <c r="BI4412" s="25"/>
      <c r="BJ4412" s="25"/>
      <c r="BK4412" s="25"/>
    </row>
    <row r="4413" spans="60:63" ht="14.25" x14ac:dyDescent="0.2">
      <c r="BH4413" s="25"/>
      <c r="BI4413" s="25"/>
      <c r="BJ4413" s="25"/>
      <c r="BK4413" s="25"/>
    </row>
    <row r="4414" spans="60:63" ht="14.25" x14ac:dyDescent="0.2">
      <c r="BH4414" s="25"/>
      <c r="BI4414" s="25"/>
      <c r="BJ4414" s="25"/>
      <c r="BK4414" s="25"/>
    </row>
    <row r="4415" spans="60:63" ht="14.25" x14ac:dyDescent="0.2">
      <c r="BH4415" s="25"/>
      <c r="BI4415" s="25"/>
      <c r="BJ4415" s="25"/>
      <c r="BK4415" s="25"/>
    </row>
    <row r="4416" spans="60:63" ht="14.25" x14ac:dyDescent="0.2">
      <c r="BH4416" s="25"/>
      <c r="BI4416" s="25"/>
      <c r="BJ4416" s="25"/>
      <c r="BK4416" s="25"/>
    </row>
    <row r="4417" spans="60:63" ht="14.25" x14ac:dyDescent="0.2">
      <c r="BH4417" s="25"/>
      <c r="BI4417" s="25"/>
      <c r="BJ4417" s="25"/>
      <c r="BK4417" s="25"/>
    </row>
    <row r="4418" spans="60:63" ht="14.25" x14ac:dyDescent="0.2">
      <c r="BH4418" s="25"/>
      <c r="BI4418" s="25"/>
      <c r="BJ4418" s="25"/>
      <c r="BK4418" s="25"/>
    </row>
    <row r="4419" spans="60:63" ht="14.25" x14ac:dyDescent="0.2">
      <c r="BH4419" s="25"/>
      <c r="BI4419" s="25"/>
      <c r="BJ4419" s="25"/>
      <c r="BK4419" s="25"/>
    </row>
    <row r="4420" spans="60:63" ht="14.25" x14ac:dyDescent="0.2">
      <c r="BH4420" s="25"/>
      <c r="BI4420" s="25"/>
      <c r="BJ4420" s="25"/>
      <c r="BK4420" s="25"/>
    </row>
    <row r="4421" spans="60:63" ht="14.25" x14ac:dyDescent="0.2">
      <c r="BH4421" s="25"/>
      <c r="BI4421" s="25"/>
      <c r="BJ4421" s="25"/>
      <c r="BK4421" s="25"/>
    </row>
    <row r="4422" spans="60:63" ht="14.25" x14ac:dyDescent="0.2">
      <c r="BH4422" s="25"/>
      <c r="BI4422" s="25"/>
      <c r="BJ4422" s="25"/>
      <c r="BK4422" s="25"/>
    </row>
    <row r="4423" spans="60:63" ht="14.25" x14ac:dyDescent="0.2">
      <c r="BH4423" s="25"/>
      <c r="BI4423" s="25"/>
      <c r="BJ4423" s="25"/>
      <c r="BK4423" s="25"/>
    </row>
    <row r="4424" spans="60:63" ht="14.25" x14ac:dyDescent="0.2">
      <c r="BH4424" s="25"/>
      <c r="BI4424" s="25"/>
      <c r="BJ4424" s="25"/>
      <c r="BK4424" s="25"/>
    </row>
    <row r="4425" spans="60:63" ht="14.25" x14ac:dyDescent="0.2">
      <c r="BH4425" s="25"/>
      <c r="BI4425" s="25"/>
      <c r="BJ4425" s="25"/>
      <c r="BK4425" s="25"/>
    </row>
    <row r="4426" spans="60:63" ht="14.25" x14ac:dyDescent="0.2">
      <c r="BH4426" s="25"/>
      <c r="BI4426" s="25"/>
      <c r="BJ4426" s="25"/>
      <c r="BK4426" s="25"/>
    </row>
    <row r="4427" spans="60:63" ht="14.25" x14ac:dyDescent="0.2">
      <c r="BH4427" s="25"/>
      <c r="BI4427" s="25"/>
      <c r="BJ4427" s="25"/>
      <c r="BK4427" s="25"/>
    </row>
    <row r="4428" spans="60:63" ht="14.25" x14ac:dyDescent="0.2">
      <c r="BH4428" s="25"/>
      <c r="BI4428" s="25"/>
      <c r="BJ4428" s="25"/>
      <c r="BK4428" s="25"/>
    </row>
    <row r="4429" spans="60:63" ht="14.25" x14ac:dyDescent="0.2">
      <c r="BH4429" s="25"/>
      <c r="BI4429" s="25"/>
      <c r="BJ4429" s="25"/>
      <c r="BK4429" s="25"/>
    </row>
    <row r="4430" spans="60:63" ht="14.25" x14ac:dyDescent="0.2">
      <c r="BH4430" s="25"/>
      <c r="BI4430" s="25"/>
      <c r="BJ4430" s="25"/>
      <c r="BK4430" s="25"/>
    </row>
    <row r="4431" spans="60:63" ht="14.25" x14ac:dyDescent="0.2">
      <c r="BH4431" s="25"/>
      <c r="BI4431" s="25"/>
      <c r="BJ4431" s="25"/>
      <c r="BK4431" s="25"/>
    </row>
    <row r="4432" spans="60:63" ht="14.25" x14ac:dyDescent="0.2">
      <c r="BH4432" s="25"/>
      <c r="BI4432" s="25"/>
      <c r="BJ4432" s="25"/>
      <c r="BK4432" s="25"/>
    </row>
    <row r="4433" spans="60:63" ht="14.25" x14ac:dyDescent="0.2">
      <c r="BH4433" s="25"/>
      <c r="BI4433" s="25"/>
      <c r="BJ4433" s="25"/>
      <c r="BK4433" s="25"/>
    </row>
    <row r="4434" spans="60:63" ht="14.25" x14ac:dyDescent="0.2">
      <c r="BH4434" s="25"/>
      <c r="BI4434" s="25"/>
      <c r="BJ4434" s="25"/>
      <c r="BK4434" s="25"/>
    </row>
    <row r="4435" spans="60:63" ht="14.25" x14ac:dyDescent="0.2">
      <c r="BH4435" s="25"/>
      <c r="BI4435" s="25"/>
      <c r="BJ4435" s="25"/>
      <c r="BK4435" s="25"/>
    </row>
    <row r="4436" spans="60:63" ht="14.25" x14ac:dyDescent="0.2">
      <c r="BH4436" s="25"/>
      <c r="BI4436" s="25"/>
      <c r="BJ4436" s="25"/>
      <c r="BK4436" s="25"/>
    </row>
    <row r="4437" spans="60:63" ht="14.25" x14ac:dyDescent="0.2">
      <c r="BH4437" s="25"/>
      <c r="BI4437" s="25"/>
      <c r="BJ4437" s="25"/>
      <c r="BK4437" s="25"/>
    </row>
    <row r="4438" spans="60:63" ht="14.25" x14ac:dyDescent="0.2">
      <c r="BH4438" s="25"/>
      <c r="BI4438" s="25"/>
      <c r="BJ4438" s="25"/>
      <c r="BK4438" s="25"/>
    </row>
    <row r="4439" spans="60:63" ht="14.25" x14ac:dyDescent="0.2">
      <c r="BH4439" s="25"/>
      <c r="BI4439" s="25"/>
      <c r="BJ4439" s="25"/>
      <c r="BK4439" s="25"/>
    </row>
    <row r="4440" spans="60:63" ht="14.25" x14ac:dyDescent="0.2">
      <c r="BH4440" s="25"/>
      <c r="BI4440" s="25"/>
      <c r="BJ4440" s="25"/>
      <c r="BK4440" s="25"/>
    </row>
    <row r="4441" spans="60:63" ht="14.25" x14ac:dyDescent="0.2">
      <c r="BH4441" s="25"/>
      <c r="BI4441" s="25"/>
      <c r="BJ4441" s="25"/>
      <c r="BK4441" s="25"/>
    </row>
    <row r="4442" spans="60:63" ht="14.25" x14ac:dyDescent="0.2">
      <c r="BH4442" s="25"/>
      <c r="BI4442" s="25"/>
      <c r="BJ4442" s="25"/>
      <c r="BK4442" s="25"/>
    </row>
    <row r="4443" spans="60:63" ht="14.25" x14ac:dyDescent="0.2">
      <c r="BH4443" s="25"/>
      <c r="BI4443" s="25"/>
      <c r="BJ4443" s="25"/>
      <c r="BK4443" s="25"/>
    </row>
    <row r="4444" spans="60:63" ht="14.25" x14ac:dyDescent="0.2">
      <c r="BH4444" s="25"/>
      <c r="BI4444" s="25"/>
      <c r="BJ4444" s="25"/>
      <c r="BK4444" s="25"/>
    </row>
    <row r="4445" spans="60:63" ht="14.25" x14ac:dyDescent="0.2">
      <c r="BH4445" s="25"/>
      <c r="BI4445" s="25"/>
      <c r="BJ4445" s="25"/>
      <c r="BK4445" s="25"/>
    </row>
    <row r="4446" spans="60:63" ht="14.25" x14ac:dyDescent="0.2">
      <c r="BH4446" s="25"/>
      <c r="BI4446" s="25"/>
      <c r="BJ4446" s="25"/>
      <c r="BK4446" s="25"/>
    </row>
    <row r="4447" spans="60:63" ht="14.25" x14ac:dyDescent="0.2">
      <c r="BH4447" s="25"/>
      <c r="BI4447" s="25"/>
      <c r="BJ4447" s="25"/>
      <c r="BK4447" s="25"/>
    </row>
    <row r="4448" spans="60:63" ht="14.25" x14ac:dyDescent="0.2">
      <c r="BH4448" s="25"/>
      <c r="BI4448" s="25"/>
      <c r="BJ4448" s="25"/>
      <c r="BK4448" s="25"/>
    </row>
    <row r="4449" spans="60:63" ht="14.25" x14ac:dyDescent="0.2">
      <c r="BH4449" s="25"/>
      <c r="BI4449" s="25"/>
      <c r="BJ4449" s="25"/>
      <c r="BK4449" s="25"/>
    </row>
    <row r="4450" spans="60:63" ht="14.25" x14ac:dyDescent="0.2">
      <c r="BH4450" s="25"/>
      <c r="BI4450" s="25"/>
      <c r="BJ4450" s="25"/>
      <c r="BK4450" s="25"/>
    </row>
    <row r="4451" spans="60:63" ht="14.25" x14ac:dyDescent="0.2">
      <c r="BH4451" s="25"/>
      <c r="BI4451" s="25"/>
      <c r="BJ4451" s="25"/>
      <c r="BK4451" s="25"/>
    </row>
    <row r="4452" spans="60:63" ht="14.25" x14ac:dyDescent="0.2">
      <c r="BH4452" s="25"/>
      <c r="BI4452" s="25"/>
      <c r="BJ4452" s="25"/>
      <c r="BK4452" s="25"/>
    </row>
    <row r="4453" spans="60:63" ht="14.25" x14ac:dyDescent="0.2">
      <c r="BH4453" s="25"/>
      <c r="BI4453" s="25"/>
      <c r="BJ4453" s="25"/>
      <c r="BK4453" s="25"/>
    </row>
    <row r="4454" spans="60:63" ht="14.25" x14ac:dyDescent="0.2">
      <c r="BH4454" s="25"/>
      <c r="BI4454" s="25"/>
      <c r="BJ4454" s="25"/>
      <c r="BK4454" s="25"/>
    </row>
    <row r="4455" spans="60:63" ht="14.25" x14ac:dyDescent="0.2">
      <c r="BH4455" s="25"/>
      <c r="BI4455" s="25"/>
      <c r="BJ4455" s="25"/>
      <c r="BK4455" s="25"/>
    </row>
    <row r="4456" spans="60:63" ht="14.25" x14ac:dyDescent="0.2">
      <c r="BH4456" s="25"/>
      <c r="BI4456" s="25"/>
      <c r="BJ4456" s="25"/>
      <c r="BK4456" s="25"/>
    </row>
    <row r="4457" spans="60:63" ht="14.25" x14ac:dyDescent="0.2">
      <c r="BH4457" s="25"/>
      <c r="BI4457" s="25"/>
      <c r="BJ4457" s="25"/>
      <c r="BK4457" s="25"/>
    </row>
    <row r="4458" spans="60:63" ht="14.25" x14ac:dyDescent="0.2">
      <c r="BH4458" s="25"/>
      <c r="BI4458" s="25"/>
      <c r="BJ4458" s="25"/>
      <c r="BK4458" s="25"/>
    </row>
    <row r="4459" spans="60:63" ht="14.25" x14ac:dyDescent="0.2">
      <c r="BH4459" s="25"/>
      <c r="BI4459" s="25"/>
      <c r="BJ4459" s="25"/>
      <c r="BK4459" s="25"/>
    </row>
    <row r="4460" spans="60:63" ht="14.25" x14ac:dyDescent="0.2">
      <c r="BH4460" s="25"/>
      <c r="BI4460" s="25"/>
      <c r="BJ4460" s="25"/>
      <c r="BK4460" s="25"/>
    </row>
    <row r="4461" spans="60:63" ht="14.25" x14ac:dyDescent="0.2">
      <c r="BH4461" s="25"/>
      <c r="BI4461" s="25"/>
      <c r="BJ4461" s="25"/>
      <c r="BK4461" s="25"/>
    </row>
    <row r="4462" spans="60:63" ht="14.25" x14ac:dyDescent="0.2">
      <c r="BH4462" s="25"/>
      <c r="BI4462" s="25"/>
      <c r="BJ4462" s="25"/>
      <c r="BK4462" s="25"/>
    </row>
    <row r="4463" spans="60:63" ht="14.25" x14ac:dyDescent="0.2">
      <c r="BH4463" s="25"/>
      <c r="BI4463" s="25"/>
      <c r="BJ4463" s="25"/>
      <c r="BK4463" s="25"/>
    </row>
    <row r="4464" spans="60:63" ht="14.25" x14ac:dyDescent="0.2">
      <c r="BH4464" s="25"/>
      <c r="BI4464" s="25"/>
      <c r="BJ4464" s="25"/>
      <c r="BK4464" s="25"/>
    </row>
    <row r="4465" spans="60:63" ht="14.25" x14ac:dyDescent="0.2">
      <c r="BH4465" s="25"/>
      <c r="BI4465" s="25"/>
      <c r="BJ4465" s="25"/>
      <c r="BK4465" s="25"/>
    </row>
    <row r="4466" spans="60:63" ht="14.25" x14ac:dyDescent="0.2">
      <c r="BH4466" s="25"/>
      <c r="BI4466" s="25"/>
      <c r="BJ4466" s="25"/>
      <c r="BK4466" s="25"/>
    </row>
    <row r="4467" spans="60:63" ht="14.25" x14ac:dyDescent="0.2">
      <c r="BH4467" s="25"/>
      <c r="BI4467" s="25"/>
      <c r="BJ4467" s="25"/>
      <c r="BK4467" s="25"/>
    </row>
    <row r="4468" spans="60:63" ht="14.25" x14ac:dyDescent="0.2">
      <c r="BH4468" s="25"/>
      <c r="BI4468" s="25"/>
      <c r="BJ4468" s="25"/>
      <c r="BK4468" s="25"/>
    </row>
    <row r="4469" spans="60:63" ht="14.25" x14ac:dyDescent="0.2">
      <c r="BH4469" s="25"/>
      <c r="BI4469" s="25"/>
      <c r="BJ4469" s="25"/>
      <c r="BK4469" s="25"/>
    </row>
    <row r="4470" spans="60:63" ht="14.25" x14ac:dyDescent="0.2">
      <c r="BH4470" s="25"/>
      <c r="BI4470" s="25"/>
      <c r="BJ4470" s="25"/>
      <c r="BK4470" s="25"/>
    </row>
    <row r="4471" spans="60:63" ht="14.25" x14ac:dyDescent="0.2">
      <c r="BH4471" s="25"/>
      <c r="BI4471" s="25"/>
      <c r="BJ4471" s="25"/>
      <c r="BK4471" s="25"/>
    </row>
    <row r="4472" spans="60:63" ht="14.25" x14ac:dyDescent="0.2">
      <c r="BH4472" s="25"/>
      <c r="BI4472" s="25"/>
      <c r="BJ4472" s="25"/>
      <c r="BK4472" s="25"/>
    </row>
    <row r="4473" spans="60:63" ht="14.25" x14ac:dyDescent="0.2">
      <c r="BH4473" s="25"/>
      <c r="BI4473" s="25"/>
      <c r="BJ4473" s="25"/>
      <c r="BK4473" s="25"/>
    </row>
    <row r="4474" spans="60:63" ht="14.25" x14ac:dyDescent="0.2">
      <c r="BH4474" s="25"/>
      <c r="BI4474" s="25"/>
      <c r="BJ4474" s="25"/>
      <c r="BK4474" s="25"/>
    </row>
    <row r="4475" spans="60:63" ht="14.25" x14ac:dyDescent="0.2">
      <c r="BH4475" s="25"/>
      <c r="BI4475" s="25"/>
      <c r="BJ4475" s="25"/>
      <c r="BK4475" s="25"/>
    </row>
    <row r="4476" spans="60:63" ht="14.25" x14ac:dyDescent="0.2">
      <c r="BH4476" s="25"/>
      <c r="BI4476" s="25"/>
      <c r="BJ4476" s="25"/>
      <c r="BK4476" s="25"/>
    </row>
    <row r="4477" spans="60:63" ht="14.25" x14ac:dyDescent="0.2">
      <c r="BH4477" s="25"/>
      <c r="BI4477" s="25"/>
      <c r="BJ4477" s="25"/>
      <c r="BK4477" s="25"/>
    </row>
    <row r="4478" spans="60:63" ht="14.25" x14ac:dyDescent="0.2">
      <c r="BH4478" s="25"/>
      <c r="BI4478" s="25"/>
      <c r="BJ4478" s="25"/>
      <c r="BK4478" s="25"/>
    </row>
    <row r="4479" spans="60:63" ht="14.25" x14ac:dyDescent="0.2">
      <c r="BH4479" s="25"/>
      <c r="BI4479" s="25"/>
      <c r="BJ4479" s="25"/>
      <c r="BK4479" s="25"/>
    </row>
    <row r="4480" spans="60:63" ht="14.25" x14ac:dyDescent="0.2">
      <c r="BH4480" s="25"/>
      <c r="BI4480" s="25"/>
      <c r="BJ4480" s="25"/>
      <c r="BK4480" s="25"/>
    </row>
    <row r="4481" spans="60:63" ht="14.25" x14ac:dyDescent="0.2">
      <c r="BH4481" s="25"/>
      <c r="BI4481" s="25"/>
      <c r="BJ4481" s="25"/>
      <c r="BK4481" s="25"/>
    </row>
    <row r="4482" spans="60:63" ht="14.25" x14ac:dyDescent="0.2">
      <c r="BH4482" s="25"/>
      <c r="BI4482" s="25"/>
      <c r="BJ4482" s="25"/>
      <c r="BK4482" s="25"/>
    </row>
    <row r="4483" spans="60:63" ht="14.25" x14ac:dyDescent="0.2">
      <c r="BH4483" s="25"/>
      <c r="BI4483" s="25"/>
      <c r="BJ4483" s="25"/>
      <c r="BK4483" s="25"/>
    </row>
    <row r="4484" spans="60:63" ht="14.25" x14ac:dyDescent="0.2">
      <c r="BH4484" s="25"/>
      <c r="BI4484" s="25"/>
      <c r="BJ4484" s="25"/>
      <c r="BK4484" s="25"/>
    </row>
    <row r="4485" spans="60:63" ht="14.25" x14ac:dyDescent="0.2">
      <c r="BH4485" s="25"/>
      <c r="BI4485" s="25"/>
      <c r="BJ4485" s="25"/>
      <c r="BK4485" s="25"/>
    </row>
    <row r="4486" spans="60:63" ht="14.25" x14ac:dyDescent="0.2">
      <c r="BH4486" s="25"/>
      <c r="BI4486" s="25"/>
      <c r="BJ4486" s="25"/>
      <c r="BK4486" s="25"/>
    </row>
    <row r="4487" spans="60:63" ht="14.25" x14ac:dyDescent="0.2">
      <c r="BH4487" s="25"/>
      <c r="BI4487" s="25"/>
      <c r="BJ4487" s="25"/>
      <c r="BK4487" s="25"/>
    </row>
    <row r="4488" spans="60:63" ht="14.25" x14ac:dyDescent="0.2">
      <c r="BH4488" s="25"/>
      <c r="BI4488" s="25"/>
      <c r="BJ4488" s="25"/>
      <c r="BK4488" s="25"/>
    </row>
    <row r="4489" spans="60:63" ht="14.25" x14ac:dyDescent="0.2">
      <c r="BH4489" s="25"/>
      <c r="BI4489" s="25"/>
      <c r="BJ4489" s="25"/>
      <c r="BK4489" s="25"/>
    </row>
    <row r="4490" spans="60:63" ht="14.25" x14ac:dyDescent="0.2">
      <c r="BH4490" s="25"/>
      <c r="BI4490" s="25"/>
      <c r="BJ4490" s="25"/>
      <c r="BK4490" s="25"/>
    </row>
    <row r="4491" spans="60:63" ht="14.25" x14ac:dyDescent="0.2">
      <c r="BH4491" s="25"/>
      <c r="BI4491" s="25"/>
      <c r="BJ4491" s="25"/>
      <c r="BK4491" s="25"/>
    </row>
    <row r="4492" spans="60:63" ht="14.25" x14ac:dyDescent="0.2">
      <c r="BH4492" s="25"/>
      <c r="BI4492" s="25"/>
      <c r="BJ4492" s="25"/>
      <c r="BK4492" s="25"/>
    </row>
    <row r="4493" spans="60:63" ht="14.25" x14ac:dyDescent="0.2">
      <c r="BH4493" s="25"/>
      <c r="BI4493" s="25"/>
      <c r="BJ4493" s="25"/>
      <c r="BK4493" s="25"/>
    </row>
    <row r="4494" spans="60:63" ht="14.25" x14ac:dyDescent="0.2">
      <c r="BH4494" s="25"/>
      <c r="BI4494" s="25"/>
      <c r="BJ4494" s="25"/>
      <c r="BK4494" s="25"/>
    </row>
    <row r="4495" spans="60:63" ht="14.25" x14ac:dyDescent="0.2">
      <c r="BH4495" s="25"/>
      <c r="BI4495" s="25"/>
      <c r="BJ4495" s="25"/>
      <c r="BK4495" s="25"/>
    </row>
    <row r="4496" spans="60:63" ht="14.25" x14ac:dyDescent="0.2">
      <c r="BH4496" s="25"/>
      <c r="BI4496" s="25"/>
      <c r="BJ4496" s="25"/>
      <c r="BK4496" s="25"/>
    </row>
    <row r="4497" spans="60:63" ht="14.25" x14ac:dyDescent="0.2">
      <c r="BH4497" s="25"/>
      <c r="BI4497" s="25"/>
      <c r="BJ4497" s="25"/>
      <c r="BK4497" s="25"/>
    </row>
    <row r="4498" spans="60:63" ht="14.25" x14ac:dyDescent="0.2">
      <c r="BH4498" s="25"/>
      <c r="BI4498" s="25"/>
      <c r="BJ4498" s="25"/>
      <c r="BK4498" s="25"/>
    </row>
    <row r="4499" spans="60:63" ht="14.25" x14ac:dyDescent="0.2">
      <c r="BH4499" s="25"/>
      <c r="BI4499" s="25"/>
      <c r="BJ4499" s="25"/>
      <c r="BK4499" s="25"/>
    </row>
    <row r="4500" spans="60:63" ht="14.25" x14ac:dyDescent="0.2">
      <c r="BH4500" s="25"/>
      <c r="BI4500" s="25"/>
      <c r="BJ4500" s="25"/>
      <c r="BK4500" s="25"/>
    </row>
    <row r="4501" spans="60:63" ht="14.25" x14ac:dyDescent="0.2">
      <c r="BH4501" s="25"/>
      <c r="BI4501" s="25"/>
      <c r="BJ4501" s="25"/>
      <c r="BK4501" s="25"/>
    </row>
    <row r="4502" spans="60:63" ht="14.25" x14ac:dyDescent="0.2">
      <c r="BH4502" s="25"/>
      <c r="BI4502" s="25"/>
      <c r="BJ4502" s="25"/>
      <c r="BK4502" s="25"/>
    </row>
    <row r="4503" spans="60:63" ht="14.25" x14ac:dyDescent="0.2">
      <c r="BH4503" s="25"/>
      <c r="BI4503" s="25"/>
      <c r="BJ4503" s="25"/>
      <c r="BK4503" s="25"/>
    </row>
    <row r="4504" spans="60:63" ht="14.25" x14ac:dyDescent="0.2">
      <c r="BH4504" s="25"/>
      <c r="BI4504" s="25"/>
      <c r="BJ4504" s="25"/>
      <c r="BK4504" s="25"/>
    </row>
    <row r="4505" spans="60:63" ht="14.25" x14ac:dyDescent="0.2">
      <c r="BH4505" s="25"/>
      <c r="BI4505" s="25"/>
      <c r="BJ4505" s="25"/>
      <c r="BK4505" s="25"/>
    </row>
    <row r="4506" spans="60:63" ht="14.25" x14ac:dyDescent="0.2">
      <c r="BH4506" s="25"/>
      <c r="BI4506" s="25"/>
      <c r="BJ4506" s="25"/>
      <c r="BK4506" s="25"/>
    </row>
    <row r="4507" spans="60:63" ht="14.25" x14ac:dyDescent="0.2">
      <c r="BH4507" s="25"/>
      <c r="BI4507" s="25"/>
      <c r="BJ4507" s="25"/>
      <c r="BK4507" s="25"/>
    </row>
    <row r="4508" spans="60:63" ht="14.25" x14ac:dyDescent="0.2">
      <c r="BH4508" s="25"/>
      <c r="BI4508" s="25"/>
      <c r="BJ4508" s="25"/>
      <c r="BK4508" s="25"/>
    </row>
    <row r="4509" spans="60:63" ht="14.25" x14ac:dyDescent="0.2">
      <c r="BH4509" s="25"/>
      <c r="BI4509" s="25"/>
      <c r="BJ4509" s="25"/>
      <c r="BK4509" s="25"/>
    </row>
    <row r="4510" spans="60:63" ht="14.25" x14ac:dyDescent="0.2">
      <c r="BH4510" s="25"/>
      <c r="BI4510" s="25"/>
      <c r="BJ4510" s="25"/>
      <c r="BK4510" s="25"/>
    </row>
    <row r="4511" spans="60:63" ht="14.25" x14ac:dyDescent="0.2">
      <c r="BH4511" s="25"/>
      <c r="BI4511" s="25"/>
      <c r="BJ4511" s="25"/>
      <c r="BK4511" s="25"/>
    </row>
    <row r="4512" spans="60:63" ht="14.25" x14ac:dyDescent="0.2">
      <c r="BH4512" s="25"/>
      <c r="BI4512" s="25"/>
      <c r="BJ4512" s="25"/>
      <c r="BK4512" s="25"/>
    </row>
    <row r="4513" spans="60:63" ht="14.25" x14ac:dyDescent="0.2">
      <c r="BH4513" s="25"/>
      <c r="BI4513" s="25"/>
      <c r="BJ4513" s="25"/>
      <c r="BK4513" s="25"/>
    </row>
    <row r="4514" spans="60:63" ht="14.25" x14ac:dyDescent="0.2">
      <c r="BH4514" s="25"/>
      <c r="BI4514" s="25"/>
      <c r="BJ4514" s="25"/>
      <c r="BK4514" s="25"/>
    </row>
    <row r="4515" spans="60:63" ht="14.25" x14ac:dyDescent="0.2">
      <c r="BH4515" s="25"/>
      <c r="BI4515" s="25"/>
      <c r="BJ4515" s="25"/>
      <c r="BK4515" s="25"/>
    </row>
    <row r="4516" spans="60:63" ht="14.25" x14ac:dyDescent="0.2">
      <c r="BH4516" s="25"/>
      <c r="BI4516" s="25"/>
      <c r="BJ4516" s="25"/>
      <c r="BK4516" s="25"/>
    </row>
    <row r="4517" spans="60:63" ht="14.25" x14ac:dyDescent="0.2">
      <c r="BH4517" s="25"/>
      <c r="BI4517" s="25"/>
      <c r="BJ4517" s="25"/>
      <c r="BK4517" s="25"/>
    </row>
    <row r="4518" spans="60:63" ht="14.25" x14ac:dyDescent="0.2">
      <c r="BH4518" s="25"/>
      <c r="BI4518" s="25"/>
      <c r="BJ4518" s="25"/>
      <c r="BK4518" s="25"/>
    </row>
    <row r="4519" spans="60:63" ht="14.25" x14ac:dyDescent="0.2">
      <c r="BH4519" s="25"/>
      <c r="BI4519" s="25"/>
      <c r="BJ4519" s="25"/>
      <c r="BK4519" s="25"/>
    </row>
    <row r="4520" spans="60:63" ht="14.25" x14ac:dyDescent="0.2">
      <c r="BH4520" s="25"/>
      <c r="BI4520" s="25"/>
      <c r="BJ4520" s="25"/>
      <c r="BK4520" s="25"/>
    </row>
    <row r="4521" spans="60:63" ht="14.25" x14ac:dyDescent="0.2">
      <c r="BH4521" s="25"/>
      <c r="BI4521" s="25"/>
      <c r="BJ4521" s="25"/>
      <c r="BK4521" s="25"/>
    </row>
    <row r="4522" spans="60:63" ht="14.25" x14ac:dyDescent="0.2">
      <c r="BH4522" s="25"/>
      <c r="BI4522" s="25"/>
      <c r="BJ4522" s="25"/>
      <c r="BK4522" s="25"/>
    </row>
    <row r="4523" spans="60:63" ht="14.25" x14ac:dyDescent="0.2">
      <c r="BH4523" s="25"/>
      <c r="BI4523" s="25"/>
      <c r="BJ4523" s="25"/>
      <c r="BK4523" s="25"/>
    </row>
    <row r="4524" spans="60:63" ht="14.25" x14ac:dyDescent="0.2">
      <c r="BH4524" s="25"/>
      <c r="BI4524" s="25"/>
      <c r="BJ4524" s="25"/>
      <c r="BK4524" s="25"/>
    </row>
    <row r="4525" spans="60:63" ht="14.25" x14ac:dyDescent="0.2">
      <c r="BH4525" s="25"/>
      <c r="BI4525" s="25"/>
      <c r="BJ4525" s="25"/>
      <c r="BK4525" s="25"/>
    </row>
    <row r="4526" spans="60:63" ht="14.25" x14ac:dyDescent="0.2">
      <c r="BH4526" s="25"/>
      <c r="BI4526" s="25"/>
      <c r="BJ4526" s="25"/>
      <c r="BK4526" s="25"/>
    </row>
    <row r="4527" spans="60:63" ht="14.25" x14ac:dyDescent="0.2">
      <c r="BH4527" s="25"/>
      <c r="BI4527" s="25"/>
      <c r="BJ4527" s="25"/>
      <c r="BK4527" s="25"/>
    </row>
    <row r="4528" spans="60:63" ht="14.25" x14ac:dyDescent="0.2">
      <c r="BH4528" s="25"/>
      <c r="BI4528" s="25"/>
      <c r="BJ4528" s="25"/>
      <c r="BK4528" s="25"/>
    </row>
    <row r="4529" spans="60:63" ht="14.25" x14ac:dyDescent="0.2">
      <c r="BH4529" s="25"/>
      <c r="BI4529" s="25"/>
      <c r="BJ4529" s="25"/>
      <c r="BK4529" s="25"/>
    </row>
    <row r="4530" spans="60:63" ht="14.25" x14ac:dyDescent="0.2">
      <c r="BH4530" s="25"/>
      <c r="BI4530" s="25"/>
      <c r="BJ4530" s="25"/>
      <c r="BK4530" s="25"/>
    </row>
    <row r="4531" spans="60:63" ht="14.25" x14ac:dyDescent="0.2">
      <c r="BH4531" s="25"/>
      <c r="BI4531" s="25"/>
      <c r="BJ4531" s="25"/>
      <c r="BK4531" s="25"/>
    </row>
    <row r="4532" spans="60:63" ht="14.25" x14ac:dyDescent="0.2">
      <c r="BH4532" s="25"/>
      <c r="BI4532" s="25"/>
      <c r="BJ4532" s="25"/>
      <c r="BK4532" s="25"/>
    </row>
    <row r="4533" spans="60:63" ht="14.25" x14ac:dyDescent="0.2">
      <c r="BH4533" s="25"/>
      <c r="BI4533" s="25"/>
      <c r="BJ4533" s="25"/>
      <c r="BK4533" s="25"/>
    </row>
    <row r="4534" spans="60:63" ht="14.25" x14ac:dyDescent="0.2">
      <c r="BH4534" s="25"/>
      <c r="BI4534" s="25"/>
      <c r="BJ4534" s="25"/>
      <c r="BK4534" s="25"/>
    </row>
    <row r="4535" spans="60:63" ht="14.25" x14ac:dyDescent="0.2">
      <c r="BH4535" s="25"/>
      <c r="BI4535" s="25"/>
      <c r="BJ4535" s="25"/>
      <c r="BK4535" s="25"/>
    </row>
    <row r="4536" spans="60:63" ht="14.25" x14ac:dyDescent="0.2">
      <c r="BH4536" s="25"/>
      <c r="BI4536" s="25"/>
      <c r="BJ4536" s="25"/>
      <c r="BK4536" s="25"/>
    </row>
    <row r="4537" spans="60:63" ht="14.25" x14ac:dyDescent="0.2">
      <c r="BH4537" s="25"/>
      <c r="BI4537" s="25"/>
      <c r="BJ4537" s="25"/>
      <c r="BK4537" s="25"/>
    </row>
    <row r="4538" spans="60:63" ht="14.25" x14ac:dyDescent="0.2">
      <c r="BH4538" s="25"/>
      <c r="BI4538" s="25"/>
      <c r="BJ4538" s="25"/>
      <c r="BK4538" s="25"/>
    </row>
    <row r="4539" spans="60:63" ht="14.25" x14ac:dyDescent="0.2">
      <c r="BH4539" s="25"/>
      <c r="BI4539" s="25"/>
      <c r="BJ4539" s="25"/>
      <c r="BK4539" s="25"/>
    </row>
    <row r="4540" spans="60:63" ht="14.25" x14ac:dyDescent="0.2">
      <c r="BH4540" s="25"/>
      <c r="BI4540" s="25"/>
      <c r="BJ4540" s="25"/>
      <c r="BK4540" s="25"/>
    </row>
    <row r="4541" spans="60:63" ht="14.25" x14ac:dyDescent="0.2">
      <c r="BH4541" s="25"/>
      <c r="BI4541" s="25"/>
      <c r="BJ4541" s="25"/>
      <c r="BK4541" s="25"/>
    </row>
    <row r="4542" spans="60:63" ht="14.25" x14ac:dyDescent="0.2">
      <c r="BH4542" s="25"/>
      <c r="BI4542" s="25"/>
      <c r="BJ4542" s="25"/>
      <c r="BK4542" s="25"/>
    </row>
    <row r="4543" spans="60:63" ht="14.25" x14ac:dyDescent="0.2">
      <c r="BH4543" s="25"/>
      <c r="BI4543" s="25"/>
      <c r="BJ4543" s="25"/>
      <c r="BK4543" s="25"/>
    </row>
    <row r="4544" spans="60:63" ht="14.25" x14ac:dyDescent="0.2">
      <c r="BH4544" s="25"/>
      <c r="BI4544" s="25"/>
      <c r="BJ4544" s="25"/>
      <c r="BK4544" s="25"/>
    </row>
    <row r="4545" spans="60:63" ht="14.25" x14ac:dyDescent="0.2">
      <c r="BH4545" s="25"/>
      <c r="BI4545" s="25"/>
      <c r="BJ4545" s="25"/>
      <c r="BK4545" s="25"/>
    </row>
    <row r="4546" spans="60:63" ht="14.25" x14ac:dyDescent="0.2">
      <c r="BH4546" s="25"/>
      <c r="BI4546" s="25"/>
      <c r="BJ4546" s="25"/>
      <c r="BK4546" s="25"/>
    </row>
    <row r="4547" spans="60:63" ht="14.25" x14ac:dyDescent="0.2">
      <c r="BH4547" s="25"/>
      <c r="BI4547" s="25"/>
      <c r="BJ4547" s="25"/>
      <c r="BK4547" s="25"/>
    </row>
    <row r="4548" spans="60:63" ht="14.25" x14ac:dyDescent="0.2">
      <c r="BH4548" s="25"/>
      <c r="BI4548" s="25"/>
      <c r="BJ4548" s="25"/>
      <c r="BK4548" s="25"/>
    </row>
    <row r="4549" spans="60:63" ht="14.25" x14ac:dyDescent="0.2">
      <c r="BH4549" s="25"/>
      <c r="BI4549" s="25"/>
      <c r="BJ4549" s="25"/>
      <c r="BK4549" s="25"/>
    </row>
    <row r="4550" spans="60:63" ht="14.25" x14ac:dyDescent="0.2">
      <c r="BH4550" s="25"/>
      <c r="BI4550" s="25"/>
      <c r="BJ4550" s="25"/>
      <c r="BK4550" s="25"/>
    </row>
    <row r="4551" spans="60:63" ht="14.25" x14ac:dyDescent="0.2">
      <c r="BH4551" s="25"/>
      <c r="BI4551" s="25"/>
      <c r="BJ4551" s="25"/>
      <c r="BK4551" s="25"/>
    </row>
    <row r="4552" spans="60:63" ht="14.25" x14ac:dyDescent="0.2">
      <c r="BH4552" s="25"/>
      <c r="BI4552" s="25"/>
      <c r="BJ4552" s="25"/>
      <c r="BK4552" s="25"/>
    </row>
    <row r="4553" spans="60:63" ht="14.25" x14ac:dyDescent="0.2">
      <c r="BH4553" s="25"/>
      <c r="BI4553" s="25"/>
      <c r="BJ4553" s="25"/>
      <c r="BK4553" s="25"/>
    </row>
    <row r="4554" spans="60:63" ht="14.25" x14ac:dyDescent="0.2">
      <c r="BH4554" s="25"/>
      <c r="BI4554" s="25"/>
      <c r="BJ4554" s="25"/>
      <c r="BK4554" s="25"/>
    </row>
    <row r="4555" spans="60:63" ht="14.25" x14ac:dyDescent="0.2">
      <c r="BH4555" s="25"/>
      <c r="BI4555" s="25"/>
      <c r="BJ4555" s="25"/>
      <c r="BK4555" s="25"/>
    </row>
    <row r="4556" spans="60:63" ht="14.25" x14ac:dyDescent="0.2">
      <c r="BH4556" s="25"/>
      <c r="BI4556" s="25"/>
      <c r="BJ4556" s="25"/>
      <c r="BK4556" s="25"/>
    </row>
    <row r="4557" spans="60:63" ht="14.25" x14ac:dyDescent="0.2">
      <c r="BH4557" s="25"/>
      <c r="BI4557" s="25"/>
      <c r="BJ4557" s="25"/>
      <c r="BK4557" s="25"/>
    </row>
    <row r="4558" spans="60:63" ht="14.25" x14ac:dyDescent="0.2">
      <c r="BH4558" s="25"/>
      <c r="BI4558" s="25"/>
      <c r="BJ4558" s="25"/>
      <c r="BK4558" s="25"/>
    </row>
    <row r="4559" spans="60:63" ht="14.25" x14ac:dyDescent="0.2">
      <c r="BH4559" s="25"/>
      <c r="BI4559" s="25"/>
      <c r="BJ4559" s="25"/>
      <c r="BK4559" s="25"/>
    </row>
    <row r="4560" spans="60:63" ht="14.25" x14ac:dyDescent="0.2">
      <c r="BH4560" s="25"/>
      <c r="BI4560" s="25"/>
      <c r="BJ4560" s="25"/>
      <c r="BK4560" s="25"/>
    </row>
    <row r="4561" spans="60:63" ht="14.25" x14ac:dyDescent="0.2">
      <c r="BH4561" s="25"/>
      <c r="BI4561" s="25"/>
      <c r="BJ4561" s="25"/>
      <c r="BK4561" s="25"/>
    </row>
    <row r="4562" spans="60:63" ht="14.25" x14ac:dyDescent="0.2">
      <c r="BH4562" s="25"/>
      <c r="BI4562" s="25"/>
      <c r="BJ4562" s="25"/>
      <c r="BK4562" s="25"/>
    </row>
    <row r="4563" spans="60:63" ht="14.25" x14ac:dyDescent="0.2">
      <c r="BH4563" s="25"/>
      <c r="BI4563" s="25"/>
      <c r="BJ4563" s="25"/>
      <c r="BK4563" s="25"/>
    </row>
    <row r="4564" spans="60:63" ht="14.25" x14ac:dyDescent="0.2">
      <c r="BH4564" s="25"/>
      <c r="BI4564" s="25"/>
      <c r="BJ4564" s="25"/>
      <c r="BK4564" s="25"/>
    </row>
    <row r="4565" spans="60:63" ht="14.25" x14ac:dyDescent="0.2">
      <c r="BH4565" s="25"/>
      <c r="BI4565" s="25"/>
      <c r="BJ4565" s="25"/>
      <c r="BK4565" s="25"/>
    </row>
    <row r="4566" spans="60:63" ht="14.25" x14ac:dyDescent="0.2">
      <c r="BH4566" s="25"/>
      <c r="BI4566" s="25"/>
      <c r="BJ4566" s="25"/>
      <c r="BK4566" s="25"/>
    </row>
    <row r="4567" spans="60:63" ht="14.25" x14ac:dyDescent="0.2">
      <c r="BH4567" s="25"/>
      <c r="BI4567" s="25"/>
      <c r="BJ4567" s="25"/>
      <c r="BK4567" s="25"/>
    </row>
    <row r="4568" spans="60:63" ht="14.25" x14ac:dyDescent="0.2">
      <c r="BH4568" s="25"/>
      <c r="BI4568" s="25"/>
      <c r="BJ4568" s="25"/>
      <c r="BK4568" s="25"/>
    </row>
    <row r="4569" spans="60:63" ht="14.25" x14ac:dyDescent="0.2">
      <c r="BH4569" s="25"/>
      <c r="BI4569" s="25"/>
      <c r="BJ4569" s="25"/>
      <c r="BK4569" s="25"/>
    </row>
    <row r="4570" spans="60:63" ht="14.25" x14ac:dyDescent="0.2">
      <c r="BH4570" s="25"/>
      <c r="BI4570" s="25"/>
      <c r="BJ4570" s="25"/>
      <c r="BK4570" s="25"/>
    </row>
    <row r="4571" spans="60:63" ht="14.25" x14ac:dyDescent="0.2">
      <c r="BH4571" s="25"/>
      <c r="BI4571" s="25"/>
      <c r="BJ4571" s="25"/>
      <c r="BK4571" s="25"/>
    </row>
    <row r="4572" spans="60:63" ht="14.25" x14ac:dyDescent="0.2">
      <c r="BH4572" s="25"/>
      <c r="BI4572" s="25"/>
      <c r="BJ4572" s="25"/>
      <c r="BK4572" s="25"/>
    </row>
    <row r="4573" spans="60:63" ht="14.25" x14ac:dyDescent="0.2">
      <c r="BH4573" s="25"/>
      <c r="BI4573" s="25"/>
      <c r="BJ4573" s="25"/>
      <c r="BK4573" s="25"/>
    </row>
    <row r="4574" spans="60:63" ht="14.25" x14ac:dyDescent="0.2">
      <c r="BH4574" s="25"/>
      <c r="BI4574" s="25"/>
      <c r="BJ4574" s="25"/>
      <c r="BK4574" s="25"/>
    </row>
    <row r="4575" spans="60:63" ht="14.25" x14ac:dyDescent="0.2">
      <c r="BH4575" s="25"/>
      <c r="BI4575" s="25"/>
      <c r="BJ4575" s="25"/>
      <c r="BK4575" s="25"/>
    </row>
    <row r="4576" spans="60:63" ht="14.25" x14ac:dyDescent="0.2">
      <c r="BH4576" s="25"/>
      <c r="BI4576" s="25"/>
      <c r="BJ4576" s="25"/>
      <c r="BK4576" s="25"/>
    </row>
    <row r="4577" spans="60:63" ht="14.25" x14ac:dyDescent="0.2">
      <c r="BH4577" s="25"/>
      <c r="BI4577" s="25"/>
      <c r="BJ4577" s="25"/>
      <c r="BK4577" s="25"/>
    </row>
    <row r="4578" spans="60:63" ht="14.25" x14ac:dyDescent="0.2">
      <c r="BH4578" s="25"/>
      <c r="BI4578" s="25"/>
      <c r="BJ4578" s="25"/>
      <c r="BK4578" s="25"/>
    </row>
    <row r="4579" spans="60:63" ht="14.25" x14ac:dyDescent="0.2">
      <c r="BH4579" s="25"/>
      <c r="BI4579" s="25"/>
      <c r="BJ4579" s="25"/>
      <c r="BK4579" s="25"/>
    </row>
    <row r="4580" spans="60:63" ht="14.25" x14ac:dyDescent="0.2">
      <c r="BH4580" s="25"/>
      <c r="BI4580" s="25"/>
      <c r="BJ4580" s="25"/>
      <c r="BK4580" s="25"/>
    </row>
    <row r="4581" spans="60:63" ht="14.25" x14ac:dyDescent="0.2">
      <c r="BH4581" s="25"/>
      <c r="BI4581" s="25"/>
      <c r="BJ4581" s="25"/>
      <c r="BK4581" s="25"/>
    </row>
    <row r="4582" spans="60:63" ht="14.25" x14ac:dyDescent="0.2">
      <c r="BH4582" s="25"/>
      <c r="BI4582" s="25"/>
      <c r="BJ4582" s="25"/>
      <c r="BK4582" s="25"/>
    </row>
    <row r="4583" spans="60:63" ht="14.25" x14ac:dyDescent="0.2">
      <c r="BH4583" s="25"/>
      <c r="BI4583" s="25"/>
      <c r="BJ4583" s="25"/>
      <c r="BK4583" s="25"/>
    </row>
    <row r="4584" spans="60:63" ht="14.25" x14ac:dyDescent="0.2">
      <c r="BH4584" s="25"/>
      <c r="BI4584" s="25"/>
      <c r="BJ4584" s="25"/>
      <c r="BK4584" s="25"/>
    </row>
    <row r="4585" spans="60:63" ht="14.25" x14ac:dyDescent="0.2">
      <c r="BH4585" s="25"/>
      <c r="BI4585" s="25"/>
      <c r="BJ4585" s="25"/>
      <c r="BK4585" s="25"/>
    </row>
    <row r="4586" spans="60:63" ht="14.25" x14ac:dyDescent="0.2">
      <c r="BH4586" s="25"/>
      <c r="BI4586" s="25"/>
      <c r="BJ4586" s="25"/>
      <c r="BK4586" s="25"/>
    </row>
    <row r="4587" spans="60:63" ht="14.25" x14ac:dyDescent="0.2">
      <c r="BH4587" s="25"/>
      <c r="BI4587" s="25"/>
      <c r="BJ4587" s="25"/>
      <c r="BK4587" s="25"/>
    </row>
    <row r="4588" spans="60:63" ht="14.25" x14ac:dyDescent="0.2">
      <c r="BH4588" s="25"/>
      <c r="BI4588" s="25"/>
      <c r="BJ4588" s="25"/>
      <c r="BK4588" s="25"/>
    </row>
    <row r="4589" spans="60:63" ht="14.25" x14ac:dyDescent="0.2">
      <c r="BH4589" s="25"/>
      <c r="BI4589" s="25"/>
      <c r="BJ4589" s="25"/>
      <c r="BK4589" s="25"/>
    </row>
    <row r="4590" spans="60:63" ht="14.25" x14ac:dyDescent="0.2">
      <c r="BH4590" s="25"/>
      <c r="BI4590" s="25"/>
      <c r="BJ4590" s="25"/>
      <c r="BK4590" s="25"/>
    </row>
    <row r="4591" spans="60:63" ht="14.25" x14ac:dyDescent="0.2">
      <c r="BH4591" s="25"/>
      <c r="BI4591" s="25"/>
      <c r="BJ4591" s="25"/>
      <c r="BK4591" s="25"/>
    </row>
    <row r="4592" spans="60:63" ht="14.25" x14ac:dyDescent="0.2">
      <c r="BH4592" s="25"/>
      <c r="BI4592" s="25"/>
      <c r="BJ4592" s="25"/>
      <c r="BK4592" s="25"/>
    </row>
    <row r="4593" spans="60:63" ht="14.25" x14ac:dyDescent="0.2">
      <c r="BH4593" s="25"/>
      <c r="BI4593" s="25"/>
      <c r="BJ4593" s="25"/>
      <c r="BK4593" s="25"/>
    </row>
    <row r="4594" spans="60:63" ht="14.25" x14ac:dyDescent="0.2">
      <c r="BH4594" s="25"/>
      <c r="BI4594" s="25"/>
      <c r="BJ4594" s="25"/>
      <c r="BK4594" s="25"/>
    </row>
    <row r="4595" spans="60:63" ht="14.25" x14ac:dyDescent="0.2">
      <c r="BH4595" s="25"/>
      <c r="BI4595" s="25"/>
      <c r="BJ4595" s="25"/>
      <c r="BK4595" s="25"/>
    </row>
    <row r="4596" spans="60:63" ht="14.25" x14ac:dyDescent="0.2">
      <c r="BH4596" s="25"/>
      <c r="BI4596" s="25"/>
      <c r="BJ4596" s="25"/>
      <c r="BK4596" s="25"/>
    </row>
    <row r="4597" spans="60:63" ht="14.25" x14ac:dyDescent="0.2">
      <c r="BH4597" s="25"/>
      <c r="BI4597" s="25"/>
      <c r="BJ4597" s="25"/>
      <c r="BK4597" s="25"/>
    </row>
    <row r="4598" spans="60:63" ht="14.25" x14ac:dyDescent="0.2">
      <c r="BH4598" s="25"/>
      <c r="BI4598" s="25"/>
      <c r="BJ4598" s="25"/>
      <c r="BK4598" s="25"/>
    </row>
    <row r="4599" spans="60:63" ht="14.25" x14ac:dyDescent="0.2">
      <c r="BH4599" s="25"/>
      <c r="BI4599" s="25"/>
      <c r="BJ4599" s="25"/>
      <c r="BK4599" s="25"/>
    </row>
    <row r="4600" spans="60:63" ht="14.25" x14ac:dyDescent="0.2">
      <c r="BH4600" s="25"/>
      <c r="BI4600" s="25"/>
      <c r="BJ4600" s="25"/>
      <c r="BK4600" s="25"/>
    </row>
    <row r="4601" spans="60:63" ht="14.25" x14ac:dyDescent="0.2">
      <c r="BH4601" s="25"/>
      <c r="BI4601" s="25"/>
      <c r="BJ4601" s="25"/>
      <c r="BK4601" s="25"/>
    </row>
    <row r="4602" spans="60:63" ht="14.25" x14ac:dyDescent="0.2">
      <c r="BH4602" s="25"/>
      <c r="BI4602" s="25"/>
      <c r="BJ4602" s="25"/>
      <c r="BK4602" s="25"/>
    </row>
    <row r="4603" spans="60:63" ht="14.25" x14ac:dyDescent="0.2">
      <c r="BH4603" s="25"/>
      <c r="BI4603" s="25"/>
      <c r="BJ4603" s="25"/>
      <c r="BK4603" s="25"/>
    </row>
    <row r="4604" spans="60:63" ht="14.25" x14ac:dyDescent="0.2">
      <c r="BH4604" s="25"/>
      <c r="BI4604" s="25"/>
      <c r="BJ4604" s="25"/>
      <c r="BK4604" s="25"/>
    </row>
    <row r="4605" spans="60:63" ht="14.25" x14ac:dyDescent="0.2">
      <c r="BH4605" s="25"/>
      <c r="BI4605" s="25"/>
      <c r="BJ4605" s="25"/>
      <c r="BK4605" s="25"/>
    </row>
    <row r="4606" spans="60:63" ht="14.25" x14ac:dyDescent="0.2">
      <c r="BH4606" s="25"/>
      <c r="BI4606" s="25"/>
      <c r="BJ4606" s="25"/>
      <c r="BK4606" s="25"/>
    </row>
    <row r="4607" spans="60:63" ht="14.25" x14ac:dyDescent="0.2">
      <c r="BH4607" s="25"/>
      <c r="BI4607" s="25"/>
      <c r="BJ4607" s="25"/>
      <c r="BK4607" s="25"/>
    </row>
    <row r="4608" spans="60:63" ht="14.25" x14ac:dyDescent="0.2">
      <c r="BH4608" s="25"/>
      <c r="BI4608" s="25"/>
      <c r="BJ4608" s="25"/>
      <c r="BK4608" s="25"/>
    </row>
    <row r="4609" spans="60:63" ht="14.25" x14ac:dyDescent="0.2">
      <c r="BH4609" s="25"/>
      <c r="BI4609" s="25"/>
      <c r="BJ4609" s="25"/>
      <c r="BK4609" s="25"/>
    </row>
    <row r="4610" spans="60:63" ht="14.25" x14ac:dyDescent="0.2">
      <c r="BH4610" s="25"/>
      <c r="BI4610" s="25"/>
      <c r="BJ4610" s="25"/>
      <c r="BK4610" s="25"/>
    </row>
    <row r="4611" spans="60:63" ht="14.25" x14ac:dyDescent="0.2">
      <c r="BH4611" s="25"/>
      <c r="BI4611" s="25"/>
      <c r="BJ4611" s="25"/>
      <c r="BK4611" s="25"/>
    </row>
    <row r="4612" spans="60:63" ht="14.25" x14ac:dyDescent="0.2">
      <c r="BH4612" s="25"/>
      <c r="BI4612" s="25"/>
      <c r="BJ4612" s="25"/>
      <c r="BK4612" s="25"/>
    </row>
    <row r="4613" spans="60:63" ht="14.25" x14ac:dyDescent="0.2">
      <c r="BH4613" s="25"/>
      <c r="BI4613" s="25"/>
      <c r="BJ4613" s="25"/>
      <c r="BK4613" s="25"/>
    </row>
    <row r="4614" spans="60:63" ht="14.25" x14ac:dyDescent="0.2">
      <c r="BH4614" s="25"/>
      <c r="BI4614" s="25"/>
      <c r="BJ4614" s="25"/>
      <c r="BK4614" s="25"/>
    </row>
    <row r="4615" spans="60:63" ht="14.25" x14ac:dyDescent="0.2">
      <c r="BH4615" s="25"/>
      <c r="BI4615" s="25"/>
      <c r="BJ4615" s="25"/>
      <c r="BK4615" s="25"/>
    </row>
    <row r="4616" spans="60:63" ht="14.25" x14ac:dyDescent="0.2">
      <c r="BH4616" s="25"/>
      <c r="BI4616" s="25"/>
      <c r="BJ4616" s="25"/>
      <c r="BK4616" s="25"/>
    </row>
    <row r="4617" spans="60:63" ht="14.25" x14ac:dyDescent="0.2">
      <c r="BH4617" s="25"/>
      <c r="BI4617" s="25"/>
      <c r="BJ4617" s="25"/>
      <c r="BK4617" s="25"/>
    </row>
    <row r="4618" spans="60:63" ht="14.25" x14ac:dyDescent="0.2">
      <c r="BH4618" s="25"/>
      <c r="BI4618" s="25"/>
      <c r="BJ4618" s="25"/>
      <c r="BK4618" s="25"/>
    </row>
    <row r="4619" spans="60:63" ht="14.25" x14ac:dyDescent="0.2">
      <c r="BH4619" s="25"/>
      <c r="BI4619" s="25"/>
      <c r="BJ4619" s="25"/>
      <c r="BK4619" s="25"/>
    </row>
    <row r="4620" spans="60:63" ht="14.25" x14ac:dyDescent="0.2">
      <c r="BH4620" s="25"/>
      <c r="BI4620" s="25"/>
      <c r="BJ4620" s="25"/>
      <c r="BK4620" s="25"/>
    </row>
    <row r="4621" spans="60:63" ht="14.25" x14ac:dyDescent="0.2">
      <c r="BH4621" s="25"/>
      <c r="BI4621" s="25"/>
      <c r="BJ4621" s="25"/>
      <c r="BK4621" s="25"/>
    </row>
    <row r="4622" spans="60:63" ht="14.25" x14ac:dyDescent="0.2">
      <c r="BH4622" s="25"/>
      <c r="BI4622" s="25"/>
      <c r="BJ4622" s="25"/>
      <c r="BK4622" s="25"/>
    </row>
    <row r="4623" spans="60:63" ht="14.25" x14ac:dyDescent="0.2">
      <c r="BH4623" s="25"/>
      <c r="BI4623" s="25"/>
      <c r="BJ4623" s="25"/>
      <c r="BK4623" s="25"/>
    </row>
    <row r="4624" spans="60:63" ht="14.25" x14ac:dyDescent="0.2">
      <c r="BH4624" s="25"/>
      <c r="BI4624" s="25"/>
      <c r="BJ4624" s="25"/>
      <c r="BK4624" s="25"/>
    </row>
    <row r="4625" spans="60:63" ht="14.25" x14ac:dyDescent="0.2">
      <c r="BH4625" s="25"/>
      <c r="BI4625" s="25"/>
      <c r="BJ4625" s="25"/>
      <c r="BK4625" s="25"/>
    </row>
    <row r="4626" spans="60:63" ht="14.25" x14ac:dyDescent="0.2">
      <c r="BH4626" s="25"/>
      <c r="BI4626" s="25"/>
      <c r="BJ4626" s="25"/>
      <c r="BK4626" s="25"/>
    </row>
    <row r="4627" spans="60:63" ht="14.25" x14ac:dyDescent="0.2">
      <c r="BH4627" s="25"/>
      <c r="BI4627" s="25"/>
      <c r="BJ4627" s="25"/>
      <c r="BK4627" s="25"/>
    </row>
    <row r="4628" spans="60:63" ht="14.25" x14ac:dyDescent="0.2">
      <c r="BH4628" s="25"/>
      <c r="BI4628" s="25"/>
      <c r="BJ4628" s="25"/>
      <c r="BK4628" s="25"/>
    </row>
    <row r="4629" spans="60:63" ht="14.25" x14ac:dyDescent="0.2">
      <c r="BH4629" s="25"/>
      <c r="BI4629" s="25"/>
      <c r="BJ4629" s="25"/>
      <c r="BK4629" s="25"/>
    </row>
    <row r="4630" spans="60:63" ht="14.25" x14ac:dyDescent="0.2">
      <c r="BH4630" s="25"/>
      <c r="BI4630" s="25"/>
      <c r="BJ4630" s="25"/>
      <c r="BK4630" s="25"/>
    </row>
    <row r="4631" spans="60:63" ht="14.25" x14ac:dyDescent="0.2">
      <c r="BH4631" s="25"/>
      <c r="BI4631" s="25"/>
      <c r="BJ4631" s="25"/>
      <c r="BK4631" s="25"/>
    </row>
    <row r="4632" spans="60:63" ht="14.25" x14ac:dyDescent="0.2">
      <c r="BH4632" s="25"/>
      <c r="BI4632" s="25"/>
      <c r="BJ4632" s="25"/>
      <c r="BK4632" s="25"/>
    </row>
    <row r="4633" spans="60:63" ht="14.25" x14ac:dyDescent="0.2">
      <c r="BH4633" s="25"/>
      <c r="BI4633" s="25"/>
      <c r="BJ4633" s="25"/>
      <c r="BK4633" s="25"/>
    </row>
    <row r="4634" spans="60:63" ht="14.25" x14ac:dyDescent="0.2">
      <c r="BH4634" s="25"/>
      <c r="BI4634" s="25"/>
      <c r="BJ4634" s="25"/>
      <c r="BK4634" s="25"/>
    </row>
    <row r="4635" spans="60:63" ht="14.25" x14ac:dyDescent="0.2">
      <c r="BH4635" s="25"/>
      <c r="BI4635" s="25"/>
      <c r="BJ4635" s="25"/>
      <c r="BK4635" s="25"/>
    </row>
    <row r="4636" spans="60:63" ht="14.25" x14ac:dyDescent="0.2">
      <c r="BH4636" s="25"/>
      <c r="BI4636" s="25"/>
      <c r="BJ4636" s="25"/>
      <c r="BK4636" s="25"/>
    </row>
    <row r="4637" spans="60:63" ht="14.25" x14ac:dyDescent="0.2">
      <c r="BH4637" s="25"/>
      <c r="BI4637" s="25"/>
      <c r="BJ4637" s="25"/>
      <c r="BK4637" s="25"/>
    </row>
    <row r="4638" spans="60:63" ht="14.25" x14ac:dyDescent="0.2">
      <c r="BH4638" s="25"/>
      <c r="BI4638" s="25"/>
      <c r="BJ4638" s="25"/>
      <c r="BK4638" s="25"/>
    </row>
    <row r="4639" spans="60:63" ht="14.25" x14ac:dyDescent="0.2">
      <c r="BH4639" s="25"/>
      <c r="BI4639" s="25"/>
      <c r="BJ4639" s="25"/>
      <c r="BK4639" s="25"/>
    </row>
    <row r="4640" spans="60:63" ht="14.25" x14ac:dyDescent="0.2">
      <c r="BH4640" s="25"/>
      <c r="BI4640" s="25"/>
      <c r="BJ4640" s="25"/>
      <c r="BK4640" s="25"/>
    </row>
    <row r="4641" spans="60:63" ht="14.25" x14ac:dyDescent="0.2">
      <c r="BH4641" s="25"/>
      <c r="BI4641" s="25"/>
      <c r="BJ4641" s="25"/>
      <c r="BK4641" s="25"/>
    </row>
    <row r="4642" spans="60:63" ht="14.25" x14ac:dyDescent="0.2">
      <c r="BH4642" s="25"/>
      <c r="BI4642" s="25"/>
      <c r="BJ4642" s="25"/>
      <c r="BK4642" s="25"/>
    </row>
    <row r="4643" spans="60:63" ht="14.25" x14ac:dyDescent="0.2">
      <c r="BH4643" s="25"/>
      <c r="BI4643" s="25"/>
      <c r="BJ4643" s="25"/>
      <c r="BK4643" s="25"/>
    </row>
    <row r="4644" spans="60:63" ht="14.25" x14ac:dyDescent="0.2">
      <c r="BH4644" s="25"/>
      <c r="BI4644" s="25"/>
      <c r="BJ4644" s="25"/>
      <c r="BK4644" s="25"/>
    </row>
    <row r="4645" spans="60:63" ht="14.25" x14ac:dyDescent="0.2">
      <c r="BH4645" s="25"/>
      <c r="BI4645" s="25"/>
      <c r="BJ4645" s="25"/>
      <c r="BK4645" s="25"/>
    </row>
    <row r="4646" spans="60:63" ht="14.25" x14ac:dyDescent="0.2">
      <c r="BH4646" s="25"/>
      <c r="BI4646" s="25"/>
      <c r="BJ4646" s="25"/>
      <c r="BK4646" s="25"/>
    </row>
    <row r="4647" spans="60:63" ht="14.25" x14ac:dyDescent="0.2">
      <c r="BH4647" s="25"/>
      <c r="BI4647" s="25"/>
      <c r="BJ4647" s="25"/>
      <c r="BK4647" s="25"/>
    </row>
    <row r="4648" spans="60:63" ht="14.25" x14ac:dyDescent="0.2">
      <c r="BH4648" s="25"/>
      <c r="BI4648" s="25"/>
      <c r="BJ4648" s="25"/>
      <c r="BK4648" s="25"/>
    </row>
    <row r="4649" spans="60:63" ht="14.25" x14ac:dyDescent="0.2">
      <c r="BH4649" s="25"/>
      <c r="BI4649" s="25"/>
      <c r="BJ4649" s="25"/>
      <c r="BK4649" s="25"/>
    </row>
    <row r="4650" spans="60:63" ht="14.25" x14ac:dyDescent="0.2">
      <c r="BH4650" s="25"/>
      <c r="BI4650" s="25"/>
      <c r="BJ4650" s="25"/>
      <c r="BK4650" s="25"/>
    </row>
    <row r="4651" spans="60:63" ht="14.25" x14ac:dyDescent="0.2">
      <c r="BH4651" s="25"/>
      <c r="BI4651" s="25"/>
      <c r="BJ4651" s="25"/>
      <c r="BK4651" s="25"/>
    </row>
    <row r="4652" spans="60:63" ht="14.25" x14ac:dyDescent="0.2">
      <c r="BH4652" s="25"/>
      <c r="BI4652" s="25"/>
      <c r="BJ4652" s="25"/>
      <c r="BK4652" s="25"/>
    </row>
    <row r="4653" spans="60:63" ht="14.25" x14ac:dyDescent="0.2">
      <c r="BH4653" s="25"/>
      <c r="BI4653" s="25"/>
      <c r="BJ4653" s="25"/>
      <c r="BK4653" s="25"/>
    </row>
    <row r="4654" spans="60:63" ht="14.25" x14ac:dyDescent="0.2">
      <c r="BH4654" s="25"/>
      <c r="BI4654" s="25"/>
      <c r="BJ4654" s="25"/>
      <c r="BK4654" s="25"/>
    </row>
    <row r="4655" spans="60:63" ht="14.25" x14ac:dyDescent="0.2">
      <c r="BH4655" s="25"/>
      <c r="BI4655" s="25"/>
      <c r="BJ4655" s="25"/>
      <c r="BK4655" s="25"/>
    </row>
    <row r="4656" spans="60:63" ht="14.25" x14ac:dyDescent="0.2">
      <c r="BH4656" s="25"/>
      <c r="BI4656" s="25"/>
      <c r="BJ4656" s="25"/>
      <c r="BK4656" s="25"/>
    </row>
    <row r="4657" spans="60:63" ht="14.25" x14ac:dyDescent="0.2">
      <c r="BH4657" s="25"/>
      <c r="BI4657" s="25"/>
      <c r="BJ4657" s="25"/>
      <c r="BK4657" s="25"/>
    </row>
    <row r="4658" spans="60:63" ht="14.25" x14ac:dyDescent="0.2">
      <c r="BH4658" s="25"/>
      <c r="BI4658" s="25"/>
      <c r="BJ4658" s="25"/>
      <c r="BK4658" s="25"/>
    </row>
    <row r="4659" spans="60:63" ht="14.25" x14ac:dyDescent="0.2">
      <c r="BH4659" s="25"/>
      <c r="BI4659" s="25"/>
      <c r="BJ4659" s="25"/>
      <c r="BK4659" s="25"/>
    </row>
    <row r="4660" spans="60:63" ht="14.25" x14ac:dyDescent="0.2">
      <c r="BH4660" s="25"/>
      <c r="BI4660" s="25"/>
      <c r="BJ4660" s="25"/>
      <c r="BK4660" s="25"/>
    </row>
    <row r="4661" spans="60:63" ht="14.25" x14ac:dyDescent="0.2">
      <c r="BH4661" s="25"/>
      <c r="BI4661" s="25"/>
      <c r="BJ4661" s="25"/>
      <c r="BK4661" s="25"/>
    </row>
    <row r="4662" spans="60:63" ht="14.25" x14ac:dyDescent="0.2">
      <c r="BH4662" s="25"/>
      <c r="BI4662" s="25"/>
      <c r="BJ4662" s="25"/>
      <c r="BK4662" s="25"/>
    </row>
    <row r="4663" spans="60:63" ht="14.25" x14ac:dyDescent="0.2">
      <c r="BH4663" s="25"/>
      <c r="BI4663" s="25"/>
      <c r="BJ4663" s="25"/>
      <c r="BK4663" s="25"/>
    </row>
    <row r="4664" spans="60:63" ht="14.25" x14ac:dyDescent="0.2">
      <c r="BH4664" s="25"/>
      <c r="BI4664" s="25"/>
      <c r="BJ4664" s="25"/>
      <c r="BK4664" s="25"/>
    </row>
    <row r="4665" spans="60:63" ht="14.25" x14ac:dyDescent="0.2">
      <c r="BH4665" s="25"/>
      <c r="BI4665" s="25"/>
      <c r="BJ4665" s="25"/>
      <c r="BK4665" s="25"/>
    </row>
    <row r="4666" spans="60:63" ht="14.25" x14ac:dyDescent="0.2">
      <c r="BH4666" s="25"/>
      <c r="BI4666" s="25"/>
      <c r="BJ4666" s="25"/>
      <c r="BK4666" s="25"/>
    </row>
    <row r="4667" spans="60:63" ht="14.25" x14ac:dyDescent="0.2">
      <c r="BH4667" s="25"/>
      <c r="BI4667" s="25"/>
      <c r="BJ4667" s="25"/>
      <c r="BK4667" s="25"/>
    </row>
    <row r="4668" spans="60:63" ht="14.25" x14ac:dyDescent="0.2">
      <c r="BH4668" s="25"/>
      <c r="BI4668" s="25"/>
      <c r="BJ4668" s="25"/>
      <c r="BK4668" s="25"/>
    </row>
    <row r="4669" spans="60:63" ht="14.25" x14ac:dyDescent="0.2">
      <c r="BH4669" s="25"/>
      <c r="BI4669" s="25"/>
      <c r="BJ4669" s="25"/>
      <c r="BK4669" s="25"/>
    </row>
    <row r="4670" spans="60:63" ht="14.25" x14ac:dyDescent="0.2">
      <c r="BH4670" s="25"/>
      <c r="BI4670" s="25"/>
      <c r="BJ4670" s="25"/>
      <c r="BK4670" s="25"/>
    </row>
    <row r="4671" spans="60:63" ht="14.25" x14ac:dyDescent="0.2">
      <c r="BH4671" s="25"/>
      <c r="BI4671" s="25"/>
      <c r="BJ4671" s="25"/>
      <c r="BK4671" s="25"/>
    </row>
    <row r="4672" spans="60:63" ht="14.25" x14ac:dyDescent="0.2">
      <c r="BH4672" s="25"/>
      <c r="BI4672" s="25"/>
      <c r="BJ4672" s="25"/>
      <c r="BK4672" s="25"/>
    </row>
    <row r="4673" spans="60:63" ht="14.25" x14ac:dyDescent="0.2">
      <c r="BH4673" s="25"/>
      <c r="BI4673" s="25"/>
      <c r="BJ4673" s="25"/>
      <c r="BK4673" s="25"/>
    </row>
    <row r="4674" spans="60:63" ht="14.25" x14ac:dyDescent="0.2">
      <c r="BH4674" s="25"/>
      <c r="BI4674" s="25"/>
      <c r="BJ4674" s="25"/>
      <c r="BK4674" s="25"/>
    </row>
    <row r="4675" spans="60:63" ht="14.25" x14ac:dyDescent="0.2">
      <c r="BH4675" s="25"/>
      <c r="BI4675" s="25"/>
      <c r="BJ4675" s="25"/>
      <c r="BK4675" s="25"/>
    </row>
    <row r="4676" spans="60:63" ht="14.25" x14ac:dyDescent="0.2">
      <c r="BH4676" s="25"/>
      <c r="BI4676" s="25"/>
      <c r="BJ4676" s="25"/>
      <c r="BK4676" s="25"/>
    </row>
    <row r="4677" spans="60:63" ht="14.25" x14ac:dyDescent="0.2">
      <c r="BH4677" s="25"/>
      <c r="BI4677" s="25"/>
      <c r="BJ4677" s="25"/>
      <c r="BK4677" s="25"/>
    </row>
    <row r="4678" spans="60:63" ht="14.25" x14ac:dyDescent="0.2">
      <c r="BH4678" s="25"/>
      <c r="BI4678" s="25"/>
      <c r="BJ4678" s="25"/>
      <c r="BK4678" s="25"/>
    </row>
    <row r="4679" spans="60:63" ht="14.25" x14ac:dyDescent="0.2">
      <c r="BH4679" s="25"/>
      <c r="BI4679" s="25"/>
      <c r="BJ4679" s="25"/>
      <c r="BK4679" s="25"/>
    </row>
    <row r="4680" spans="60:63" ht="14.25" x14ac:dyDescent="0.2">
      <c r="BH4680" s="25"/>
      <c r="BI4680" s="25"/>
      <c r="BJ4680" s="25"/>
      <c r="BK4680" s="25"/>
    </row>
    <row r="4681" spans="60:63" ht="14.25" x14ac:dyDescent="0.2">
      <c r="BH4681" s="25"/>
      <c r="BI4681" s="25"/>
      <c r="BJ4681" s="25"/>
      <c r="BK4681" s="25"/>
    </row>
    <row r="4682" spans="60:63" ht="14.25" x14ac:dyDescent="0.2">
      <c r="BH4682" s="25"/>
      <c r="BI4682" s="25"/>
      <c r="BJ4682" s="25"/>
      <c r="BK4682" s="25"/>
    </row>
    <row r="4683" spans="60:63" ht="14.25" x14ac:dyDescent="0.2">
      <c r="BH4683" s="25"/>
      <c r="BI4683" s="25"/>
      <c r="BJ4683" s="25"/>
      <c r="BK4683" s="25"/>
    </row>
    <row r="4684" spans="60:63" ht="14.25" x14ac:dyDescent="0.2">
      <c r="BH4684" s="25"/>
      <c r="BI4684" s="25"/>
      <c r="BJ4684" s="25"/>
      <c r="BK4684" s="25"/>
    </row>
    <row r="4685" spans="60:63" ht="14.25" x14ac:dyDescent="0.2">
      <c r="BH4685" s="25"/>
      <c r="BI4685" s="25"/>
      <c r="BJ4685" s="25"/>
      <c r="BK4685" s="25"/>
    </row>
    <row r="4686" spans="60:63" ht="14.25" x14ac:dyDescent="0.2">
      <c r="BH4686" s="25"/>
      <c r="BI4686" s="25"/>
      <c r="BJ4686" s="25"/>
      <c r="BK4686" s="25"/>
    </row>
    <row r="4687" spans="60:63" ht="14.25" x14ac:dyDescent="0.2">
      <c r="BH4687" s="25"/>
      <c r="BI4687" s="25"/>
      <c r="BJ4687" s="25"/>
      <c r="BK4687" s="25"/>
    </row>
    <row r="4688" spans="60:63" ht="14.25" x14ac:dyDescent="0.2">
      <c r="BH4688" s="25"/>
      <c r="BI4688" s="25"/>
      <c r="BJ4688" s="25"/>
      <c r="BK4688" s="25"/>
    </row>
    <row r="4689" spans="60:63" ht="14.25" x14ac:dyDescent="0.2">
      <c r="BH4689" s="25"/>
      <c r="BI4689" s="25"/>
      <c r="BJ4689" s="25"/>
      <c r="BK4689" s="25"/>
    </row>
    <row r="4690" spans="60:63" ht="14.25" x14ac:dyDescent="0.2">
      <c r="BH4690" s="25"/>
      <c r="BI4690" s="25"/>
      <c r="BJ4690" s="25"/>
      <c r="BK4690" s="25"/>
    </row>
    <row r="4691" spans="60:63" ht="14.25" x14ac:dyDescent="0.2">
      <c r="BH4691" s="25"/>
      <c r="BI4691" s="25"/>
      <c r="BJ4691" s="25"/>
      <c r="BK4691" s="25"/>
    </row>
    <row r="4692" spans="60:63" ht="14.25" x14ac:dyDescent="0.2">
      <c r="BH4692" s="25"/>
      <c r="BI4692" s="25"/>
      <c r="BJ4692" s="25"/>
      <c r="BK4692" s="25"/>
    </row>
    <row r="4693" spans="60:63" ht="14.25" x14ac:dyDescent="0.2">
      <c r="BH4693" s="25"/>
      <c r="BI4693" s="25"/>
      <c r="BJ4693" s="25"/>
      <c r="BK4693" s="25"/>
    </row>
    <row r="4694" spans="60:63" ht="14.25" x14ac:dyDescent="0.2">
      <c r="BH4694" s="25"/>
      <c r="BI4694" s="25"/>
      <c r="BJ4694" s="25"/>
      <c r="BK4694" s="25"/>
    </row>
    <row r="4695" spans="60:63" ht="14.25" x14ac:dyDescent="0.2">
      <c r="BH4695" s="25"/>
      <c r="BI4695" s="25"/>
      <c r="BJ4695" s="25"/>
      <c r="BK4695" s="25"/>
    </row>
    <row r="4696" spans="60:63" ht="14.25" x14ac:dyDescent="0.2">
      <c r="BH4696" s="25"/>
      <c r="BI4696" s="25"/>
      <c r="BJ4696" s="25"/>
      <c r="BK4696" s="25"/>
    </row>
    <row r="4697" spans="60:63" ht="14.25" x14ac:dyDescent="0.2">
      <c r="BH4697" s="25"/>
      <c r="BI4697" s="25"/>
      <c r="BJ4697" s="25"/>
      <c r="BK4697" s="25"/>
    </row>
    <row r="4698" spans="60:63" ht="14.25" x14ac:dyDescent="0.2">
      <c r="BH4698" s="25"/>
      <c r="BI4698" s="25"/>
      <c r="BJ4698" s="25"/>
      <c r="BK4698" s="25"/>
    </row>
    <row r="4699" spans="60:63" ht="14.25" x14ac:dyDescent="0.2">
      <c r="BH4699" s="25"/>
      <c r="BI4699" s="25"/>
      <c r="BJ4699" s="25"/>
      <c r="BK4699" s="25"/>
    </row>
    <row r="4700" spans="60:63" ht="14.25" x14ac:dyDescent="0.2">
      <c r="BH4700" s="25"/>
      <c r="BI4700" s="25"/>
      <c r="BJ4700" s="25"/>
      <c r="BK4700" s="25"/>
    </row>
    <row r="4701" spans="60:63" ht="14.25" x14ac:dyDescent="0.2">
      <c r="BH4701" s="25"/>
      <c r="BI4701" s="25"/>
      <c r="BJ4701" s="25"/>
      <c r="BK4701" s="25"/>
    </row>
    <row r="4702" spans="60:63" ht="14.25" x14ac:dyDescent="0.2">
      <c r="BH4702" s="25"/>
      <c r="BI4702" s="25"/>
      <c r="BJ4702" s="25"/>
      <c r="BK4702" s="25"/>
    </row>
    <row r="4703" spans="60:63" ht="14.25" x14ac:dyDescent="0.2">
      <c r="BH4703" s="25"/>
      <c r="BI4703" s="25"/>
      <c r="BJ4703" s="25"/>
      <c r="BK4703" s="25"/>
    </row>
    <row r="4704" spans="60:63" ht="14.25" x14ac:dyDescent="0.2">
      <c r="BH4704" s="25"/>
      <c r="BI4704" s="25"/>
      <c r="BJ4704" s="25"/>
      <c r="BK4704" s="25"/>
    </row>
    <row r="4705" spans="60:63" ht="14.25" x14ac:dyDescent="0.2">
      <c r="BH4705" s="25"/>
      <c r="BI4705" s="25"/>
      <c r="BJ4705" s="25"/>
      <c r="BK4705" s="25"/>
    </row>
    <row r="4706" spans="60:63" ht="14.25" x14ac:dyDescent="0.2">
      <c r="BH4706" s="25"/>
      <c r="BI4706" s="25"/>
      <c r="BJ4706" s="25"/>
      <c r="BK4706" s="25"/>
    </row>
    <row r="4707" spans="60:63" ht="14.25" x14ac:dyDescent="0.2">
      <c r="BH4707" s="25"/>
      <c r="BI4707" s="25"/>
      <c r="BJ4707" s="25"/>
      <c r="BK4707" s="25"/>
    </row>
    <row r="4708" spans="60:63" ht="14.25" x14ac:dyDescent="0.2">
      <c r="BH4708" s="25"/>
      <c r="BI4708" s="25"/>
      <c r="BJ4708" s="25"/>
      <c r="BK4708" s="25"/>
    </row>
    <row r="4709" spans="60:63" ht="14.25" x14ac:dyDescent="0.2">
      <c r="BH4709" s="25"/>
      <c r="BI4709" s="25"/>
      <c r="BJ4709" s="25"/>
      <c r="BK4709" s="25"/>
    </row>
    <row r="4710" spans="60:63" ht="14.25" x14ac:dyDescent="0.2">
      <c r="BH4710" s="25"/>
      <c r="BI4710" s="25"/>
      <c r="BJ4710" s="25"/>
      <c r="BK4710" s="25"/>
    </row>
    <row r="4711" spans="60:63" ht="14.25" x14ac:dyDescent="0.2">
      <c r="BH4711" s="25"/>
      <c r="BI4711" s="25"/>
      <c r="BJ4711" s="25"/>
      <c r="BK4711" s="25"/>
    </row>
    <row r="4712" spans="60:63" ht="14.25" x14ac:dyDescent="0.2">
      <c r="BH4712" s="25"/>
      <c r="BI4712" s="25"/>
      <c r="BJ4712" s="25"/>
      <c r="BK4712" s="25"/>
    </row>
    <row r="4713" spans="60:63" ht="14.25" x14ac:dyDescent="0.2">
      <c r="BH4713" s="25"/>
      <c r="BI4713" s="25"/>
      <c r="BJ4713" s="25"/>
      <c r="BK4713" s="25"/>
    </row>
    <row r="4714" spans="60:63" ht="14.25" x14ac:dyDescent="0.2">
      <c r="BH4714" s="25"/>
      <c r="BI4714" s="25"/>
      <c r="BJ4714" s="25"/>
      <c r="BK4714" s="25"/>
    </row>
    <row r="4715" spans="60:63" ht="14.25" x14ac:dyDescent="0.2">
      <c r="BH4715" s="25"/>
      <c r="BI4715" s="25"/>
      <c r="BJ4715" s="25"/>
      <c r="BK4715" s="25"/>
    </row>
    <row r="4716" spans="60:63" ht="14.25" x14ac:dyDescent="0.2">
      <c r="BH4716" s="25"/>
      <c r="BI4716" s="25"/>
      <c r="BJ4716" s="25"/>
      <c r="BK4716" s="25"/>
    </row>
    <row r="4717" spans="60:63" ht="14.25" x14ac:dyDescent="0.2">
      <c r="BH4717" s="25"/>
      <c r="BI4717" s="25"/>
      <c r="BJ4717" s="25"/>
      <c r="BK4717" s="25"/>
    </row>
    <row r="4718" spans="60:63" ht="14.25" x14ac:dyDescent="0.2">
      <c r="BH4718" s="25"/>
      <c r="BI4718" s="25"/>
      <c r="BJ4718" s="25"/>
      <c r="BK4718" s="25"/>
    </row>
    <row r="4719" spans="60:63" ht="14.25" x14ac:dyDescent="0.2">
      <c r="BH4719" s="25"/>
      <c r="BI4719" s="25"/>
      <c r="BJ4719" s="25"/>
      <c r="BK4719" s="25"/>
    </row>
    <row r="4720" spans="60:63" ht="14.25" x14ac:dyDescent="0.2">
      <c r="BH4720" s="25"/>
      <c r="BI4720" s="25"/>
      <c r="BJ4720" s="25"/>
      <c r="BK4720" s="25"/>
    </row>
    <row r="4721" spans="60:63" ht="14.25" x14ac:dyDescent="0.2">
      <c r="BH4721" s="25"/>
      <c r="BI4721" s="25"/>
      <c r="BJ4721" s="25"/>
      <c r="BK4721" s="25"/>
    </row>
    <row r="4722" spans="60:63" ht="14.25" x14ac:dyDescent="0.2">
      <c r="BH4722" s="25"/>
      <c r="BI4722" s="25"/>
      <c r="BJ4722" s="25"/>
      <c r="BK4722" s="25"/>
    </row>
    <row r="4723" spans="60:63" ht="14.25" x14ac:dyDescent="0.2">
      <c r="BH4723" s="25"/>
      <c r="BI4723" s="25"/>
      <c r="BJ4723" s="25"/>
      <c r="BK4723" s="25"/>
    </row>
    <row r="4724" spans="60:63" ht="14.25" x14ac:dyDescent="0.2">
      <c r="BH4724" s="25"/>
      <c r="BI4724" s="25"/>
      <c r="BJ4724" s="25"/>
      <c r="BK4724" s="25"/>
    </row>
    <row r="4725" spans="60:63" ht="14.25" x14ac:dyDescent="0.2">
      <c r="BH4725" s="25"/>
      <c r="BI4725" s="25"/>
      <c r="BJ4725" s="25"/>
      <c r="BK4725" s="25"/>
    </row>
    <row r="4726" spans="60:63" ht="14.25" x14ac:dyDescent="0.2">
      <c r="BH4726" s="25"/>
      <c r="BI4726" s="25"/>
      <c r="BJ4726" s="25"/>
      <c r="BK4726" s="25"/>
    </row>
    <row r="4727" spans="60:63" ht="14.25" x14ac:dyDescent="0.2">
      <c r="BH4727" s="25"/>
      <c r="BI4727" s="25"/>
      <c r="BJ4727" s="25"/>
      <c r="BK4727" s="25"/>
    </row>
    <row r="4728" spans="60:63" ht="14.25" x14ac:dyDescent="0.2">
      <c r="BH4728" s="25"/>
      <c r="BI4728" s="25"/>
      <c r="BJ4728" s="25"/>
      <c r="BK4728" s="25"/>
    </row>
    <row r="4729" spans="60:63" ht="14.25" x14ac:dyDescent="0.2">
      <c r="BH4729" s="25"/>
      <c r="BI4729" s="25"/>
      <c r="BJ4729" s="25"/>
      <c r="BK4729" s="25"/>
    </row>
    <row r="4730" spans="60:63" ht="14.25" x14ac:dyDescent="0.2">
      <c r="BH4730" s="25"/>
      <c r="BI4730" s="25"/>
      <c r="BJ4730" s="25"/>
      <c r="BK4730" s="25"/>
    </row>
    <row r="4731" spans="60:63" ht="14.25" x14ac:dyDescent="0.2">
      <c r="BH4731" s="25"/>
      <c r="BI4731" s="25"/>
      <c r="BJ4731" s="25"/>
      <c r="BK4731" s="25"/>
    </row>
    <row r="4732" spans="60:63" ht="14.25" x14ac:dyDescent="0.2">
      <c r="BH4732" s="25"/>
      <c r="BI4732" s="25"/>
      <c r="BJ4732" s="25"/>
      <c r="BK4732" s="25"/>
    </row>
    <row r="4733" spans="60:63" ht="14.25" x14ac:dyDescent="0.2">
      <c r="BH4733" s="25"/>
      <c r="BI4733" s="25"/>
      <c r="BJ4733" s="25"/>
      <c r="BK4733" s="25"/>
    </row>
    <row r="4734" spans="60:63" ht="14.25" x14ac:dyDescent="0.2">
      <c r="BH4734" s="25"/>
      <c r="BI4734" s="25"/>
      <c r="BJ4734" s="25"/>
      <c r="BK4734" s="25"/>
    </row>
    <row r="4735" spans="60:63" ht="14.25" x14ac:dyDescent="0.2">
      <c r="BH4735" s="25"/>
      <c r="BI4735" s="25"/>
      <c r="BJ4735" s="25"/>
      <c r="BK4735" s="25"/>
    </row>
    <row r="4736" spans="60:63" ht="14.25" x14ac:dyDescent="0.2">
      <c r="BH4736" s="25"/>
      <c r="BI4736" s="25"/>
      <c r="BJ4736" s="25"/>
      <c r="BK4736" s="25"/>
    </row>
    <row r="4737" spans="60:63" ht="14.25" x14ac:dyDescent="0.2">
      <c r="BH4737" s="25"/>
      <c r="BI4737" s="25"/>
      <c r="BJ4737" s="25"/>
      <c r="BK4737" s="25"/>
    </row>
    <row r="4738" spans="60:63" ht="14.25" x14ac:dyDescent="0.2">
      <c r="BH4738" s="25"/>
      <c r="BI4738" s="25"/>
      <c r="BJ4738" s="25"/>
      <c r="BK4738" s="25"/>
    </row>
    <row r="4739" spans="60:63" ht="14.25" x14ac:dyDescent="0.2">
      <c r="BH4739" s="25"/>
      <c r="BI4739" s="25"/>
      <c r="BJ4739" s="25"/>
      <c r="BK4739" s="25"/>
    </row>
    <row r="4740" spans="60:63" ht="14.25" x14ac:dyDescent="0.2">
      <c r="BH4740" s="25"/>
      <c r="BI4740" s="25"/>
      <c r="BJ4740" s="25"/>
      <c r="BK4740" s="25"/>
    </row>
    <row r="4741" spans="60:63" ht="14.25" x14ac:dyDescent="0.2">
      <c r="BH4741" s="25"/>
      <c r="BI4741" s="25"/>
      <c r="BJ4741" s="25"/>
      <c r="BK4741" s="25"/>
    </row>
    <row r="4742" spans="60:63" ht="14.25" x14ac:dyDescent="0.2">
      <c r="BH4742" s="25"/>
      <c r="BI4742" s="25"/>
      <c r="BJ4742" s="25"/>
      <c r="BK4742" s="25"/>
    </row>
    <row r="4743" spans="60:63" ht="14.25" x14ac:dyDescent="0.2">
      <c r="BH4743" s="25"/>
      <c r="BI4743" s="25"/>
      <c r="BJ4743" s="25"/>
      <c r="BK4743" s="25"/>
    </row>
    <row r="4744" spans="60:63" ht="14.25" x14ac:dyDescent="0.2">
      <c r="BH4744" s="25"/>
      <c r="BI4744" s="25"/>
      <c r="BJ4744" s="25"/>
      <c r="BK4744" s="25"/>
    </row>
    <row r="4745" spans="60:63" ht="14.25" x14ac:dyDescent="0.2">
      <c r="BH4745" s="25"/>
      <c r="BI4745" s="25"/>
      <c r="BJ4745" s="25"/>
      <c r="BK4745" s="25"/>
    </row>
    <row r="4746" spans="60:63" ht="14.25" x14ac:dyDescent="0.2">
      <c r="BH4746" s="25"/>
      <c r="BI4746" s="25"/>
      <c r="BJ4746" s="25"/>
      <c r="BK4746" s="25"/>
    </row>
    <row r="4747" spans="60:63" ht="14.25" x14ac:dyDescent="0.2">
      <c r="BH4747" s="25"/>
      <c r="BI4747" s="25"/>
      <c r="BJ4747" s="25"/>
      <c r="BK4747" s="25"/>
    </row>
    <row r="4748" spans="60:63" ht="14.25" x14ac:dyDescent="0.2">
      <c r="BH4748" s="25"/>
      <c r="BI4748" s="25"/>
      <c r="BJ4748" s="25"/>
      <c r="BK4748" s="25"/>
    </row>
    <row r="4749" spans="60:63" ht="14.25" x14ac:dyDescent="0.2">
      <c r="BH4749" s="25"/>
      <c r="BI4749" s="25"/>
      <c r="BJ4749" s="25"/>
      <c r="BK4749" s="25"/>
    </row>
    <row r="4750" spans="60:63" ht="14.25" x14ac:dyDescent="0.2">
      <c r="BH4750" s="25"/>
      <c r="BI4750" s="25"/>
      <c r="BJ4750" s="25"/>
      <c r="BK4750" s="25"/>
    </row>
    <row r="4751" spans="60:63" ht="14.25" x14ac:dyDescent="0.2">
      <c r="BH4751" s="25"/>
      <c r="BI4751" s="25"/>
      <c r="BJ4751" s="25"/>
      <c r="BK4751" s="25"/>
    </row>
    <row r="4752" spans="60:63" ht="14.25" x14ac:dyDescent="0.2">
      <c r="BH4752" s="25"/>
      <c r="BI4752" s="25"/>
      <c r="BJ4752" s="25"/>
      <c r="BK4752" s="25"/>
    </row>
    <row r="4753" spans="60:63" ht="14.25" x14ac:dyDescent="0.2">
      <c r="BH4753" s="25"/>
      <c r="BI4753" s="25"/>
      <c r="BJ4753" s="25"/>
      <c r="BK4753" s="25"/>
    </row>
    <row r="4754" spans="60:63" ht="14.25" x14ac:dyDescent="0.2">
      <c r="BH4754" s="25"/>
      <c r="BI4754" s="25"/>
      <c r="BJ4754" s="25"/>
      <c r="BK4754" s="25"/>
    </row>
    <row r="4755" spans="60:63" ht="14.25" x14ac:dyDescent="0.2">
      <c r="BH4755" s="25"/>
      <c r="BI4755" s="25"/>
      <c r="BJ4755" s="25"/>
      <c r="BK4755" s="25"/>
    </row>
    <row r="4756" spans="60:63" ht="14.25" x14ac:dyDescent="0.2">
      <c r="BH4756" s="25"/>
      <c r="BI4756" s="25"/>
      <c r="BJ4756" s="25"/>
      <c r="BK4756" s="25"/>
    </row>
    <row r="4757" spans="60:63" ht="14.25" x14ac:dyDescent="0.2">
      <c r="BH4757" s="25"/>
      <c r="BI4757" s="25"/>
      <c r="BJ4757" s="25"/>
      <c r="BK4757" s="25"/>
    </row>
    <row r="4758" spans="60:63" ht="14.25" x14ac:dyDescent="0.2">
      <c r="BH4758" s="25"/>
      <c r="BI4758" s="25"/>
      <c r="BJ4758" s="25"/>
      <c r="BK4758" s="25"/>
    </row>
    <row r="4759" spans="60:63" ht="14.25" x14ac:dyDescent="0.2">
      <c r="BH4759" s="25"/>
      <c r="BI4759" s="25"/>
      <c r="BJ4759" s="25"/>
      <c r="BK4759" s="25"/>
    </row>
    <row r="4760" spans="60:63" ht="14.25" x14ac:dyDescent="0.2">
      <c r="BH4760" s="25"/>
      <c r="BI4760" s="25"/>
      <c r="BJ4760" s="25"/>
      <c r="BK4760" s="25"/>
    </row>
    <row r="4761" spans="60:63" ht="14.25" x14ac:dyDescent="0.2">
      <c r="BH4761" s="25"/>
      <c r="BI4761" s="25"/>
      <c r="BJ4761" s="25"/>
      <c r="BK4761" s="25"/>
    </row>
    <row r="4762" spans="60:63" ht="14.25" x14ac:dyDescent="0.2">
      <c r="BH4762" s="25"/>
      <c r="BI4762" s="25"/>
      <c r="BJ4762" s="25"/>
      <c r="BK4762" s="25"/>
    </row>
    <row r="4763" spans="60:63" ht="14.25" x14ac:dyDescent="0.2">
      <c r="BH4763" s="25"/>
      <c r="BI4763" s="25"/>
      <c r="BJ4763" s="25"/>
      <c r="BK4763" s="25"/>
    </row>
    <row r="4764" spans="60:63" ht="14.25" x14ac:dyDescent="0.2">
      <c r="BH4764" s="25"/>
      <c r="BI4764" s="25"/>
      <c r="BJ4764" s="25"/>
      <c r="BK4764" s="25"/>
    </row>
    <row r="4765" spans="60:63" ht="14.25" x14ac:dyDescent="0.2">
      <c r="BH4765" s="25"/>
      <c r="BI4765" s="25"/>
      <c r="BJ4765" s="25"/>
      <c r="BK4765" s="25"/>
    </row>
    <row r="4766" spans="60:63" ht="14.25" x14ac:dyDescent="0.2">
      <c r="BH4766" s="25"/>
      <c r="BI4766" s="25"/>
      <c r="BJ4766" s="25"/>
      <c r="BK4766" s="25"/>
    </row>
    <row r="4767" spans="60:63" ht="14.25" x14ac:dyDescent="0.2">
      <c r="BH4767" s="25"/>
      <c r="BI4767" s="25"/>
      <c r="BJ4767" s="25"/>
      <c r="BK4767" s="25"/>
    </row>
    <row r="4768" spans="60:63" ht="14.25" x14ac:dyDescent="0.2">
      <c r="BH4768" s="25"/>
      <c r="BI4768" s="25"/>
      <c r="BJ4768" s="25"/>
      <c r="BK4768" s="25"/>
    </row>
    <row r="4769" spans="60:63" ht="14.25" x14ac:dyDescent="0.2">
      <c r="BH4769" s="25"/>
      <c r="BI4769" s="25"/>
      <c r="BJ4769" s="25"/>
      <c r="BK4769" s="25"/>
    </row>
    <row r="4770" spans="60:63" ht="14.25" x14ac:dyDescent="0.2">
      <c r="BH4770" s="25"/>
      <c r="BI4770" s="25"/>
      <c r="BJ4770" s="25"/>
      <c r="BK4770" s="25"/>
    </row>
    <row r="4771" spans="60:63" ht="14.25" x14ac:dyDescent="0.2">
      <c r="BH4771" s="25"/>
      <c r="BI4771" s="25"/>
      <c r="BJ4771" s="25"/>
      <c r="BK4771" s="25"/>
    </row>
    <row r="4772" spans="60:63" ht="14.25" x14ac:dyDescent="0.2">
      <c r="BH4772" s="25"/>
      <c r="BI4772" s="25"/>
      <c r="BJ4772" s="25"/>
      <c r="BK4772" s="25"/>
    </row>
    <row r="4773" spans="60:63" ht="14.25" x14ac:dyDescent="0.2">
      <c r="BH4773" s="25"/>
      <c r="BI4773" s="25"/>
      <c r="BJ4773" s="25"/>
      <c r="BK4773" s="25"/>
    </row>
    <row r="4774" spans="60:63" ht="14.25" x14ac:dyDescent="0.2">
      <c r="BH4774" s="25"/>
      <c r="BI4774" s="25"/>
      <c r="BJ4774" s="25"/>
      <c r="BK4774" s="25"/>
    </row>
    <row r="4775" spans="60:63" ht="14.25" x14ac:dyDescent="0.2">
      <c r="BH4775" s="25"/>
      <c r="BI4775" s="25"/>
      <c r="BJ4775" s="25"/>
      <c r="BK4775" s="25"/>
    </row>
    <row r="4776" spans="60:63" ht="14.25" x14ac:dyDescent="0.2">
      <c r="BH4776" s="25"/>
      <c r="BI4776" s="25"/>
      <c r="BJ4776" s="25"/>
      <c r="BK4776" s="25"/>
    </row>
    <row r="4777" spans="60:63" ht="14.25" x14ac:dyDescent="0.2">
      <c r="BH4777" s="25"/>
      <c r="BI4777" s="25"/>
      <c r="BJ4777" s="25"/>
      <c r="BK4777" s="25"/>
    </row>
    <row r="4778" spans="60:63" ht="14.25" x14ac:dyDescent="0.2">
      <c r="BH4778" s="25"/>
      <c r="BI4778" s="25"/>
      <c r="BJ4778" s="25"/>
      <c r="BK4778" s="25"/>
    </row>
    <row r="4779" spans="60:63" ht="14.25" x14ac:dyDescent="0.2">
      <c r="BH4779" s="25"/>
      <c r="BI4779" s="25"/>
      <c r="BJ4779" s="25"/>
      <c r="BK4779" s="25"/>
    </row>
    <row r="4780" spans="60:63" ht="14.25" x14ac:dyDescent="0.2">
      <c r="BH4780" s="25"/>
      <c r="BI4780" s="25"/>
      <c r="BJ4780" s="25"/>
      <c r="BK4780" s="25"/>
    </row>
    <row r="4781" spans="60:63" ht="14.25" x14ac:dyDescent="0.2">
      <c r="BH4781" s="25"/>
      <c r="BI4781" s="25"/>
      <c r="BJ4781" s="25"/>
      <c r="BK4781" s="25"/>
    </row>
    <row r="4782" spans="60:63" ht="14.25" x14ac:dyDescent="0.2">
      <c r="BH4782" s="25"/>
      <c r="BI4782" s="25"/>
      <c r="BJ4782" s="25"/>
      <c r="BK4782" s="25"/>
    </row>
    <row r="4783" spans="60:63" ht="14.25" x14ac:dyDescent="0.2">
      <c r="BH4783" s="25"/>
      <c r="BI4783" s="25"/>
      <c r="BJ4783" s="25"/>
      <c r="BK4783" s="25"/>
    </row>
    <row r="4784" spans="60:63" ht="14.25" x14ac:dyDescent="0.2">
      <c r="BH4784" s="25"/>
      <c r="BI4784" s="25"/>
      <c r="BJ4784" s="25"/>
      <c r="BK4784" s="25"/>
    </row>
    <row r="4785" spans="60:63" ht="14.25" x14ac:dyDescent="0.2">
      <c r="BH4785" s="25"/>
      <c r="BI4785" s="25"/>
      <c r="BJ4785" s="25"/>
      <c r="BK4785" s="25"/>
    </row>
    <row r="4786" spans="60:63" ht="14.25" x14ac:dyDescent="0.2">
      <c r="BH4786" s="25"/>
      <c r="BI4786" s="25"/>
      <c r="BJ4786" s="25"/>
      <c r="BK4786" s="25"/>
    </row>
    <row r="4787" spans="60:63" ht="14.25" x14ac:dyDescent="0.2">
      <c r="BH4787" s="25"/>
      <c r="BI4787" s="25"/>
      <c r="BJ4787" s="25"/>
      <c r="BK4787" s="25"/>
    </row>
    <row r="4788" spans="60:63" ht="14.25" x14ac:dyDescent="0.2">
      <c r="BH4788" s="25"/>
      <c r="BI4788" s="25"/>
      <c r="BJ4788" s="25"/>
      <c r="BK4788" s="25"/>
    </row>
    <row r="4789" spans="60:63" ht="14.25" x14ac:dyDescent="0.2">
      <c r="BH4789" s="25"/>
      <c r="BI4789" s="25"/>
      <c r="BJ4789" s="25"/>
      <c r="BK4789" s="25"/>
    </row>
    <row r="4790" spans="60:63" ht="14.25" x14ac:dyDescent="0.2">
      <c r="BH4790" s="25"/>
      <c r="BI4790" s="25"/>
      <c r="BJ4790" s="25"/>
      <c r="BK4790" s="25"/>
    </row>
    <row r="4791" spans="60:63" ht="14.25" x14ac:dyDescent="0.2">
      <c r="BH4791" s="25"/>
      <c r="BI4791" s="25"/>
      <c r="BJ4791" s="25"/>
      <c r="BK4791" s="25"/>
    </row>
    <row r="4792" spans="60:63" ht="14.25" x14ac:dyDescent="0.2">
      <c r="BH4792" s="25"/>
      <c r="BI4792" s="25"/>
      <c r="BJ4792" s="25"/>
      <c r="BK4792" s="25"/>
    </row>
    <row r="4793" spans="60:63" ht="14.25" x14ac:dyDescent="0.2">
      <c r="BH4793" s="25"/>
      <c r="BI4793" s="25"/>
      <c r="BJ4793" s="25"/>
      <c r="BK4793" s="25"/>
    </row>
    <row r="4794" spans="60:63" ht="14.25" x14ac:dyDescent="0.2">
      <c r="BH4794" s="25"/>
      <c r="BI4794" s="25"/>
      <c r="BJ4794" s="25"/>
      <c r="BK4794" s="25"/>
    </row>
    <row r="4795" spans="60:63" ht="14.25" x14ac:dyDescent="0.2">
      <c r="BH4795" s="25"/>
      <c r="BI4795" s="25"/>
      <c r="BJ4795" s="25"/>
      <c r="BK4795" s="25"/>
    </row>
    <row r="4796" spans="60:63" ht="14.25" x14ac:dyDescent="0.2">
      <c r="BH4796" s="25"/>
      <c r="BI4796" s="25"/>
      <c r="BJ4796" s="25"/>
      <c r="BK4796" s="25"/>
    </row>
    <row r="4797" spans="60:63" ht="14.25" x14ac:dyDescent="0.2">
      <c r="BH4797" s="25"/>
      <c r="BI4797" s="25"/>
      <c r="BJ4797" s="25"/>
      <c r="BK4797" s="25"/>
    </row>
    <row r="4798" spans="60:63" ht="14.25" x14ac:dyDescent="0.2">
      <c r="BH4798" s="25"/>
      <c r="BI4798" s="25"/>
      <c r="BJ4798" s="25"/>
      <c r="BK4798" s="25"/>
    </row>
    <row r="4799" spans="60:63" ht="14.25" x14ac:dyDescent="0.2">
      <c r="BH4799" s="25"/>
      <c r="BI4799" s="25"/>
      <c r="BJ4799" s="25"/>
      <c r="BK4799" s="25"/>
    </row>
    <row r="4800" spans="60:63" ht="14.25" x14ac:dyDescent="0.2">
      <c r="BH4800" s="25"/>
      <c r="BI4800" s="25"/>
      <c r="BJ4800" s="25"/>
      <c r="BK4800" s="25"/>
    </row>
    <row r="4801" spans="60:63" ht="14.25" x14ac:dyDescent="0.2">
      <c r="BH4801" s="25"/>
      <c r="BI4801" s="25"/>
      <c r="BJ4801" s="25"/>
      <c r="BK4801" s="25"/>
    </row>
    <row r="4802" spans="60:63" ht="14.25" x14ac:dyDescent="0.2">
      <c r="BH4802" s="25"/>
      <c r="BI4802" s="25"/>
      <c r="BJ4802" s="25"/>
      <c r="BK4802" s="25"/>
    </row>
    <row r="4803" spans="60:63" ht="14.25" x14ac:dyDescent="0.2">
      <c r="BH4803" s="25"/>
      <c r="BI4803" s="25"/>
      <c r="BJ4803" s="25"/>
      <c r="BK4803" s="25"/>
    </row>
    <row r="4804" spans="60:63" ht="14.25" x14ac:dyDescent="0.2">
      <c r="BH4804" s="25"/>
      <c r="BI4804" s="25"/>
      <c r="BJ4804" s="25"/>
      <c r="BK4804" s="25"/>
    </row>
    <row r="4805" spans="60:63" ht="14.25" x14ac:dyDescent="0.2">
      <c r="BH4805" s="25"/>
      <c r="BI4805" s="25"/>
      <c r="BJ4805" s="25"/>
      <c r="BK4805" s="25"/>
    </row>
    <row r="4806" spans="60:63" ht="14.25" x14ac:dyDescent="0.2">
      <c r="BH4806" s="25"/>
      <c r="BI4806" s="25"/>
      <c r="BJ4806" s="25"/>
      <c r="BK4806" s="25"/>
    </row>
    <row r="4807" spans="60:63" ht="14.25" x14ac:dyDescent="0.2">
      <c r="BH4807" s="25"/>
      <c r="BI4807" s="25"/>
      <c r="BJ4807" s="25"/>
      <c r="BK4807" s="25"/>
    </row>
    <row r="4808" spans="60:63" ht="14.25" x14ac:dyDescent="0.2">
      <c r="BH4808" s="25"/>
      <c r="BI4808" s="25"/>
      <c r="BJ4808" s="25"/>
      <c r="BK4808" s="25"/>
    </row>
    <row r="4809" spans="60:63" ht="14.25" x14ac:dyDescent="0.2">
      <c r="BH4809" s="25"/>
      <c r="BI4809" s="25"/>
      <c r="BJ4809" s="25"/>
      <c r="BK4809" s="25"/>
    </row>
    <row r="4810" spans="60:63" ht="14.25" x14ac:dyDescent="0.2">
      <c r="BH4810" s="25"/>
      <c r="BI4810" s="25"/>
      <c r="BJ4810" s="25"/>
      <c r="BK4810" s="25"/>
    </row>
    <row r="4811" spans="60:63" ht="14.25" x14ac:dyDescent="0.2">
      <c r="BH4811" s="25"/>
      <c r="BI4811" s="25"/>
      <c r="BJ4811" s="25"/>
      <c r="BK4811" s="25"/>
    </row>
    <row r="4812" spans="60:63" ht="14.25" x14ac:dyDescent="0.2">
      <c r="BH4812" s="25"/>
      <c r="BI4812" s="25"/>
      <c r="BJ4812" s="25"/>
      <c r="BK4812" s="25"/>
    </row>
    <row r="4813" spans="60:63" ht="14.25" x14ac:dyDescent="0.2">
      <c r="BH4813" s="25"/>
      <c r="BI4813" s="25"/>
      <c r="BJ4813" s="25"/>
      <c r="BK4813" s="25"/>
    </row>
    <row r="4814" spans="60:63" ht="14.25" x14ac:dyDescent="0.2">
      <c r="BH4814" s="25"/>
      <c r="BI4814" s="25"/>
      <c r="BJ4814" s="25"/>
      <c r="BK4814" s="25"/>
    </row>
    <row r="4815" spans="60:63" ht="14.25" x14ac:dyDescent="0.2">
      <c r="BH4815" s="25"/>
      <c r="BI4815" s="25"/>
      <c r="BJ4815" s="25"/>
      <c r="BK4815" s="25"/>
    </row>
    <row r="4816" spans="60:63" ht="14.25" x14ac:dyDescent="0.2">
      <c r="BH4816" s="25"/>
      <c r="BI4816" s="25"/>
      <c r="BJ4816" s="25"/>
      <c r="BK4816" s="25"/>
    </row>
    <row r="4817" spans="60:63" ht="14.25" x14ac:dyDescent="0.2">
      <c r="BH4817" s="25"/>
      <c r="BI4817" s="25"/>
      <c r="BJ4817" s="25"/>
      <c r="BK4817" s="25"/>
    </row>
    <row r="4818" spans="60:63" ht="14.25" x14ac:dyDescent="0.2">
      <c r="BH4818" s="25"/>
      <c r="BI4818" s="25"/>
      <c r="BJ4818" s="25"/>
      <c r="BK4818" s="25"/>
    </row>
    <row r="4819" spans="60:63" ht="14.25" x14ac:dyDescent="0.2">
      <c r="BH4819" s="25"/>
      <c r="BI4819" s="25"/>
      <c r="BJ4819" s="25"/>
      <c r="BK4819" s="25"/>
    </row>
    <row r="4820" spans="60:63" ht="14.25" x14ac:dyDescent="0.2">
      <c r="BH4820" s="25"/>
      <c r="BI4820" s="25"/>
      <c r="BJ4820" s="25"/>
      <c r="BK4820" s="25"/>
    </row>
    <row r="4821" spans="60:63" ht="14.25" x14ac:dyDescent="0.2">
      <c r="BH4821" s="25"/>
      <c r="BI4821" s="25"/>
      <c r="BJ4821" s="25"/>
      <c r="BK4821" s="25"/>
    </row>
    <row r="4822" spans="60:63" ht="14.25" x14ac:dyDescent="0.2">
      <c r="BH4822" s="25"/>
      <c r="BI4822" s="25"/>
      <c r="BJ4822" s="25"/>
      <c r="BK4822" s="25"/>
    </row>
    <row r="4823" spans="60:63" ht="14.25" x14ac:dyDescent="0.2">
      <c r="BH4823" s="25"/>
      <c r="BI4823" s="25"/>
      <c r="BJ4823" s="25"/>
      <c r="BK4823" s="25"/>
    </row>
    <row r="4824" spans="60:63" ht="14.25" x14ac:dyDescent="0.2">
      <c r="BH4824" s="25"/>
      <c r="BI4824" s="25"/>
      <c r="BJ4824" s="25"/>
      <c r="BK4824" s="25"/>
    </row>
    <row r="4825" spans="60:63" ht="14.25" x14ac:dyDescent="0.2">
      <c r="BH4825" s="25"/>
      <c r="BI4825" s="25"/>
      <c r="BJ4825" s="25"/>
      <c r="BK4825" s="25"/>
    </row>
    <row r="4826" spans="60:63" ht="14.25" x14ac:dyDescent="0.2">
      <c r="BH4826" s="25"/>
      <c r="BI4826" s="25"/>
      <c r="BJ4826" s="25"/>
      <c r="BK4826" s="25"/>
    </row>
    <row r="4827" spans="60:63" ht="14.25" x14ac:dyDescent="0.2">
      <c r="BH4827" s="25"/>
      <c r="BI4827" s="25"/>
      <c r="BJ4827" s="25"/>
      <c r="BK4827" s="25"/>
    </row>
    <row r="4828" spans="60:63" ht="14.25" x14ac:dyDescent="0.2">
      <c r="BH4828" s="25"/>
      <c r="BI4828" s="25"/>
      <c r="BJ4828" s="25"/>
      <c r="BK4828" s="25"/>
    </row>
    <row r="4829" spans="60:63" ht="14.25" x14ac:dyDescent="0.2">
      <c r="BH4829" s="25"/>
      <c r="BI4829" s="25"/>
      <c r="BJ4829" s="25"/>
      <c r="BK4829" s="25"/>
    </row>
    <row r="4830" spans="60:63" ht="14.25" x14ac:dyDescent="0.2">
      <c r="BH4830" s="25"/>
      <c r="BI4830" s="25"/>
      <c r="BJ4830" s="25"/>
      <c r="BK4830" s="25"/>
    </row>
    <row r="4831" spans="60:63" ht="14.25" x14ac:dyDescent="0.2">
      <c r="BH4831" s="25"/>
      <c r="BI4831" s="25"/>
      <c r="BJ4831" s="25"/>
      <c r="BK4831" s="25"/>
    </row>
    <row r="4832" spans="60:63" ht="14.25" x14ac:dyDescent="0.2">
      <c r="BH4832" s="25"/>
      <c r="BI4832" s="25"/>
      <c r="BJ4832" s="25"/>
      <c r="BK4832" s="25"/>
    </row>
    <row r="4833" spans="60:63" ht="14.25" x14ac:dyDescent="0.2">
      <c r="BH4833" s="25"/>
      <c r="BI4833" s="25"/>
      <c r="BJ4833" s="25"/>
      <c r="BK4833" s="25"/>
    </row>
    <row r="4834" spans="60:63" ht="14.25" x14ac:dyDescent="0.2">
      <c r="BH4834" s="25"/>
      <c r="BI4834" s="25"/>
      <c r="BJ4834" s="25"/>
      <c r="BK4834" s="25"/>
    </row>
    <row r="4835" spans="60:63" ht="14.25" x14ac:dyDescent="0.2">
      <c r="BH4835" s="25"/>
      <c r="BI4835" s="25"/>
      <c r="BJ4835" s="25"/>
      <c r="BK4835" s="25"/>
    </row>
    <row r="4836" spans="60:63" ht="14.25" x14ac:dyDescent="0.2">
      <c r="BH4836" s="25"/>
      <c r="BI4836" s="25"/>
      <c r="BJ4836" s="25"/>
      <c r="BK4836" s="25"/>
    </row>
    <row r="4837" spans="60:63" ht="14.25" x14ac:dyDescent="0.2">
      <c r="BH4837" s="25"/>
      <c r="BI4837" s="25"/>
      <c r="BJ4837" s="25"/>
      <c r="BK4837" s="25"/>
    </row>
    <row r="4838" spans="60:63" ht="14.25" x14ac:dyDescent="0.2">
      <c r="BH4838" s="25"/>
      <c r="BI4838" s="25"/>
      <c r="BJ4838" s="25"/>
      <c r="BK4838" s="25"/>
    </row>
    <row r="4839" spans="60:63" ht="14.25" x14ac:dyDescent="0.2">
      <c r="BH4839" s="25"/>
      <c r="BI4839" s="25"/>
      <c r="BJ4839" s="25"/>
      <c r="BK4839" s="25"/>
    </row>
    <row r="4840" spans="60:63" ht="14.25" x14ac:dyDescent="0.2">
      <c r="BH4840" s="25"/>
      <c r="BI4840" s="25"/>
      <c r="BJ4840" s="25"/>
      <c r="BK4840" s="25"/>
    </row>
    <row r="4841" spans="60:63" ht="14.25" x14ac:dyDescent="0.2">
      <c r="BH4841" s="25"/>
      <c r="BI4841" s="25"/>
      <c r="BJ4841" s="25"/>
      <c r="BK4841" s="25"/>
    </row>
    <row r="4842" spans="60:63" ht="14.25" x14ac:dyDescent="0.2">
      <c r="BH4842" s="25"/>
      <c r="BI4842" s="25"/>
      <c r="BJ4842" s="25"/>
      <c r="BK4842" s="25"/>
    </row>
    <row r="4843" spans="60:63" ht="14.25" x14ac:dyDescent="0.2">
      <c r="BH4843" s="25"/>
      <c r="BI4843" s="25"/>
      <c r="BJ4843" s="25"/>
      <c r="BK4843" s="25"/>
    </row>
    <row r="4844" spans="60:63" ht="14.25" x14ac:dyDescent="0.2">
      <c r="BH4844" s="25"/>
      <c r="BI4844" s="25"/>
      <c r="BJ4844" s="25"/>
      <c r="BK4844" s="25"/>
    </row>
    <row r="4845" spans="60:63" ht="14.25" x14ac:dyDescent="0.2">
      <c r="BH4845" s="25"/>
      <c r="BI4845" s="25"/>
      <c r="BJ4845" s="25"/>
      <c r="BK4845" s="25"/>
    </row>
    <row r="4846" spans="60:63" ht="14.25" x14ac:dyDescent="0.2">
      <c r="BH4846" s="25"/>
      <c r="BI4846" s="25"/>
      <c r="BJ4846" s="25"/>
      <c r="BK4846" s="25"/>
    </row>
    <row r="4847" spans="60:63" ht="14.25" x14ac:dyDescent="0.2">
      <c r="BH4847" s="25"/>
      <c r="BI4847" s="25"/>
      <c r="BJ4847" s="25"/>
      <c r="BK4847" s="25"/>
    </row>
    <row r="4848" spans="60:63" ht="14.25" x14ac:dyDescent="0.2">
      <c r="BH4848" s="25"/>
      <c r="BI4848" s="25"/>
      <c r="BJ4848" s="25"/>
      <c r="BK4848" s="25"/>
    </row>
    <row r="4849" spans="60:63" ht="14.25" x14ac:dyDescent="0.2">
      <c r="BH4849" s="25"/>
      <c r="BI4849" s="25"/>
      <c r="BJ4849" s="25"/>
      <c r="BK4849" s="25"/>
    </row>
    <row r="4850" spans="60:63" ht="14.25" x14ac:dyDescent="0.2">
      <c r="BH4850" s="25"/>
      <c r="BI4850" s="25"/>
      <c r="BJ4850" s="25"/>
      <c r="BK4850" s="25"/>
    </row>
    <row r="4851" spans="60:63" ht="14.25" x14ac:dyDescent="0.2">
      <c r="BH4851" s="25"/>
      <c r="BI4851" s="25"/>
      <c r="BJ4851" s="25"/>
      <c r="BK4851" s="25"/>
    </row>
    <row r="4852" spans="60:63" ht="14.25" x14ac:dyDescent="0.2">
      <c r="BH4852" s="25"/>
      <c r="BI4852" s="25"/>
      <c r="BJ4852" s="25"/>
      <c r="BK4852" s="25"/>
    </row>
    <row r="4853" spans="60:63" ht="14.25" x14ac:dyDescent="0.2">
      <c r="BH4853" s="25"/>
      <c r="BI4853" s="25"/>
      <c r="BJ4853" s="25"/>
      <c r="BK4853" s="25"/>
    </row>
    <row r="4854" spans="60:63" ht="14.25" x14ac:dyDescent="0.2">
      <c r="BH4854" s="25"/>
      <c r="BI4854" s="25"/>
      <c r="BJ4854" s="25"/>
      <c r="BK4854" s="25"/>
    </row>
    <row r="4855" spans="60:63" ht="14.25" x14ac:dyDescent="0.2">
      <c r="BH4855" s="25"/>
      <c r="BI4855" s="25"/>
      <c r="BJ4855" s="25"/>
      <c r="BK4855" s="25"/>
    </row>
    <row r="4856" spans="60:63" ht="14.25" x14ac:dyDescent="0.2">
      <c r="BH4856" s="25"/>
      <c r="BI4856" s="25"/>
      <c r="BJ4856" s="25"/>
      <c r="BK4856" s="25"/>
    </row>
    <row r="4857" spans="60:63" ht="14.25" x14ac:dyDescent="0.2">
      <c r="BH4857" s="25"/>
      <c r="BI4857" s="25"/>
      <c r="BJ4857" s="25"/>
      <c r="BK4857" s="25"/>
    </row>
    <row r="4858" spans="60:63" ht="14.25" x14ac:dyDescent="0.2">
      <c r="BH4858" s="25"/>
      <c r="BI4858" s="25"/>
      <c r="BJ4858" s="25"/>
      <c r="BK4858" s="25"/>
    </row>
    <row r="4859" spans="60:63" ht="14.25" x14ac:dyDescent="0.2">
      <c r="BH4859" s="25"/>
      <c r="BI4859" s="25"/>
      <c r="BJ4859" s="25"/>
      <c r="BK4859" s="25"/>
    </row>
    <row r="4860" spans="60:63" ht="14.25" x14ac:dyDescent="0.2">
      <c r="BH4860" s="25"/>
      <c r="BI4860" s="25"/>
      <c r="BJ4860" s="25"/>
      <c r="BK4860" s="25"/>
    </row>
    <row r="4861" spans="60:63" ht="14.25" x14ac:dyDescent="0.2">
      <c r="BH4861" s="25"/>
      <c r="BI4861" s="25"/>
      <c r="BJ4861" s="25"/>
      <c r="BK4861" s="25"/>
    </row>
    <row r="4862" spans="60:63" ht="14.25" x14ac:dyDescent="0.2">
      <c r="BH4862" s="25"/>
      <c r="BI4862" s="25"/>
      <c r="BJ4862" s="25"/>
      <c r="BK4862" s="25"/>
    </row>
    <row r="4863" spans="60:63" ht="14.25" x14ac:dyDescent="0.2">
      <c r="BH4863" s="25"/>
      <c r="BI4863" s="25"/>
      <c r="BJ4863" s="25"/>
      <c r="BK4863" s="25"/>
    </row>
    <row r="4864" spans="60:63" ht="14.25" x14ac:dyDescent="0.2">
      <c r="BH4864" s="25"/>
      <c r="BI4864" s="25"/>
      <c r="BJ4864" s="25"/>
      <c r="BK4864" s="25"/>
    </row>
    <row r="4865" spans="60:63" ht="14.25" x14ac:dyDescent="0.2">
      <c r="BH4865" s="25"/>
      <c r="BI4865" s="25"/>
      <c r="BJ4865" s="25"/>
      <c r="BK4865" s="25"/>
    </row>
    <row r="4866" spans="60:63" ht="14.25" x14ac:dyDescent="0.2">
      <c r="BH4866" s="25"/>
      <c r="BI4866" s="25"/>
      <c r="BJ4866" s="25"/>
      <c r="BK4866" s="25"/>
    </row>
    <row r="4867" spans="60:63" ht="14.25" x14ac:dyDescent="0.2">
      <c r="BH4867" s="25"/>
      <c r="BI4867" s="25"/>
      <c r="BJ4867" s="25"/>
      <c r="BK4867" s="25"/>
    </row>
    <row r="4868" spans="60:63" ht="14.25" x14ac:dyDescent="0.2">
      <c r="BH4868" s="25"/>
      <c r="BI4868" s="25"/>
      <c r="BJ4868" s="25"/>
      <c r="BK4868" s="25"/>
    </row>
    <row r="4869" spans="60:63" ht="14.25" x14ac:dyDescent="0.2">
      <c r="BH4869" s="25"/>
      <c r="BI4869" s="25"/>
      <c r="BJ4869" s="25"/>
      <c r="BK4869" s="25"/>
    </row>
    <row r="4870" spans="60:63" ht="14.25" x14ac:dyDescent="0.2">
      <c r="BH4870" s="25"/>
      <c r="BI4870" s="25"/>
      <c r="BJ4870" s="25"/>
      <c r="BK4870" s="25"/>
    </row>
    <row r="4871" spans="60:63" ht="14.25" x14ac:dyDescent="0.2">
      <c r="BH4871" s="25"/>
      <c r="BI4871" s="25"/>
      <c r="BJ4871" s="25"/>
      <c r="BK4871" s="25"/>
    </row>
    <row r="4872" spans="60:63" ht="14.25" x14ac:dyDescent="0.2">
      <c r="BH4872" s="25"/>
      <c r="BI4872" s="25"/>
      <c r="BJ4872" s="25"/>
      <c r="BK4872" s="25"/>
    </row>
    <row r="4873" spans="60:63" ht="14.25" x14ac:dyDescent="0.2">
      <c r="BH4873" s="25"/>
      <c r="BI4873" s="25"/>
      <c r="BJ4873" s="25"/>
      <c r="BK4873" s="25"/>
    </row>
    <row r="4874" spans="60:63" ht="14.25" x14ac:dyDescent="0.2">
      <c r="BH4874" s="25"/>
      <c r="BI4874" s="25"/>
      <c r="BJ4874" s="25"/>
      <c r="BK4874" s="25"/>
    </row>
    <row r="4875" spans="60:63" ht="14.25" x14ac:dyDescent="0.2">
      <c r="BH4875" s="25"/>
      <c r="BI4875" s="25"/>
      <c r="BJ4875" s="25"/>
      <c r="BK4875" s="25"/>
    </row>
    <row r="4876" spans="60:63" ht="14.25" x14ac:dyDescent="0.2">
      <c r="BH4876" s="25"/>
      <c r="BI4876" s="25"/>
      <c r="BJ4876" s="25"/>
      <c r="BK4876" s="25"/>
    </row>
    <row r="4877" spans="60:63" ht="14.25" x14ac:dyDescent="0.2">
      <c r="BH4877" s="25"/>
      <c r="BI4877" s="25"/>
      <c r="BJ4877" s="25"/>
      <c r="BK4877" s="25"/>
    </row>
    <row r="4878" spans="60:63" ht="14.25" x14ac:dyDescent="0.2">
      <c r="BH4878" s="25"/>
      <c r="BI4878" s="25"/>
      <c r="BJ4878" s="25"/>
      <c r="BK4878" s="25"/>
    </row>
    <row r="4879" spans="60:63" ht="14.25" x14ac:dyDescent="0.2">
      <c r="BH4879" s="25"/>
      <c r="BI4879" s="25"/>
      <c r="BJ4879" s="25"/>
      <c r="BK4879" s="25"/>
    </row>
    <row r="4880" spans="60:63" ht="14.25" x14ac:dyDescent="0.2">
      <c r="BH4880" s="25"/>
      <c r="BI4880" s="25"/>
      <c r="BJ4880" s="25"/>
      <c r="BK4880" s="25"/>
    </row>
    <row r="4881" spans="60:63" ht="14.25" x14ac:dyDescent="0.2">
      <c r="BH4881" s="25"/>
      <c r="BI4881" s="25"/>
      <c r="BJ4881" s="25"/>
      <c r="BK4881" s="25"/>
    </row>
    <row r="4882" spans="60:63" ht="14.25" x14ac:dyDescent="0.2">
      <c r="BH4882" s="25"/>
      <c r="BI4882" s="25"/>
      <c r="BJ4882" s="25"/>
      <c r="BK4882" s="25"/>
    </row>
    <row r="4883" spans="60:63" ht="14.25" x14ac:dyDescent="0.2">
      <c r="BH4883" s="25"/>
      <c r="BI4883" s="25"/>
      <c r="BJ4883" s="25"/>
      <c r="BK4883" s="25"/>
    </row>
    <row r="4884" spans="60:63" ht="14.25" x14ac:dyDescent="0.2">
      <c r="BH4884" s="25"/>
      <c r="BI4884" s="25"/>
      <c r="BJ4884" s="25"/>
      <c r="BK4884" s="25"/>
    </row>
    <row r="4885" spans="60:63" ht="14.25" x14ac:dyDescent="0.2">
      <c r="BH4885" s="25"/>
      <c r="BI4885" s="25"/>
      <c r="BJ4885" s="25"/>
      <c r="BK4885" s="25"/>
    </row>
    <row r="4886" spans="60:63" ht="14.25" x14ac:dyDescent="0.2">
      <c r="BH4886" s="25"/>
      <c r="BI4886" s="25"/>
      <c r="BJ4886" s="25"/>
      <c r="BK4886" s="25"/>
    </row>
    <row r="4887" spans="60:63" ht="14.25" x14ac:dyDescent="0.2">
      <c r="BH4887" s="25"/>
      <c r="BI4887" s="25"/>
      <c r="BJ4887" s="25"/>
      <c r="BK4887" s="25"/>
    </row>
    <row r="4888" spans="60:63" ht="14.25" x14ac:dyDescent="0.2">
      <c r="BH4888" s="25"/>
      <c r="BI4888" s="25"/>
      <c r="BJ4888" s="25"/>
      <c r="BK4888" s="25"/>
    </row>
    <row r="4889" spans="60:63" ht="14.25" x14ac:dyDescent="0.2">
      <c r="BH4889" s="25"/>
      <c r="BI4889" s="25"/>
      <c r="BJ4889" s="25"/>
      <c r="BK4889" s="25"/>
    </row>
    <row r="4890" spans="60:63" ht="14.25" x14ac:dyDescent="0.2">
      <c r="BH4890" s="25"/>
      <c r="BI4890" s="25"/>
      <c r="BJ4890" s="25"/>
      <c r="BK4890" s="25"/>
    </row>
    <row r="4891" spans="60:63" ht="14.25" x14ac:dyDescent="0.2">
      <c r="BH4891" s="25"/>
      <c r="BI4891" s="25"/>
      <c r="BJ4891" s="25"/>
      <c r="BK4891" s="25"/>
    </row>
    <row r="4892" spans="60:63" ht="14.25" x14ac:dyDescent="0.2">
      <c r="BH4892" s="25"/>
      <c r="BI4892" s="25"/>
      <c r="BJ4892" s="25"/>
      <c r="BK4892" s="25"/>
    </row>
    <row r="4893" spans="60:63" ht="14.25" x14ac:dyDescent="0.2">
      <c r="BH4893" s="25"/>
      <c r="BI4893" s="25"/>
      <c r="BJ4893" s="25"/>
      <c r="BK4893" s="25"/>
    </row>
    <row r="4894" spans="60:63" ht="14.25" x14ac:dyDescent="0.2">
      <c r="BH4894" s="25"/>
      <c r="BI4894" s="25"/>
      <c r="BJ4894" s="25"/>
      <c r="BK4894" s="25"/>
    </row>
    <row r="4895" spans="60:63" ht="14.25" x14ac:dyDescent="0.2">
      <c r="BH4895" s="25"/>
      <c r="BI4895" s="25"/>
      <c r="BJ4895" s="25"/>
      <c r="BK4895" s="25"/>
    </row>
    <row r="4896" spans="60:63" ht="14.25" x14ac:dyDescent="0.2">
      <c r="BH4896" s="25"/>
      <c r="BI4896" s="25"/>
      <c r="BJ4896" s="25"/>
      <c r="BK4896" s="25"/>
    </row>
    <row r="4897" spans="60:63" ht="14.25" x14ac:dyDescent="0.2">
      <c r="BH4897" s="25"/>
      <c r="BI4897" s="25"/>
      <c r="BJ4897" s="25"/>
      <c r="BK4897" s="25"/>
    </row>
    <row r="4898" spans="60:63" ht="14.25" x14ac:dyDescent="0.2">
      <c r="BH4898" s="25"/>
      <c r="BI4898" s="25"/>
      <c r="BJ4898" s="25"/>
      <c r="BK4898" s="25"/>
    </row>
    <row r="4899" spans="60:63" ht="14.25" x14ac:dyDescent="0.2">
      <c r="BH4899" s="25"/>
      <c r="BI4899" s="25"/>
      <c r="BJ4899" s="25"/>
      <c r="BK4899" s="25"/>
    </row>
    <row r="4900" spans="60:63" ht="14.25" x14ac:dyDescent="0.2">
      <c r="BH4900" s="25"/>
      <c r="BI4900" s="25"/>
      <c r="BJ4900" s="25"/>
      <c r="BK4900" s="25"/>
    </row>
    <row r="4901" spans="60:63" ht="14.25" x14ac:dyDescent="0.2">
      <c r="BH4901" s="25"/>
      <c r="BI4901" s="25"/>
      <c r="BJ4901" s="25"/>
      <c r="BK4901" s="25"/>
    </row>
    <row r="4902" spans="60:63" ht="14.25" x14ac:dyDescent="0.2">
      <c r="BH4902" s="25"/>
      <c r="BI4902" s="25"/>
      <c r="BJ4902" s="25"/>
      <c r="BK4902" s="25"/>
    </row>
    <row r="4903" spans="60:63" ht="14.25" x14ac:dyDescent="0.2">
      <c r="BH4903" s="25"/>
      <c r="BI4903" s="25"/>
      <c r="BJ4903" s="25"/>
      <c r="BK4903" s="25"/>
    </row>
    <row r="4904" spans="60:63" ht="14.25" x14ac:dyDescent="0.2">
      <c r="BH4904" s="25"/>
      <c r="BI4904" s="25"/>
      <c r="BJ4904" s="25"/>
      <c r="BK4904" s="25"/>
    </row>
    <row r="4905" spans="60:63" ht="14.25" x14ac:dyDescent="0.2">
      <c r="BH4905" s="25"/>
      <c r="BI4905" s="25"/>
      <c r="BJ4905" s="25"/>
      <c r="BK4905" s="25"/>
    </row>
    <row r="4906" spans="60:63" ht="14.25" x14ac:dyDescent="0.2">
      <c r="BH4906" s="25"/>
      <c r="BI4906" s="25"/>
      <c r="BJ4906" s="25"/>
      <c r="BK4906" s="25"/>
    </row>
    <row r="4907" spans="60:63" ht="14.25" x14ac:dyDescent="0.2">
      <c r="BH4907" s="25"/>
      <c r="BI4907" s="25"/>
      <c r="BJ4907" s="25"/>
      <c r="BK4907" s="25"/>
    </row>
    <row r="4908" spans="60:63" ht="14.25" x14ac:dyDescent="0.2">
      <c r="BH4908" s="25"/>
      <c r="BI4908" s="25"/>
      <c r="BJ4908" s="25"/>
      <c r="BK4908" s="25"/>
    </row>
    <row r="4909" spans="60:63" ht="14.25" x14ac:dyDescent="0.2">
      <c r="BH4909" s="25"/>
      <c r="BI4909" s="25"/>
      <c r="BJ4909" s="25"/>
      <c r="BK4909" s="25"/>
    </row>
    <row r="4910" spans="60:63" ht="14.25" x14ac:dyDescent="0.2">
      <c r="BH4910" s="25"/>
      <c r="BI4910" s="25"/>
      <c r="BJ4910" s="25"/>
      <c r="BK4910" s="25"/>
    </row>
    <row r="4911" spans="60:63" ht="14.25" x14ac:dyDescent="0.2">
      <c r="BH4911" s="25"/>
      <c r="BI4911" s="25"/>
      <c r="BJ4911" s="25"/>
      <c r="BK4911" s="25"/>
    </row>
    <row r="4912" spans="60:63" ht="14.25" x14ac:dyDescent="0.2">
      <c r="BH4912" s="25"/>
      <c r="BI4912" s="25"/>
      <c r="BJ4912" s="25"/>
      <c r="BK4912" s="25"/>
    </row>
    <row r="4913" spans="60:63" ht="14.25" x14ac:dyDescent="0.2">
      <c r="BH4913" s="25"/>
      <c r="BI4913" s="25"/>
      <c r="BJ4913" s="25"/>
      <c r="BK4913" s="25"/>
    </row>
    <row r="4914" spans="60:63" ht="14.25" x14ac:dyDescent="0.2">
      <c r="BH4914" s="25"/>
      <c r="BI4914" s="25"/>
      <c r="BJ4914" s="25"/>
      <c r="BK4914" s="25"/>
    </row>
    <row r="4915" spans="60:63" ht="14.25" x14ac:dyDescent="0.2">
      <c r="BH4915" s="25"/>
      <c r="BI4915" s="25"/>
      <c r="BJ4915" s="25"/>
      <c r="BK4915" s="25"/>
    </row>
    <row r="4916" spans="60:63" ht="14.25" x14ac:dyDescent="0.2">
      <c r="BH4916" s="25"/>
      <c r="BI4916" s="25"/>
      <c r="BJ4916" s="25"/>
      <c r="BK4916" s="25"/>
    </row>
    <row r="4917" spans="60:63" ht="14.25" x14ac:dyDescent="0.2">
      <c r="BH4917" s="25"/>
      <c r="BI4917" s="25"/>
      <c r="BJ4917" s="25"/>
      <c r="BK4917" s="25"/>
    </row>
    <row r="4918" spans="60:63" ht="14.25" x14ac:dyDescent="0.2">
      <c r="BH4918" s="25"/>
      <c r="BI4918" s="25"/>
      <c r="BJ4918" s="25"/>
      <c r="BK4918" s="25"/>
    </row>
    <row r="4919" spans="60:63" ht="14.25" x14ac:dyDescent="0.2">
      <c r="BH4919" s="25"/>
      <c r="BI4919" s="25"/>
      <c r="BJ4919" s="25"/>
      <c r="BK4919" s="25"/>
    </row>
    <row r="4920" spans="60:63" ht="14.25" x14ac:dyDescent="0.2">
      <c r="BH4920" s="25"/>
      <c r="BI4920" s="25"/>
      <c r="BJ4920" s="25"/>
      <c r="BK4920" s="25"/>
    </row>
    <row r="4921" spans="60:63" ht="14.25" x14ac:dyDescent="0.2">
      <c r="BH4921" s="25"/>
      <c r="BI4921" s="25"/>
      <c r="BJ4921" s="25"/>
      <c r="BK4921" s="25"/>
    </row>
    <row r="4922" spans="60:63" ht="14.25" x14ac:dyDescent="0.2">
      <c r="BH4922" s="25"/>
      <c r="BI4922" s="25"/>
      <c r="BJ4922" s="25"/>
      <c r="BK4922" s="25"/>
    </row>
    <row r="4923" spans="60:63" ht="14.25" x14ac:dyDescent="0.2">
      <c r="BH4923" s="25"/>
      <c r="BI4923" s="25"/>
      <c r="BJ4923" s="25"/>
      <c r="BK4923" s="25"/>
    </row>
    <row r="4924" spans="60:63" ht="14.25" x14ac:dyDescent="0.2">
      <c r="BH4924" s="25"/>
      <c r="BI4924" s="25"/>
      <c r="BJ4924" s="25"/>
      <c r="BK4924" s="25"/>
    </row>
    <row r="4925" spans="60:63" ht="14.25" x14ac:dyDescent="0.2">
      <c r="BH4925" s="25"/>
      <c r="BI4925" s="25"/>
      <c r="BJ4925" s="25"/>
      <c r="BK4925" s="25"/>
    </row>
    <row r="4926" spans="60:63" ht="14.25" x14ac:dyDescent="0.2">
      <c r="BH4926" s="25"/>
      <c r="BI4926" s="25"/>
      <c r="BJ4926" s="25"/>
      <c r="BK4926" s="25"/>
    </row>
    <row r="4927" spans="60:63" ht="14.25" x14ac:dyDescent="0.2">
      <c r="BH4927" s="25"/>
      <c r="BI4927" s="25"/>
      <c r="BJ4927" s="25"/>
      <c r="BK4927" s="25"/>
    </row>
    <row r="4928" spans="60:63" ht="14.25" x14ac:dyDescent="0.2">
      <c r="BH4928" s="25"/>
      <c r="BI4928" s="25"/>
      <c r="BJ4928" s="25"/>
      <c r="BK4928" s="25"/>
    </row>
    <row r="4929" spans="60:63" ht="14.25" x14ac:dyDescent="0.2">
      <c r="BH4929" s="25"/>
      <c r="BI4929" s="25"/>
      <c r="BJ4929" s="25"/>
      <c r="BK4929" s="25"/>
    </row>
    <row r="4930" spans="60:63" ht="14.25" x14ac:dyDescent="0.2">
      <c r="BH4930" s="25"/>
      <c r="BI4930" s="25"/>
      <c r="BJ4930" s="25"/>
      <c r="BK4930" s="25"/>
    </row>
    <row r="4931" spans="60:63" ht="14.25" x14ac:dyDescent="0.2">
      <c r="BH4931" s="25"/>
      <c r="BI4931" s="25"/>
      <c r="BJ4931" s="25"/>
      <c r="BK4931" s="25"/>
    </row>
    <row r="4932" spans="60:63" ht="14.25" x14ac:dyDescent="0.2">
      <c r="BH4932" s="25"/>
      <c r="BI4932" s="25"/>
      <c r="BJ4932" s="25"/>
      <c r="BK4932" s="25"/>
    </row>
    <row r="4933" spans="60:63" ht="14.25" x14ac:dyDescent="0.2">
      <c r="BH4933" s="25"/>
      <c r="BI4933" s="25"/>
      <c r="BJ4933" s="25"/>
      <c r="BK4933" s="25"/>
    </row>
    <row r="4934" spans="60:63" ht="14.25" x14ac:dyDescent="0.2">
      <c r="BH4934" s="25"/>
      <c r="BI4934" s="25"/>
      <c r="BJ4934" s="25"/>
      <c r="BK4934" s="25"/>
    </row>
    <row r="4935" spans="60:63" ht="14.25" x14ac:dyDescent="0.2">
      <c r="BH4935" s="25"/>
      <c r="BI4935" s="25"/>
      <c r="BJ4935" s="25"/>
      <c r="BK4935" s="25"/>
    </row>
    <row r="4936" spans="60:63" ht="14.25" x14ac:dyDescent="0.2">
      <c r="BH4936" s="25"/>
      <c r="BI4936" s="25"/>
      <c r="BJ4936" s="25"/>
      <c r="BK4936" s="25"/>
    </row>
    <row r="4937" spans="60:63" ht="14.25" x14ac:dyDescent="0.2">
      <c r="BH4937" s="25"/>
      <c r="BI4937" s="25"/>
      <c r="BJ4937" s="25"/>
      <c r="BK4937" s="25"/>
    </row>
    <row r="4938" spans="60:63" ht="14.25" x14ac:dyDescent="0.2">
      <c r="BH4938" s="25"/>
      <c r="BI4938" s="25"/>
      <c r="BJ4938" s="25"/>
      <c r="BK4938" s="25"/>
    </row>
    <row r="4939" spans="60:63" ht="14.25" x14ac:dyDescent="0.2">
      <c r="BH4939" s="25"/>
      <c r="BI4939" s="25"/>
      <c r="BJ4939" s="25"/>
      <c r="BK4939" s="25"/>
    </row>
    <row r="4940" spans="60:63" ht="14.25" x14ac:dyDescent="0.2">
      <c r="BH4940" s="25"/>
      <c r="BI4940" s="25"/>
      <c r="BJ4940" s="25"/>
      <c r="BK4940" s="25"/>
    </row>
    <row r="4941" spans="60:63" ht="14.25" x14ac:dyDescent="0.2">
      <c r="BH4941" s="25"/>
      <c r="BI4941" s="25"/>
      <c r="BJ4941" s="25"/>
      <c r="BK4941" s="25"/>
    </row>
    <row r="4942" spans="60:63" ht="14.25" x14ac:dyDescent="0.2">
      <c r="BH4942" s="25"/>
      <c r="BI4942" s="25"/>
      <c r="BJ4942" s="25"/>
      <c r="BK4942" s="25"/>
    </row>
    <row r="4943" spans="60:63" ht="14.25" x14ac:dyDescent="0.2">
      <c r="BH4943" s="25"/>
      <c r="BI4943" s="25"/>
      <c r="BJ4943" s="25"/>
      <c r="BK4943" s="25"/>
    </row>
    <row r="4944" spans="60:63" ht="14.25" x14ac:dyDescent="0.2">
      <c r="BH4944" s="25"/>
      <c r="BI4944" s="25"/>
      <c r="BJ4944" s="25"/>
      <c r="BK4944" s="25"/>
    </row>
    <row r="4945" spans="60:63" ht="14.25" x14ac:dyDescent="0.2">
      <c r="BH4945" s="25"/>
      <c r="BI4945" s="25"/>
      <c r="BJ4945" s="25"/>
      <c r="BK4945" s="25"/>
    </row>
    <row r="4946" spans="60:63" ht="14.25" x14ac:dyDescent="0.2">
      <c r="BH4946" s="25"/>
      <c r="BI4946" s="25"/>
      <c r="BJ4946" s="25"/>
      <c r="BK4946" s="25"/>
    </row>
    <row r="4947" spans="60:63" ht="14.25" x14ac:dyDescent="0.2">
      <c r="BH4947" s="25"/>
      <c r="BI4947" s="25"/>
      <c r="BJ4947" s="25"/>
      <c r="BK4947" s="25"/>
    </row>
    <row r="4948" spans="60:63" ht="14.25" x14ac:dyDescent="0.2">
      <c r="BH4948" s="25"/>
      <c r="BI4948" s="25"/>
      <c r="BJ4948" s="25"/>
      <c r="BK4948" s="25"/>
    </row>
    <row r="4949" spans="60:63" ht="14.25" x14ac:dyDescent="0.2">
      <c r="BH4949" s="25"/>
      <c r="BI4949" s="25"/>
      <c r="BJ4949" s="25"/>
      <c r="BK4949" s="25"/>
    </row>
    <row r="4950" spans="60:63" ht="14.25" x14ac:dyDescent="0.2">
      <c r="BH4950" s="25"/>
      <c r="BI4950" s="25"/>
      <c r="BJ4950" s="25"/>
      <c r="BK4950" s="25"/>
    </row>
    <row r="4951" spans="60:63" ht="14.25" x14ac:dyDescent="0.2">
      <c r="BH4951" s="25"/>
      <c r="BI4951" s="25"/>
      <c r="BJ4951" s="25"/>
      <c r="BK4951" s="25"/>
    </row>
    <row r="4952" spans="60:63" ht="14.25" x14ac:dyDescent="0.2">
      <c r="BH4952" s="25"/>
      <c r="BI4952" s="25"/>
      <c r="BJ4952" s="25"/>
      <c r="BK4952" s="25"/>
    </row>
    <row r="4953" spans="60:63" ht="14.25" x14ac:dyDescent="0.2">
      <c r="BH4953" s="25"/>
      <c r="BI4953" s="25"/>
      <c r="BJ4953" s="25"/>
      <c r="BK4953" s="25"/>
    </row>
    <row r="4954" spans="60:63" ht="14.25" x14ac:dyDescent="0.2">
      <c r="BH4954" s="25"/>
      <c r="BI4954" s="25"/>
      <c r="BJ4954" s="25"/>
      <c r="BK4954" s="25"/>
    </row>
    <row r="4955" spans="60:63" ht="14.25" x14ac:dyDescent="0.2">
      <c r="BH4955" s="25"/>
      <c r="BI4955" s="25"/>
      <c r="BJ4955" s="25"/>
      <c r="BK4955" s="25"/>
    </row>
    <row r="4956" spans="60:63" ht="14.25" x14ac:dyDescent="0.2">
      <c r="BH4956" s="25"/>
      <c r="BI4956" s="25"/>
      <c r="BJ4956" s="25"/>
      <c r="BK4956" s="25"/>
    </row>
    <row r="4957" spans="60:63" ht="14.25" x14ac:dyDescent="0.2">
      <c r="BH4957" s="25"/>
      <c r="BI4957" s="25"/>
      <c r="BJ4957" s="25"/>
      <c r="BK4957" s="25"/>
    </row>
    <row r="4958" spans="60:63" ht="14.25" x14ac:dyDescent="0.2">
      <c r="BH4958" s="25"/>
      <c r="BI4958" s="25"/>
      <c r="BJ4958" s="25"/>
      <c r="BK4958" s="25"/>
    </row>
    <row r="4959" spans="60:63" ht="14.25" x14ac:dyDescent="0.2">
      <c r="BH4959" s="25"/>
      <c r="BI4959" s="25"/>
      <c r="BJ4959" s="25"/>
      <c r="BK4959" s="25"/>
    </row>
    <row r="4960" spans="60:63" ht="14.25" x14ac:dyDescent="0.2">
      <c r="BH4960" s="25"/>
      <c r="BI4960" s="25"/>
      <c r="BJ4960" s="25"/>
      <c r="BK4960" s="25"/>
    </row>
    <row r="4961" spans="60:63" ht="14.25" x14ac:dyDescent="0.2">
      <c r="BH4961" s="25"/>
      <c r="BI4961" s="25"/>
      <c r="BJ4961" s="25"/>
      <c r="BK4961" s="25"/>
    </row>
    <row r="4962" spans="60:63" ht="14.25" x14ac:dyDescent="0.2">
      <c r="BH4962" s="25"/>
      <c r="BI4962" s="25"/>
      <c r="BJ4962" s="25"/>
      <c r="BK4962" s="25"/>
    </row>
    <row r="4963" spans="60:63" ht="14.25" x14ac:dyDescent="0.2">
      <c r="BH4963" s="25"/>
      <c r="BI4963" s="25"/>
      <c r="BJ4963" s="25"/>
      <c r="BK4963" s="25"/>
    </row>
    <row r="4964" spans="60:63" ht="14.25" x14ac:dyDescent="0.2">
      <c r="BH4964" s="25"/>
      <c r="BI4964" s="25"/>
      <c r="BJ4964" s="25"/>
      <c r="BK4964" s="25"/>
    </row>
    <row r="4965" spans="60:63" ht="14.25" x14ac:dyDescent="0.2">
      <c r="BH4965" s="25"/>
      <c r="BI4965" s="25"/>
      <c r="BJ4965" s="25"/>
      <c r="BK4965" s="25"/>
    </row>
    <row r="4966" spans="60:63" ht="14.25" x14ac:dyDescent="0.2">
      <c r="BH4966" s="25"/>
      <c r="BI4966" s="25"/>
      <c r="BJ4966" s="25"/>
      <c r="BK4966" s="25"/>
    </row>
    <row r="4967" spans="60:63" ht="14.25" x14ac:dyDescent="0.2">
      <c r="BH4967" s="25"/>
      <c r="BI4967" s="25"/>
      <c r="BJ4967" s="25"/>
      <c r="BK4967" s="25"/>
    </row>
    <row r="4968" spans="60:63" ht="14.25" x14ac:dyDescent="0.2">
      <c r="BH4968" s="25"/>
      <c r="BI4968" s="25"/>
      <c r="BJ4968" s="25"/>
      <c r="BK4968" s="25"/>
    </row>
    <row r="4969" spans="60:63" ht="14.25" x14ac:dyDescent="0.2">
      <c r="BH4969" s="25"/>
      <c r="BI4969" s="25"/>
      <c r="BJ4969" s="25"/>
      <c r="BK4969" s="25"/>
    </row>
    <row r="4970" spans="60:63" ht="14.25" x14ac:dyDescent="0.2">
      <c r="BH4970" s="25"/>
      <c r="BI4970" s="25"/>
      <c r="BJ4970" s="25"/>
      <c r="BK4970" s="25"/>
    </row>
    <row r="4971" spans="60:63" ht="14.25" x14ac:dyDescent="0.2">
      <c r="BH4971" s="25"/>
      <c r="BI4971" s="25"/>
      <c r="BJ4971" s="25"/>
      <c r="BK4971" s="25"/>
    </row>
    <row r="4972" spans="60:63" ht="14.25" x14ac:dyDescent="0.2">
      <c r="BH4972" s="25"/>
      <c r="BI4972" s="25"/>
      <c r="BJ4972" s="25"/>
      <c r="BK4972" s="25"/>
    </row>
    <row r="4973" spans="60:63" ht="14.25" x14ac:dyDescent="0.2">
      <c r="BH4973" s="25"/>
      <c r="BI4973" s="25"/>
      <c r="BJ4973" s="25"/>
      <c r="BK4973" s="25"/>
    </row>
    <row r="4974" spans="60:63" ht="14.25" x14ac:dyDescent="0.2">
      <c r="BH4974" s="25"/>
      <c r="BI4974" s="25"/>
      <c r="BJ4974" s="25"/>
      <c r="BK4974" s="25"/>
    </row>
    <row r="4975" spans="60:63" ht="14.25" x14ac:dyDescent="0.2">
      <c r="BH4975" s="25"/>
      <c r="BI4975" s="25"/>
      <c r="BJ4975" s="25"/>
      <c r="BK4975" s="25"/>
    </row>
    <row r="4976" spans="60:63" ht="14.25" x14ac:dyDescent="0.2">
      <c r="BH4976" s="25"/>
      <c r="BI4976" s="25"/>
      <c r="BJ4976" s="25"/>
      <c r="BK4976" s="25"/>
    </row>
    <row r="4977" spans="60:63" ht="14.25" x14ac:dyDescent="0.2">
      <c r="BH4977" s="25"/>
      <c r="BI4977" s="25"/>
      <c r="BJ4977" s="25"/>
      <c r="BK4977" s="25"/>
    </row>
    <row r="4978" spans="60:63" ht="14.25" x14ac:dyDescent="0.2">
      <c r="BH4978" s="25"/>
      <c r="BI4978" s="25"/>
      <c r="BJ4978" s="25"/>
      <c r="BK4978" s="25"/>
    </row>
    <row r="4979" spans="60:63" ht="14.25" x14ac:dyDescent="0.2">
      <c r="BH4979" s="25"/>
      <c r="BI4979" s="25"/>
      <c r="BJ4979" s="25"/>
      <c r="BK4979" s="25"/>
    </row>
    <row r="4980" spans="60:63" ht="14.25" x14ac:dyDescent="0.2">
      <c r="BH4980" s="25"/>
      <c r="BI4980" s="25"/>
      <c r="BJ4980" s="25"/>
      <c r="BK4980" s="25"/>
    </row>
    <row r="4981" spans="60:63" ht="14.25" x14ac:dyDescent="0.2">
      <c r="BH4981" s="25"/>
      <c r="BI4981" s="25"/>
      <c r="BJ4981" s="25"/>
      <c r="BK4981" s="25"/>
    </row>
    <row r="4982" spans="60:63" ht="14.25" x14ac:dyDescent="0.2">
      <c r="BH4982" s="25"/>
      <c r="BI4982" s="25"/>
      <c r="BJ4982" s="25"/>
      <c r="BK4982" s="25"/>
    </row>
    <row r="4983" spans="60:63" ht="14.25" x14ac:dyDescent="0.2">
      <c r="BH4983" s="25"/>
      <c r="BI4983" s="25"/>
      <c r="BJ4983" s="25"/>
      <c r="BK4983" s="25"/>
    </row>
    <row r="4984" spans="60:63" ht="14.25" x14ac:dyDescent="0.2">
      <c r="BH4984" s="25"/>
      <c r="BI4984" s="25"/>
      <c r="BJ4984" s="25"/>
      <c r="BK4984" s="25"/>
    </row>
    <row r="4985" spans="60:63" ht="14.25" x14ac:dyDescent="0.2">
      <c r="BH4985" s="25"/>
      <c r="BI4985" s="25"/>
      <c r="BJ4985" s="25"/>
      <c r="BK4985" s="25"/>
    </row>
    <row r="4986" spans="60:63" ht="14.25" x14ac:dyDescent="0.2">
      <c r="BH4986" s="25"/>
      <c r="BI4986" s="25"/>
      <c r="BJ4986" s="25"/>
      <c r="BK4986" s="25"/>
    </row>
    <row r="4987" spans="60:63" ht="14.25" x14ac:dyDescent="0.2">
      <c r="BH4987" s="25"/>
      <c r="BI4987" s="25"/>
      <c r="BJ4987" s="25"/>
      <c r="BK4987" s="25"/>
    </row>
    <row r="4988" spans="60:63" ht="14.25" x14ac:dyDescent="0.2">
      <c r="BH4988" s="25"/>
      <c r="BI4988" s="25"/>
      <c r="BJ4988" s="25"/>
      <c r="BK4988" s="25"/>
    </row>
    <row r="4989" spans="60:63" ht="14.25" x14ac:dyDescent="0.2">
      <c r="BH4989" s="25"/>
      <c r="BI4989" s="25"/>
      <c r="BJ4989" s="25"/>
      <c r="BK4989" s="25"/>
    </row>
    <row r="4990" spans="60:63" ht="14.25" x14ac:dyDescent="0.2">
      <c r="BH4990" s="25"/>
      <c r="BI4990" s="25"/>
      <c r="BJ4990" s="25"/>
      <c r="BK4990" s="25"/>
    </row>
    <row r="4991" spans="60:63" ht="14.25" x14ac:dyDescent="0.2">
      <c r="BH4991" s="25"/>
      <c r="BI4991" s="25"/>
      <c r="BJ4991" s="25"/>
      <c r="BK4991" s="25"/>
    </row>
    <row r="4992" spans="60:63" ht="14.25" x14ac:dyDescent="0.2">
      <c r="BH4992" s="25"/>
      <c r="BI4992" s="25"/>
      <c r="BJ4992" s="25"/>
      <c r="BK4992" s="25"/>
    </row>
    <row r="4993" spans="60:63" ht="14.25" x14ac:dyDescent="0.2">
      <c r="BH4993" s="25"/>
      <c r="BI4993" s="25"/>
      <c r="BJ4993" s="25"/>
      <c r="BK4993" s="25"/>
    </row>
    <row r="4994" spans="60:63" ht="14.25" x14ac:dyDescent="0.2">
      <c r="BH4994" s="25"/>
      <c r="BI4994" s="25"/>
      <c r="BJ4994" s="25"/>
      <c r="BK4994" s="25"/>
    </row>
    <row r="4995" spans="60:63" ht="14.25" x14ac:dyDescent="0.2">
      <c r="BH4995" s="25"/>
      <c r="BI4995" s="25"/>
      <c r="BJ4995" s="25"/>
      <c r="BK4995" s="25"/>
    </row>
    <row r="4996" spans="60:63" ht="14.25" x14ac:dyDescent="0.2">
      <c r="BH4996" s="25"/>
      <c r="BI4996" s="25"/>
      <c r="BJ4996" s="25"/>
      <c r="BK4996" s="25"/>
    </row>
    <row r="4997" spans="60:63" ht="14.25" x14ac:dyDescent="0.2">
      <c r="BH4997" s="25"/>
      <c r="BI4997" s="25"/>
      <c r="BJ4997" s="25"/>
      <c r="BK4997" s="25"/>
    </row>
    <row r="4998" spans="60:63" ht="14.25" x14ac:dyDescent="0.2">
      <c r="BH4998" s="25"/>
      <c r="BI4998" s="25"/>
      <c r="BJ4998" s="25"/>
      <c r="BK4998" s="25"/>
    </row>
    <row r="4999" spans="60:63" ht="14.25" x14ac:dyDescent="0.2">
      <c r="BH4999" s="25"/>
      <c r="BI4999" s="25"/>
      <c r="BJ4999" s="25"/>
      <c r="BK4999" s="25"/>
    </row>
    <row r="5000" spans="60:63" ht="14.25" x14ac:dyDescent="0.2">
      <c r="BH5000" s="25"/>
      <c r="BI5000" s="25"/>
      <c r="BJ5000" s="25"/>
      <c r="BK5000" s="25"/>
    </row>
    <row r="5001" spans="60:63" ht="14.25" x14ac:dyDescent="0.2">
      <c r="BH5001" s="25"/>
      <c r="BI5001" s="25"/>
      <c r="BJ5001" s="25"/>
      <c r="BK5001" s="25"/>
    </row>
    <row r="5002" spans="60:63" ht="14.25" x14ac:dyDescent="0.2">
      <c r="BH5002" s="25"/>
      <c r="BI5002" s="25"/>
      <c r="BJ5002" s="25"/>
      <c r="BK5002" s="25"/>
    </row>
    <row r="5003" spans="60:63" ht="14.25" x14ac:dyDescent="0.2">
      <c r="BH5003" s="25"/>
      <c r="BI5003" s="25"/>
      <c r="BJ5003" s="25"/>
      <c r="BK5003" s="25"/>
    </row>
    <row r="5004" spans="60:63" ht="14.25" x14ac:dyDescent="0.2">
      <c r="BH5004" s="25"/>
      <c r="BI5004" s="25"/>
      <c r="BJ5004" s="25"/>
      <c r="BK5004" s="25"/>
    </row>
    <row r="5005" spans="60:63" ht="14.25" x14ac:dyDescent="0.2">
      <c r="BH5005" s="25"/>
      <c r="BI5005" s="25"/>
      <c r="BJ5005" s="25"/>
      <c r="BK5005" s="25"/>
    </row>
    <row r="5006" spans="60:63" ht="14.25" x14ac:dyDescent="0.2">
      <c r="BH5006" s="25"/>
      <c r="BI5006" s="25"/>
      <c r="BJ5006" s="25"/>
      <c r="BK5006" s="25"/>
    </row>
    <row r="5007" spans="60:63" ht="14.25" x14ac:dyDescent="0.2">
      <c r="BH5007" s="25"/>
      <c r="BI5007" s="25"/>
      <c r="BJ5007" s="25"/>
      <c r="BK5007" s="25"/>
    </row>
    <row r="5008" spans="60:63" ht="14.25" x14ac:dyDescent="0.2">
      <c r="BH5008" s="25"/>
      <c r="BI5008" s="25"/>
      <c r="BJ5008" s="25"/>
      <c r="BK5008" s="25"/>
    </row>
    <row r="5009" spans="60:63" ht="14.25" x14ac:dyDescent="0.2">
      <c r="BH5009" s="25"/>
      <c r="BI5009" s="25"/>
      <c r="BJ5009" s="25"/>
      <c r="BK5009" s="25"/>
    </row>
    <row r="5010" spans="60:63" ht="14.25" x14ac:dyDescent="0.2">
      <c r="BH5010" s="25"/>
      <c r="BI5010" s="25"/>
      <c r="BJ5010" s="25"/>
      <c r="BK5010" s="25"/>
    </row>
    <row r="5011" spans="60:63" ht="14.25" x14ac:dyDescent="0.2">
      <c r="BH5011" s="25"/>
      <c r="BI5011" s="25"/>
      <c r="BJ5011" s="25"/>
      <c r="BK5011" s="25"/>
    </row>
    <row r="5012" spans="60:63" ht="14.25" x14ac:dyDescent="0.2">
      <c r="BH5012" s="25"/>
      <c r="BI5012" s="25"/>
      <c r="BJ5012" s="25"/>
      <c r="BK5012" s="25"/>
    </row>
    <row r="5013" spans="60:63" ht="14.25" x14ac:dyDescent="0.2">
      <c r="BH5013" s="25"/>
      <c r="BI5013" s="25"/>
      <c r="BJ5013" s="25"/>
      <c r="BK5013" s="25"/>
    </row>
    <row r="5014" spans="60:63" ht="14.25" x14ac:dyDescent="0.2">
      <c r="BH5014" s="25"/>
      <c r="BI5014" s="25"/>
      <c r="BJ5014" s="25"/>
      <c r="BK5014" s="25"/>
    </row>
    <row r="5015" spans="60:63" ht="14.25" x14ac:dyDescent="0.2">
      <c r="BH5015" s="25"/>
      <c r="BI5015" s="25"/>
      <c r="BJ5015" s="25"/>
      <c r="BK5015" s="25"/>
    </row>
    <row r="5016" spans="60:63" ht="14.25" x14ac:dyDescent="0.2">
      <c r="BH5016" s="25"/>
      <c r="BI5016" s="25"/>
      <c r="BJ5016" s="25"/>
      <c r="BK5016" s="25"/>
    </row>
    <row r="5017" spans="60:63" ht="14.25" x14ac:dyDescent="0.2">
      <c r="BH5017" s="25"/>
      <c r="BI5017" s="25"/>
      <c r="BJ5017" s="25"/>
      <c r="BK5017" s="25"/>
    </row>
    <row r="5018" spans="60:63" ht="14.25" x14ac:dyDescent="0.2">
      <c r="BH5018" s="25"/>
      <c r="BI5018" s="25"/>
      <c r="BJ5018" s="25"/>
      <c r="BK5018" s="25"/>
    </row>
    <row r="5019" spans="60:63" ht="14.25" x14ac:dyDescent="0.2">
      <c r="BH5019" s="25"/>
      <c r="BI5019" s="25"/>
      <c r="BJ5019" s="25"/>
      <c r="BK5019" s="25"/>
    </row>
    <row r="5020" spans="60:63" ht="14.25" x14ac:dyDescent="0.2">
      <c r="BH5020" s="25"/>
      <c r="BI5020" s="25"/>
      <c r="BJ5020" s="25"/>
      <c r="BK5020" s="25"/>
    </row>
    <row r="5021" spans="60:63" ht="14.25" x14ac:dyDescent="0.2">
      <c r="BH5021" s="25"/>
      <c r="BI5021" s="25"/>
      <c r="BJ5021" s="25"/>
      <c r="BK5021" s="25"/>
    </row>
    <row r="5022" spans="60:63" ht="14.25" x14ac:dyDescent="0.2">
      <c r="BH5022" s="25"/>
      <c r="BI5022" s="25"/>
      <c r="BJ5022" s="25"/>
      <c r="BK5022" s="25"/>
    </row>
    <row r="5023" spans="60:63" ht="14.25" x14ac:dyDescent="0.2">
      <c r="BH5023" s="25"/>
      <c r="BI5023" s="25"/>
      <c r="BJ5023" s="25"/>
      <c r="BK5023" s="25"/>
    </row>
    <row r="5024" spans="60:63" ht="14.25" x14ac:dyDescent="0.2">
      <c r="BH5024" s="25"/>
      <c r="BI5024" s="25"/>
      <c r="BJ5024" s="25"/>
      <c r="BK5024" s="25"/>
    </row>
    <row r="5025" spans="60:63" ht="14.25" x14ac:dyDescent="0.2">
      <c r="BH5025" s="25"/>
      <c r="BI5025" s="25"/>
      <c r="BJ5025" s="25"/>
      <c r="BK5025" s="25"/>
    </row>
    <row r="5026" spans="60:63" ht="14.25" x14ac:dyDescent="0.2">
      <c r="BH5026" s="25"/>
      <c r="BI5026" s="25"/>
      <c r="BJ5026" s="25"/>
      <c r="BK5026" s="25"/>
    </row>
    <row r="5027" spans="60:63" ht="14.25" x14ac:dyDescent="0.2">
      <c r="BH5027" s="25"/>
      <c r="BI5027" s="25"/>
      <c r="BJ5027" s="25"/>
      <c r="BK5027" s="25"/>
    </row>
    <row r="5028" spans="60:63" ht="14.25" x14ac:dyDescent="0.2">
      <c r="BH5028" s="25"/>
      <c r="BI5028" s="25"/>
      <c r="BJ5028" s="25"/>
      <c r="BK5028" s="25"/>
    </row>
    <row r="5029" spans="60:63" ht="14.25" x14ac:dyDescent="0.2">
      <c r="BH5029" s="25"/>
      <c r="BI5029" s="25"/>
      <c r="BJ5029" s="25"/>
      <c r="BK5029" s="25"/>
    </row>
    <row r="5030" spans="60:63" ht="14.25" x14ac:dyDescent="0.2">
      <c r="BH5030" s="25"/>
      <c r="BI5030" s="25"/>
      <c r="BJ5030" s="25"/>
      <c r="BK5030" s="25"/>
    </row>
    <row r="5031" spans="60:63" ht="14.25" x14ac:dyDescent="0.2">
      <c r="BH5031" s="25"/>
      <c r="BI5031" s="25"/>
      <c r="BJ5031" s="25"/>
      <c r="BK5031" s="25"/>
    </row>
    <row r="5032" spans="60:63" ht="14.25" x14ac:dyDescent="0.2">
      <c r="BH5032" s="25"/>
      <c r="BI5032" s="25"/>
      <c r="BJ5032" s="25"/>
      <c r="BK5032" s="25"/>
    </row>
    <row r="5033" spans="60:63" ht="14.25" x14ac:dyDescent="0.2">
      <c r="BH5033" s="25"/>
      <c r="BI5033" s="25"/>
      <c r="BJ5033" s="25"/>
      <c r="BK5033" s="25"/>
    </row>
    <row r="5034" spans="60:63" ht="14.25" x14ac:dyDescent="0.2">
      <c r="BH5034" s="25"/>
      <c r="BI5034" s="25"/>
      <c r="BJ5034" s="25"/>
      <c r="BK5034" s="25"/>
    </row>
    <row r="5035" spans="60:63" ht="14.25" x14ac:dyDescent="0.2">
      <c r="BH5035" s="25"/>
      <c r="BI5035" s="25"/>
      <c r="BJ5035" s="25"/>
      <c r="BK5035" s="25"/>
    </row>
    <row r="5036" spans="60:63" ht="14.25" x14ac:dyDescent="0.2">
      <c r="BH5036" s="25"/>
      <c r="BI5036" s="25"/>
      <c r="BJ5036" s="25"/>
      <c r="BK5036" s="25"/>
    </row>
    <row r="5037" spans="60:63" ht="14.25" x14ac:dyDescent="0.2">
      <c r="BH5037" s="25"/>
      <c r="BI5037" s="25"/>
      <c r="BJ5037" s="25"/>
      <c r="BK5037" s="25"/>
    </row>
    <row r="5038" spans="60:63" ht="14.25" x14ac:dyDescent="0.2">
      <c r="BH5038" s="25"/>
      <c r="BI5038" s="25"/>
      <c r="BJ5038" s="25"/>
      <c r="BK5038" s="25"/>
    </row>
    <row r="5039" spans="60:63" ht="14.25" x14ac:dyDescent="0.2">
      <c r="BH5039" s="25"/>
      <c r="BI5039" s="25"/>
      <c r="BJ5039" s="25"/>
      <c r="BK5039" s="25"/>
    </row>
    <row r="5040" spans="60:63" ht="14.25" x14ac:dyDescent="0.2">
      <c r="BH5040" s="25"/>
      <c r="BI5040" s="25"/>
      <c r="BJ5040" s="25"/>
      <c r="BK5040" s="25"/>
    </row>
    <row r="5041" spans="60:63" ht="14.25" x14ac:dyDescent="0.2">
      <c r="BH5041" s="25"/>
      <c r="BI5041" s="25"/>
      <c r="BJ5041" s="25"/>
      <c r="BK5041" s="25"/>
    </row>
    <row r="5042" spans="60:63" ht="14.25" x14ac:dyDescent="0.2">
      <c r="BH5042" s="25"/>
      <c r="BI5042" s="25"/>
      <c r="BJ5042" s="25"/>
      <c r="BK5042" s="25"/>
    </row>
    <row r="5043" spans="60:63" ht="14.25" x14ac:dyDescent="0.2">
      <c r="BH5043" s="25"/>
      <c r="BI5043" s="25"/>
      <c r="BJ5043" s="25"/>
      <c r="BK5043" s="25"/>
    </row>
    <row r="5044" spans="60:63" ht="14.25" x14ac:dyDescent="0.2">
      <c r="BH5044" s="25"/>
      <c r="BI5044" s="25"/>
      <c r="BJ5044" s="25"/>
      <c r="BK5044" s="25"/>
    </row>
    <row r="5045" spans="60:63" ht="14.25" x14ac:dyDescent="0.2">
      <c r="BH5045" s="25"/>
      <c r="BI5045" s="25"/>
      <c r="BJ5045" s="25"/>
      <c r="BK5045" s="25"/>
    </row>
    <row r="5046" spans="60:63" ht="14.25" x14ac:dyDescent="0.2">
      <c r="BH5046" s="25"/>
      <c r="BI5046" s="25"/>
      <c r="BJ5046" s="25"/>
      <c r="BK5046" s="25"/>
    </row>
    <row r="5047" spans="60:63" ht="14.25" x14ac:dyDescent="0.2">
      <c r="BH5047" s="25"/>
      <c r="BI5047" s="25"/>
      <c r="BJ5047" s="25"/>
      <c r="BK5047" s="25"/>
    </row>
    <row r="5048" spans="60:63" ht="14.25" x14ac:dyDescent="0.2">
      <c r="BH5048" s="25"/>
      <c r="BI5048" s="25"/>
      <c r="BJ5048" s="25"/>
      <c r="BK5048" s="25"/>
    </row>
    <row r="5049" spans="60:63" ht="14.25" x14ac:dyDescent="0.2">
      <c r="BH5049" s="25"/>
      <c r="BI5049" s="25"/>
      <c r="BJ5049" s="25"/>
      <c r="BK5049" s="25"/>
    </row>
    <row r="5050" spans="60:63" ht="14.25" x14ac:dyDescent="0.2">
      <c r="BH5050" s="25"/>
      <c r="BI5050" s="25"/>
      <c r="BJ5050" s="25"/>
      <c r="BK5050" s="25"/>
    </row>
    <row r="5051" spans="60:63" ht="14.25" x14ac:dyDescent="0.2">
      <c r="BH5051" s="25"/>
      <c r="BI5051" s="25"/>
      <c r="BJ5051" s="25"/>
      <c r="BK5051" s="25"/>
    </row>
    <row r="5052" spans="60:63" ht="14.25" x14ac:dyDescent="0.2">
      <c r="BH5052" s="25"/>
      <c r="BI5052" s="25"/>
      <c r="BJ5052" s="25"/>
      <c r="BK5052" s="25"/>
    </row>
    <row r="5053" spans="60:63" ht="14.25" x14ac:dyDescent="0.2">
      <c r="BH5053" s="25"/>
      <c r="BI5053" s="25"/>
      <c r="BJ5053" s="25"/>
      <c r="BK5053" s="25"/>
    </row>
    <row r="5054" spans="60:63" ht="14.25" x14ac:dyDescent="0.2">
      <c r="BH5054" s="25"/>
      <c r="BI5054" s="25"/>
      <c r="BJ5054" s="25"/>
      <c r="BK5054" s="25"/>
    </row>
    <row r="5055" spans="60:63" ht="14.25" x14ac:dyDescent="0.2">
      <c r="BH5055" s="25"/>
      <c r="BI5055" s="25"/>
      <c r="BJ5055" s="25"/>
      <c r="BK5055" s="25"/>
    </row>
    <row r="5056" spans="60:63" ht="14.25" x14ac:dyDescent="0.2">
      <c r="BH5056" s="25"/>
      <c r="BI5056" s="25"/>
      <c r="BJ5056" s="25"/>
      <c r="BK5056" s="25"/>
    </row>
    <row r="5057" spans="60:63" ht="14.25" x14ac:dyDescent="0.2">
      <c r="BH5057" s="25"/>
      <c r="BI5057" s="25"/>
      <c r="BJ5057" s="25"/>
      <c r="BK5057" s="25"/>
    </row>
    <row r="5058" spans="60:63" ht="14.25" x14ac:dyDescent="0.2">
      <c r="BH5058" s="25"/>
      <c r="BI5058" s="25"/>
      <c r="BJ5058" s="25"/>
      <c r="BK5058" s="25"/>
    </row>
    <row r="5059" spans="60:63" ht="14.25" x14ac:dyDescent="0.2">
      <c r="BH5059" s="25"/>
      <c r="BI5059" s="25"/>
      <c r="BJ5059" s="25"/>
      <c r="BK5059" s="25"/>
    </row>
    <row r="5060" spans="60:63" ht="14.25" x14ac:dyDescent="0.2">
      <c r="BH5060" s="25"/>
      <c r="BI5060" s="25"/>
      <c r="BJ5060" s="25"/>
      <c r="BK5060" s="25"/>
    </row>
    <row r="5061" spans="60:63" ht="14.25" x14ac:dyDescent="0.2">
      <c r="BH5061" s="25"/>
      <c r="BI5061" s="25"/>
      <c r="BJ5061" s="25"/>
      <c r="BK5061" s="25"/>
    </row>
    <row r="5062" spans="60:63" ht="14.25" x14ac:dyDescent="0.2">
      <c r="BH5062" s="25"/>
      <c r="BI5062" s="25"/>
      <c r="BJ5062" s="25"/>
      <c r="BK5062" s="25"/>
    </row>
    <row r="5063" spans="60:63" ht="14.25" x14ac:dyDescent="0.2">
      <c r="BH5063" s="25"/>
      <c r="BI5063" s="25"/>
      <c r="BJ5063" s="25"/>
      <c r="BK5063" s="25"/>
    </row>
    <row r="5064" spans="60:63" ht="14.25" x14ac:dyDescent="0.2">
      <c r="BH5064" s="25"/>
      <c r="BI5064" s="25"/>
      <c r="BJ5064" s="25"/>
      <c r="BK5064" s="25"/>
    </row>
    <row r="5065" spans="60:63" ht="14.25" x14ac:dyDescent="0.2">
      <c r="BH5065" s="25"/>
      <c r="BI5065" s="25"/>
      <c r="BJ5065" s="25"/>
      <c r="BK5065" s="25"/>
    </row>
    <row r="5066" spans="60:63" ht="14.25" x14ac:dyDescent="0.2">
      <c r="BH5066" s="25"/>
      <c r="BI5066" s="25"/>
      <c r="BJ5066" s="25"/>
      <c r="BK5066" s="25"/>
    </row>
    <row r="5067" spans="60:63" ht="14.25" x14ac:dyDescent="0.2">
      <c r="BH5067" s="25"/>
      <c r="BI5067" s="25"/>
      <c r="BJ5067" s="25"/>
      <c r="BK5067" s="25"/>
    </row>
    <row r="5068" spans="60:63" ht="14.25" x14ac:dyDescent="0.2">
      <c r="BH5068" s="25"/>
      <c r="BI5068" s="25"/>
      <c r="BJ5068" s="25"/>
      <c r="BK5068" s="25"/>
    </row>
    <row r="5069" spans="60:63" ht="14.25" x14ac:dyDescent="0.2">
      <c r="BH5069" s="25"/>
      <c r="BI5069" s="25"/>
      <c r="BJ5069" s="25"/>
      <c r="BK5069" s="25"/>
    </row>
    <row r="5070" spans="60:63" ht="14.25" x14ac:dyDescent="0.2">
      <c r="BH5070" s="25"/>
      <c r="BI5070" s="25"/>
      <c r="BJ5070" s="25"/>
      <c r="BK5070" s="25"/>
    </row>
    <row r="5071" spans="60:63" ht="14.25" x14ac:dyDescent="0.2">
      <c r="BH5071" s="25"/>
      <c r="BI5071" s="25"/>
      <c r="BJ5071" s="25"/>
      <c r="BK5071" s="25"/>
    </row>
    <row r="5072" spans="60:63" ht="14.25" x14ac:dyDescent="0.2">
      <c r="BH5072" s="25"/>
      <c r="BI5072" s="25"/>
      <c r="BJ5072" s="25"/>
      <c r="BK5072" s="25"/>
    </row>
    <row r="5073" spans="60:63" ht="14.25" x14ac:dyDescent="0.2">
      <c r="BH5073" s="25"/>
      <c r="BI5073" s="25"/>
      <c r="BJ5073" s="25"/>
      <c r="BK5073" s="25"/>
    </row>
    <row r="5074" spans="60:63" ht="14.25" x14ac:dyDescent="0.2">
      <c r="BH5074" s="25"/>
      <c r="BI5074" s="25"/>
      <c r="BJ5074" s="25"/>
      <c r="BK5074" s="25"/>
    </row>
    <row r="5075" spans="60:63" ht="14.25" x14ac:dyDescent="0.2">
      <c r="BH5075" s="25"/>
      <c r="BI5075" s="25"/>
      <c r="BJ5075" s="25"/>
      <c r="BK5075" s="25"/>
    </row>
    <row r="5076" spans="60:63" ht="14.25" x14ac:dyDescent="0.2">
      <c r="BH5076" s="25"/>
      <c r="BI5076" s="25"/>
      <c r="BJ5076" s="25"/>
      <c r="BK5076" s="25"/>
    </row>
    <row r="5077" spans="60:63" ht="14.25" x14ac:dyDescent="0.2">
      <c r="BH5077" s="25"/>
      <c r="BI5077" s="25"/>
      <c r="BJ5077" s="25"/>
      <c r="BK5077" s="25"/>
    </row>
    <row r="5078" spans="60:63" ht="14.25" x14ac:dyDescent="0.2">
      <c r="BH5078" s="25"/>
      <c r="BI5078" s="25"/>
      <c r="BJ5078" s="25"/>
      <c r="BK5078" s="25"/>
    </row>
    <row r="5079" spans="60:63" ht="14.25" x14ac:dyDescent="0.2">
      <c r="BH5079" s="25"/>
      <c r="BI5079" s="25"/>
      <c r="BJ5079" s="25"/>
      <c r="BK5079" s="25"/>
    </row>
    <row r="5080" spans="60:63" ht="14.25" x14ac:dyDescent="0.2">
      <c r="BH5080" s="25"/>
      <c r="BI5080" s="25"/>
      <c r="BJ5080" s="25"/>
      <c r="BK5080" s="25"/>
    </row>
    <row r="5081" spans="60:63" ht="14.25" x14ac:dyDescent="0.2">
      <c r="BH5081" s="25"/>
      <c r="BI5081" s="25"/>
      <c r="BJ5081" s="25"/>
      <c r="BK5081" s="25"/>
    </row>
    <row r="5082" spans="60:63" ht="14.25" x14ac:dyDescent="0.2">
      <c r="BH5082" s="25"/>
      <c r="BI5082" s="25"/>
      <c r="BJ5082" s="25"/>
      <c r="BK5082" s="25"/>
    </row>
    <row r="5083" spans="60:63" ht="14.25" x14ac:dyDescent="0.2">
      <c r="BH5083" s="25"/>
      <c r="BI5083" s="25"/>
      <c r="BJ5083" s="25"/>
      <c r="BK5083" s="25"/>
    </row>
    <row r="5084" spans="60:63" ht="14.25" x14ac:dyDescent="0.2">
      <c r="BH5084" s="25"/>
      <c r="BI5084" s="25"/>
      <c r="BJ5084" s="25"/>
      <c r="BK5084" s="25"/>
    </row>
    <row r="5085" spans="60:63" ht="14.25" x14ac:dyDescent="0.2">
      <c r="BH5085" s="25"/>
      <c r="BI5085" s="25"/>
      <c r="BJ5085" s="25"/>
      <c r="BK5085" s="25"/>
    </row>
    <row r="5086" spans="60:63" ht="14.25" x14ac:dyDescent="0.2">
      <c r="BH5086" s="25"/>
      <c r="BI5086" s="25"/>
      <c r="BJ5086" s="25"/>
      <c r="BK5086" s="25"/>
    </row>
    <row r="5087" spans="60:63" ht="14.25" x14ac:dyDescent="0.2">
      <c r="BH5087" s="25"/>
      <c r="BI5087" s="25"/>
      <c r="BJ5087" s="25"/>
      <c r="BK5087" s="25"/>
    </row>
    <row r="5088" spans="60:63" ht="14.25" x14ac:dyDescent="0.2">
      <c r="BH5088" s="25"/>
      <c r="BI5088" s="25"/>
      <c r="BJ5088" s="25"/>
      <c r="BK5088" s="25"/>
    </row>
    <row r="5089" spans="60:63" ht="14.25" x14ac:dyDescent="0.2">
      <c r="BH5089" s="25"/>
      <c r="BI5089" s="25"/>
      <c r="BJ5089" s="25"/>
      <c r="BK5089" s="25"/>
    </row>
    <row r="5090" spans="60:63" ht="14.25" x14ac:dyDescent="0.2">
      <c r="BH5090" s="25"/>
      <c r="BI5090" s="25"/>
      <c r="BJ5090" s="25"/>
      <c r="BK5090" s="25"/>
    </row>
    <row r="5091" spans="60:63" ht="14.25" x14ac:dyDescent="0.2">
      <c r="BH5091" s="25"/>
      <c r="BI5091" s="25"/>
      <c r="BJ5091" s="25"/>
      <c r="BK5091" s="25"/>
    </row>
    <row r="5092" spans="60:63" ht="14.25" x14ac:dyDescent="0.2">
      <c r="BH5092" s="25"/>
      <c r="BI5092" s="25"/>
      <c r="BJ5092" s="25"/>
      <c r="BK5092" s="25"/>
    </row>
    <row r="5093" spans="60:63" ht="14.25" x14ac:dyDescent="0.2">
      <c r="BH5093" s="25"/>
      <c r="BI5093" s="25"/>
      <c r="BJ5093" s="25"/>
      <c r="BK5093" s="25"/>
    </row>
    <row r="5094" spans="60:63" ht="14.25" x14ac:dyDescent="0.2">
      <c r="BH5094" s="25"/>
      <c r="BI5094" s="25"/>
      <c r="BJ5094" s="25"/>
      <c r="BK5094" s="25"/>
    </row>
    <row r="5095" spans="60:63" ht="14.25" x14ac:dyDescent="0.2">
      <c r="BH5095" s="25"/>
      <c r="BI5095" s="25"/>
      <c r="BJ5095" s="25"/>
      <c r="BK5095" s="25"/>
    </row>
    <row r="5096" spans="60:63" ht="14.25" x14ac:dyDescent="0.2">
      <c r="BH5096" s="25"/>
      <c r="BI5096" s="25"/>
      <c r="BJ5096" s="25"/>
      <c r="BK5096" s="25"/>
    </row>
    <row r="5097" spans="60:63" ht="14.25" x14ac:dyDescent="0.2">
      <c r="BH5097" s="25"/>
      <c r="BI5097" s="25"/>
      <c r="BJ5097" s="25"/>
      <c r="BK5097" s="25"/>
    </row>
    <row r="5098" spans="60:63" ht="14.25" x14ac:dyDescent="0.2">
      <c r="BH5098" s="25"/>
      <c r="BI5098" s="25"/>
      <c r="BJ5098" s="25"/>
      <c r="BK5098" s="25"/>
    </row>
    <row r="5099" spans="60:63" ht="14.25" x14ac:dyDescent="0.2">
      <c r="BH5099" s="25"/>
      <c r="BI5099" s="25"/>
      <c r="BJ5099" s="25"/>
      <c r="BK5099" s="25"/>
    </row>
    <row r="5100" spans="60:63" ht="14.25" x14ac:dyDescent="0.2">
      <c r="BH5100" s="25"/>
      <c r="BI5100" s="25"/>
      <c r="BJ5100" s="25"/>
      <c r="BK5100" s="25"/>
    </row>
    <row r="5101" spans="60:63" ht="14.25" x14ac:dyDescent="0.2">
      <c r="BH5101" s="25"/>
      <c r="BI5101" s="25"/>
      <c r="BJ5101" s="25"/>
      <c r="BK5101" s="25"/>
    </row>
    <row r="5102" spans="60:63" ht="14.25" x14ac:dyDescent="0.2">
      <c r="BH5102" s="25"/>
      <c r="BI5102" s="25"/>
      <c r="BJ5102" s="25"/>
      <c r="BK5102" s="25"/>
    </row>
    <row r="5103" spans="60:63" ht="14.25" x14ac:dyDescent="0.2">
      <c r="BH5103" s="25"/>
      <c r="BI5103" s="25"/>
      <c r="BJ5103" s="25"/>
      <c r="BK5103" s="25"/>
    </row>
    <row r="5104" spans="60:63" ht="14.25" x14ac:dyDescent="0.2">
      <c r="BH5104" s="25"/>
      <c r="BI5104" s="25"/>
      <c r="BJ5104" s="25"/>
      <c r="BK5104" s="25"/>
    </row>
    <row r="5105" spans="60:63" ht="14.25" x14ac:dyDescent="0.2">
      <c r="BH5105" s="25"/>
      <c r="BI5105" s="25"/>
      <c r="BJ5105" s="25"/>
      <c r="BK5105" s="25"/>
    </row>
    <row r="5106" spans="60:63" ht="14.25" x14ac:dyDescent="0.2">
      <c r="BH5106" s="25"/>
      <c r="BI5106" s="25"/>
      <c r="BJ5106" s="25"/>
      <c r="BK5106" s="25"/>
    </row>
    <row r="5107" spans="60:63" ht="14.25" x14ac:dyDescent="0.2">
      <c r="BH5107" s="25"/>
      <c r="BI5107" s="25"/>
      <c r="BJ5107" s="25"/>
      <c r="BK5107" s="25"/>
    </row>
    <row r="5108" spans="60:63" ht="14.25" x14ac:dyDescent="0.2">
      <c r="BH5108" s="25"/>
      <c r="BI5108" s="25"/>
      <c r="BJ5108" s="25"/>
      <c r="BK5108" s="25"/>
    </row>
    <row r="5109" spans="60:63" ht="14.25" x14ac:dyDescent="0.2">
      <c r="BH5109" s="25"/>
      <c r="BI5109" s="25"/>
      <c r="BJ5109" s="25"/>
      <c r="BK5109" s="25"/>
    </row>
    <row r="5110" spans="60:63" ht="14.25" x14ac:dyDescent="0.2">
      <c r="BH5110" s="25"/>
      <c r="BI5110" s="25"/>
      <c r="BJ5110" s="25"/>
      <c r="BK5110" s="25"/>
    </row>
    <row r="5111" spans="60:63" ht="14.25" x14ac:dyDescent="0.2">
      <c r="BH5111" s="25"/>
      <c r="BI5111" s="25"/>
      <c r="BJ5111" s="25"/>
      <c r="BK5111" s="25"/>
    </row>
    <row r="5112" spans="60:63" ht="14.25" x14ac:dyDescent="0.2">
      <c r="BH5112" s="25"/>
      <c r="BI5112" s="25"/>
      <c r="BJ5112" s="25"/>
      <c r="BK5112" s="25"/>
    </row>
    <row r="5113" spans="60:63" ht="14.25" x14ac:dyDescent="0.2">
      <c r="BH5113" s="25"/>
      <c r="BI5113" s="25"/>
      <c r="BJ5113" s="25"/>
      <c r="BK5113" s="25"/>
    </row>
    <row r="5114" spans="60:63" ht="14.25" x14ac:dyDescent="0.2">
      <c r="BH5114" s="25"/>
      <c r="BI5114" s="25"/>
      <c r="BJ5114" s="25"/>
      <c r="BK5114" s="25"/>
    </row>
    <row r="5115" spans="60:63" ht="14.25" x14ac:dyDescent="0.2">
      <c r="BH5115" s="25"/>
      <c r="BI5115" s="25"/>
      <c r="BJ5115" s="25"/>
      <c r="BK5115" s="25"/>
    </row>
    <row r="5116" spans="60:63" ht="14.25" x14ac:dyDescent="0.2">
      <c r="BH5116" s="25"/>
      <c r="BI5116" s="25"/>
      <c r="BJ5116" s="25"/>
      <c r="BK5116" s="25"/>
    </row>
    <row r="5117" spans="60:63" ht="14.25" x14ac:dyDescent="0.2">
      <c r="BH5117" s="25"/>
      <c r="BI5117" s="25"/>
      <c r="BJ5117" s="25"/>
      <c r="BK5117" s="25"/>
    </row>
    <row r="5118" spans="60:63" ht="14.25" x14ac:dyDescent="0.2">
      <c r="BH5118" s="25"/>
      <c r="BI5118" s="25"/>
      <c r="BJ5118" s="25"/>
      <c r="BK5118" s="25"/>
    </row>
    <row r="5119" spans="60:63" ht="14.25" x14ac:dyDescent="0.2">
      <c r="BH5119" s="25"/>
      <c r="BI5119" s="25"/>
      <c r="BJ5119" s="25"/>
      <c r="BK5119" s="25"/>
    </row>
    <row r="5120" spans="60:63" ht="14.25" x14ac:dyDescent="0.2">
      <c r="BH5120" s="25"/>
      <c r="BI5120" s="25"/>
      <c r="BJ5120" s="25"/>
      <c r="BK5120" s="25"/>
    </row>
    <row r="5121" spans="60:63" ht="14.25" x14ac:dyDescent="0.2">
      <c r="BH5121" s="25"/>
      <c r="BI5121" s="25"/>
      <c r="BJ5121" s="25"/>
      <c r="BK5121" s="25"/>
    </row>
    <row r="5122" spans="60:63" ht="14.25" x14ac:dyDescent="0.2">
      <c r="BH5122" s="25"/>
      <c r="BI5122" s="25"/>
      <c r="BJ5122" s="25"/>
      <c r="BK5122" s="25"/>
    </row>
    <row r="5123" spans="60:63" ht="14.25" x14ac:dyDescent="0.2">
      <c r="BH5123" s="25"/>
      <c r="BI5123" s="25"/>
      <c r="BJ5123" s="25"/>
      <c r="BK5123" s="25"/>
    </row>
    <row r="5124" spans="60:63" ht="14.25" x14ac:dyDescent="0.2">
      <c r="BH5124" s="25"/>
      <c r="BI5124" s="25"/>
      <c r="BJ5124" s="25"/>
      <c r="BK5124" s="25"/>
    </row>
    <row r="5125" spans="60:63" ht="14.25" x14ac:dyDescent="0.2">
      <c r="BH5125" s="25"/>
      <c r="BI5125" s="25"/>
      <c r="BJ5125" s="25"/>
      <c r="BK5125" s="25"/>
    </row>
    <row r="5126" spans="60:63" ht="14.25" x14ac:dyDescent="0.2">
      <c r="BH5126" s="25"/>
      <c r="BI5126" s="25"/>
      <c r="BJ5126" s="25"/>
      <c r="BK5126" s="25"/>
    </row>
    <row r="5127" spans="60:63" ht="14.25" x14ac:dyDescent="0.2">
      <c r="BH5127" s="25"/>
      <c r="BI5127" s="25"/>
      <c r="BJ5127" s="25"/>
      <c r="BK5127" s="25"/>
    </row>
    <row r="5128" spans="60:63" ht="14.25" x14ac:dyDescent="0.2">
      <c r="BH5128" s="25"/>
      <c r="BI5128" s="25"/>
      <c r="BJ5128" s="25"/>
      <c r="BK5128" s="25"/>
    </row>
    <row r="5129" spans="60:63" ht="14.25" x14ac:dyDescent="0.2">
      <c r="BH5129" s="25"/>
      <c r="BI5129" s="25"/>
      <c r="BJ5129" s="25"/>
      <c r="BK5129" s="25"/>
    </row>
    <row r="5130" spans="60:63" ht="14.25" x14ac:dyDescent="0.2">
      <c r="BH5130" s="25"/>
      <c r="BI5130" s="25"/>
      <c r="BJ5130" s="25"/>
      <c r="BK5130" s="25"/>
    </row>
    <row r="5131" spans="60:63" ht="14.25" x14ac:dyDescent="0.2">
      <c r="BH5131" s="25"/>
      <c r="BI5131" s="25"/>
      <c r="BJ5131" s="25"/>
      <c r="BK5131" s="25"/>
    </row>
    <row r="5132" spans="60:63" ht="14.25" x14ac:dyDescent="0.2">
      <c r="BH5132" s="25"/>
      <c r="BI5132" s="25"/>
      <c r="BJ5132" s="25"/>
      <c r="BK5132" s="25"/>
    </row>
    <row r="5133" spans="60:63" ht="14.25" x14ac:dyDescent="0.2">
      <c r="BH5133" s="25"/>
      <c r="BI5133" s="25"/>
      <c r="BJ5133" s="25"/>
      <c r="BK5133" s="25"/>
    </row>
    <row r="5134" spans="60:63" ht="14.25" x14ac:dyDescent="0.2">
      <c r="BH5134" s="25"/>
      <c r="BI5134" s="25"/>
      <c r="BJ5134" s="25"/>
      <c r="BK5134" s="25"/>
    </row>
    <row r="5135" spans="60:63" ht="14.25" x14ac:dyDescent="0.2">
      <c r="BH5135" s="25"/>
      <c r="BI5135" s="25"/>
      <c r="BJ5135" s="25"/>
      <c r="BK5135" s="25"/>
    </row>
    <row r="5136" spans="60:63" ht="14.25" x14ac:dyDescent="0.2">
      <c r="BH5136" s="25"/>
      <c r="BI5136" s="25"/>
      <c r="BJ5136" s="25"/>
      <c r="BK5136" s="25"/>
    </row>
    <row r="5137" spans="60:63" ht="14.25" x14ac:dyDescent="0.2">
      <c r="BH5137" s="25"/>
      <c r="BI5137" s="25"/>
      <c r="BJ5137" s="25"/>
      <c r="BK5137" s="25"/>
    </row>
    <row r="5138" spans="60:63" ht="14.25" x14ac:dyDescent="0.2">
      <c r="BH5138" s="25"/>
      <c r="BI5138" s="25"/>
      <c r="BJ5138" s="25"/>
      <c r="BK5138" s="25"/>
    </row>
    <row r="5139" spans="60:63" ht="14.25" x14ac:dyDescent="0.2">
      <c r="BH5139" s="25"/>
      <c r="BI5139" s="25"/>
      <c r="BJ5139" s="25"/>
      <c r="BK5139" s="25"/>
    </row>
    <row r="5140" spans="60:63" ht="14.25" x14ac:dyDescent="0.2">
      <c r="BH5140" s="25"/>
      <c r="BI5140" s="25"/>
      <c r="BJ5140" s="25"/>
      <c r="BK5140" s="25"/>
    </row>
    <row r="5141" spans="60:63" ht="14.25" x14ac:dyDescent="0.2">
      <c r="BH5141" s="25"/>
      <c r="BI5141" s="25"/>
      <c r="BJ5141" s="25"/>
      <c r="BK5141" s="25"/>
    </row>
    <row r="5142" spans="60:63" ht="14.25" x14ac:dyDescent="0.2">
      <c r="BH5142" s="25"/>
      <c r="BI5142" s="25"/>
      <c r="BJ5142" s="25"/>
      <c r="BK5142" s="25"/>
    </row>
    <row r="5143" spans="60:63" ht="14.25" x14ac:dyDescent="0.2">
      <c r="BH5143" s="25"/>
      <c r="BI5143" s="25"/>
      <c r="BJ5143" s="25"/>
      <c r="BK5143" s="25"/>
    </row>
    <row r="5144" spans="60:63" ht="14.25" x14ac:dyDescent="0.2">
      <c r="BH5144" s="25"/>
      <c r="BI5144" s="25"/>
      <c r="BJ5144" s="25"/>
      <c r="BK5144" s="25"/>
    </row>
    <row r="5145" spans="60:63" ht="14.25" x14ac:dyDescent="0.2">
      <c r="BH5145" s="25"/>
      <c r="BI5145" s="25"/>
      <c r="BJ5145" s="25"/>
      <c r="BK5145" s="25"/>
    </row>
    <row r="5146" spans="60:63" ht="14.25" x14ac:dyDescent="0.2">
      <c r="BH5146" s="25"/>
      <c r="BI5146" s="25"/>
      <c r="BJ5146" s="25"/>
      <c r="BK5146" s="25"/>
    </row>
    <row r="5147" spans="60:63" ht="14.25" x14ac:dyDescent="0.2">
      <c r="BH5147" s="25"/>
      <c r="BI5147" s="25"/>
      <c r="BJ5147" s="25"/>
      <c r="BK5147" s="25"/>
    </row>
    <row r="5148" spans="60:63" ht="14.25" x14ac:dyDescent="0.2">
      <c r="BH5148" s="25"/>
      <c r="BI5148" s="25"/>
      <c r="BJ5148" s="25"/>
      <c r="BK5148" s="25"/>
    </row>
    <row r="5149" spans="60:63" ht="14.25" x14ac:dyDescent="0.2">
      <c r="BH5149" s="25"/>
      <c r="BI5149" s="25"/>
      <c r="BJ5149" s="25"/>
      <c r="BK5149" s="25"/>
    </row>
    <row r="5150" spans="60:63" ht="14.25" x14ac:dyDescent="0.2">
      <c r="BH5150" s="25"/>
      <c r="BI5150" s="25"/>
      <c r="BJ5150" s="25"/>
      <c r="BK5150" s="25"/>
    </row>
    <row r="5151" spans="60:63" ht="14.25" x14ac:dyDescent="0.2">
      <c r="BH5151" s="25"/>
      <c r="BI5151" s="25"/>
      <c r="BJ5151" s="25"/>
      <c r="BK5151" s="25"/>
    </row>
    <row r="5152" spans="60:63" ht="14.25" x14ac:dyDescent="0.2">
      <c r="BH5152" s="25"/>
      <c r="BI5152" s="25"/>
      <c r="BJ5152" s="25"/>
      <c r="BK5152" s="25"/>
    </row>
    <row r="5153" spans="60:63" ht="14.25" x14ac:dyDescent="0.2">
      <c r="BH5153" s="25"/>
      <c r="BI5153" s="25"/>
      <c r="BJ5153" s="25"/>
      <c r="BK5153" s="25"/>
    </row>
    <row r="5154" spans="60:63" ht="14.25" x14ac:dyDescent="0.2">
      <c r="BH5154" s="25"/>
      <c r="BI5154" s="25"/>
      <c r="BJ5154" s="25"/>
      <c r="BK5154" s="25"/>
    </row>
    <row r="5155" spans="60:63" ht="14.25" x14ac:dyDescent="0.2">
      <c r="BH5155" s="25"/>
      <c r="BI5155" s="25"/>
      <c r="BJ5155" s="25"/>
      <c r="BK5155" s="25"/>
    </row>
    <row r="5156" spans="60:63" ht="14.25" x14ac:dyDescent="0.2">
      <c r="BH5156" s="25"/>
      <c r="BI5156" s="25"/>
      <c r="BJ5156" s="25"/>
      <c r="BK5156" s="25"/>
    </row>
    <row r="5157" spans="60:63" ht="14.25" x14ac:dyDescent="0.2">
      <c r="BH5157" s="25"/>
      <c r="BI5157" s="25"/>
      <c r="BJ5157" s="25"/>
      <c r="BK5157" s="25"/>
    </row>
    <row r="5158" spans="60:63" ht="14.25" x14ac:dyDescent="0.2">
      <c r="BH5158" s="25"/>
      <c r="BI5158" s="25"/>
      <c r="BJ5158" s="25"/>
      <c r="BK5158" s="25"/>
    </row>
    <row r="5159" spans="60:63" ht="14.25" x14ac:dyDescent="0.2">
      <c r="BH5159" s="25"/>
      <c r="BI5159" s="25"/>
      <c r="BJ5159" s="25"/>
      <c r="BK5159" s="25"/>
    </row>
    <row r="5160" spans="60:63" ht="14.25" x14ac:dyDescent="0.2">
      <c r="BH5160" s="25"/>
      <c r="BI5160" s="25"/>
      <c r="BJ5160" s="25"/>
      <c r="BK5160" s="25"/>
    </row>
    <row r="5161" spans="60:63" ht="14.25" x14ac:dyDescent="0.2">
      <c r="BH5161" s="25"/>
      <c r="BI5161" s="25"/>
      <c r="BJ5161" s="25"/>
      <c r="BK5161" s="25"/>
    </row>
    <row r="5162" spans="60:63" ht="14.25" x14ac:dyDescent="0.2">
      <c r="BH5162" s="25"/>
      <c r="BI5162" s="25"/>
      <c r="BJ5162" s="25"/>
      <c r="BK5162" s="25"/>
    </row>
    <row r="5163" spans="60:63" ht="14.25" x14ac:dyDescent="0.2">
      <c r="BH5163" s="25"/>
      <c r="BI5163" s="25"/>
      <c r="BJ5163" s="25"/>
      <c r="BK5163" s="25"/>
    </row>
    <row r="5164" spans="60:63" ht="14.25" x14ac:dyDescent="0.2">
      <c r="BH5164" s="25"/>
      <c r="BI5164" s="25"/>
      <c r="BJ5164" s="25"/>
      <c r="BK5164" s="25"/>
    </row>
    <row r="5165" spans="60:63" ht="14.25" x14ac:dyDescent="0.2">
      <c r="BH5165" s="25"/>
      <c r="BI5165" s="25"/>
      <c r="BJ5165" s="25"/>
      <c r="BK5165" s="25"/>
    </row>
    <row r="5166" spans="60:63" ht="14.25" x14ac:dyDescent="0.2">
      <c r="BH5166" s="25"/>
      <c r="BI5166" s="25"/>
      <c r="BJ5166" s="25"/>
      <c r="BK5166" s="25"/>
    </row>
    <row r="5167" spans="60:63" ht="14.25" x14ac:dyDescent="0.2">
      <c r="BH5167" s="25"/>
      <c r="BI5167" s="25"/>
      <c r="BJ5167" s="25"/>
      <c r="BK5167" s="25"/>
    </row>
    <row r="5168" spans="60:63" ht="14.25" x14ac:dyDescent="0.2">
      <c r="BH5168" s="25"/>
      <c r="BI5168" s="25"/>
      <c r="BJ5168" s="25"/>
      <c r="BK5168" s="25"/>
    </row>
    <row r="5169" spans="60:63" ht="14.25" x14ac:dyDescent="0.2">
      <c r="BH5169" s="25"/>
      <c r="BI5169" s="25"/>
      <c r="BJ5169" s="25"/>
      <c r="BK5169" s="25"/>
    </row>
    <row r="5170" spans="60:63" ht="14.25" x14ac:dyDescent="0.2">
      <c r="BH5170" s="25"/>
      <c r="BI5170" s="25"/>
      <c r="BJ5170" s="25"/>
      <c r="BK5170" s="25"/>
    </row>
    <row r="5171" spans="60:63" ht="14.25" x14ac:dyDescent="0.2">
      <c r="BH5171" s="25"/>
      <c r="BI5171" s="25"/>
      <c r="BJ5171" s="25"/>
      <c r="BK5171" s="25"/>
    </row>
    <row r="5172" spans="60:63" ht="14.25" x14ac:dyDescent="0.2">
      <c r="BH5172" s="25"/>
      <c r="BI5172" s="25"/>
      <c r="BJ5172" s="25"/>
      <c r="BK5172" s="25"/>
    </row>
    <row r="5173" spans="60:63" ht="14.25" x14ac:dyDescent="0.2">
      <c r="BH5173" s="25"/>
      <c r="BI5173" s="25"/>
      <c r="BJ5173" s="25"/>
      <c r="BK5173" s="25"/>
    </row>
    <row r="5174" spans="60:63" ht="14.25" x14ac:dyDescent="0.2">
      <c r="BH5174" s="25"/>
      <c r="BI5174" s="25"/>
      <c r="BJ5174" s="25"/>
      <c r="BK5174" s="25"/>
    </row>
    <row r="5175" spans="60:63" ht="14.25" x14ac:dyDescent="0.2">
      <c r="BH5175" s="25"/>
      <c r="BI5175" s="25"/>
      <c r="BJ5175" s="25"/>
      <c r="BK5175" s="25"/>
    </row>
    <row r="5176" spans="60:63" ht="14.25" x14ac:dyDescent="0.2">
      <c r="BH5176" s="25"/>
      <c r="BI5176" s="25"/>
      <c r="BJ5176" s="25"/>
      <c r="BK5176" s="25"/>
    </row>
    <row r="5177" spans="60:63" ht="14.25" x14ac:dyDescent="0.2">
      <c r="BH5177" s="25"/>
      <c r="BI5177" s="25"/>
      <c r="BJ5177" s="25"/>
      <c r="BK5177" s="25"/>
    </row>
    <row r="5178" spans="60:63" ht="14.25" x14ac:dyDescent="0.2">
      <c r="BH5178" s="25"/>
      <c r="BI5178" s="25"/>
      <c r="BJ5178" s="25"/>
      <c r="BK5178" s="25"/>
    </row>
    <row r="5179" spans="60:63" ht="14.25" x14ac:dyDescent="0.2">
      <c r="BH5179" s="25"/>
      <c r="BI5179" s="25"/>
      <c r="BJ5179" s="25"/>
      <c r="BK5179" s="25"/>
    </row>
    <row r="5180" spans="60:63" ht="14.25" x14ac:dyDescent="0.2">
      <c r="BH5180" s="25"/>
      <c r="BI5180" s="25"/>
      <c r="BJ5180" s="25"/>
      <c r="BK5180" s="25"/>
    </row>
    <row r="5181" spans="60:63" ht="14.25" x14ac:dyDescent="0.2">
      <c r="BH5181" s="25"/>
      <c r="BI5181" s="25"/>
      <c r="BJ5181" s="25"/>
      <c r="BK5181" s="25"/>
    </row>
    <row r="5182" spans="60:63" ht="14.25" x14ac:dyDescent="0.2">
      <c r="BH5182" s="25"/>
      <c r="BI5182" s="25"/>
      <c r="BJ5182" s="25"/>
      <c r="BK5182" s="25"/>
    </row>
    <row r="5183" spans="60:63" ht="14.25" x14ac:dyDescent="0.2">
      <c r="BH5183" s="25"/>
      <c r="BI5183" s="25"/>
      <c r="BJ5183" s="25"/>
      <c r="BK5183" s="25"/>
    </row>
    <row r="5184" spans="60:63" ht="14.25" x14ac:dyDescent="0.2">
      <c r="BH5184" s="25"/>
      <c r="BI5184" s="25"/>
      <c r="BJ5184" s="25"/>
      <c r="BK5184" s="25"/>
    </row>
    <row r="5185" spans="60:63" ht="14.25" x14ac:dyDescent="0.2">
      <c r="BH5185" s="25"/>
      <c r="BI5185" s="25"/>
      <c r="BJ5185" s="25"/>
      <c r="BK5185" s="25"/>
    </row>
    <row r="5186" spans="60:63" ht="14.25" x14ac:dyDescent="0.2">
      <c r="BH5186" s="25"/>
      <c r="BI5186" s="25"/>
      <c r="BJ5186" s="25"/>
      <c r="BK5186" s="25"/>
    </row>
    <row r="5187" spans="60:63" ht="14.25" x14ac:dyDescent="0.2">
      <c r="BH5187" s="25"/>
      <c r="BI5187" s="25"/>
      <c r="BJ5187" s="25"/>
      <c r="BK5187" s="25"/>
    </row>
    <row r="5188" spans="60:63" ht="14.25" x14ac:dyDescent="0.2">
      <c r="BH5188" s="25"/>
      <c r="BI5188" s="25"/>
      <c r="BJ5188" s="25"/>
      <c r="BK5188" s="25"/>
    </row>
    <row r="5189" spans="60:63" ht="14.25" x14ac:dyDescent="0.2">
      <c r="BH5189" s="25"/>
      <c r="BI5189" s="25"/>
      <c r="BJ5189" s="25"/>
      <c r="BK5189" s="25"/>
    </row>
    <row r="5190" spans="60:63" ht="14.25" x14ac:dyDescent="0.2">
      <c r="BH5190" s="25"/>
      <c r="BI5190" s="25"/>
      <c r="BJ5190" s="25"/>
      <c r="BK5190" s="25"/>
    </row>
    <row r="5191" spans="60:63" ht="14.25" x14ac:dyDescent="0.2">
      <c r="BH5191" s="25"/>
      <c r="BI5191" s="25"/>
      <c r="BJ5191" s="25"/>
      <c r="BK5191" s="25"/>
    </row>
    <row r="5192" spans="60:63" ht="14.25" x14ac:dyDescent="0.2">
      <c r="BH5192" s="25"/>
      <c r="BI5192" s="25"/>
      <c r="BJ5192" s="25"/>
      <c r="BK5192" s="25"/>
    </row>
    <row r="5193" spans="60:63" ht="14.25" x14ac:dyDescent="0.2">
      <c r="BH5193" s="25"/>
      <c r="BI5193" s="25"/>
      <c r="BJ5193" s="25"/>
      <c r="BK5193" s="25"/>
    </row>
    <row r="5194" spans="60:63" ht="14.25" x14ac:dyDescent="0.2">
      <c r="BH5194" s="25"/>
      <c r="BI5194" s="25"/>
      <c r="BJ5194" s="25"/>
      <c r="BK5194" s="25"/>
    </row>
    <row r="5195" spans="60:63" ht="14.25" x14ac:dyDescent="0.2">
      <c r="BH5195" s="25"/>
      <c r="BI5195" s="25"/>
      <c r="BJ5195" s="25"/>
      <c r="BK5195" s="25"/>
    </row>
    <row r="5196" spans="60:63" ht="14.25" x14ac:dyDescent="0.2">
      <c r="BH5196" s="25"/>
      <c r="BI5196" s="25"/>
      <c r="BJ5196" s="25"/>
      <c r="BK5196" s="25"/>
    </row>
    <row r="5197" spans="60:63" ht="14.25" x14ac:dyDescent="0.2">
      <c r="BH5197" s="25"/>
      <c r="BI5197" s="25"/>
      <c r="BJ5197" s="25"/>
      <c r="BK5197" s="25"/>
    </row>
    <row r="5198" spans="60:63" ht="14.25" x14ac:dyDescent="0.2">
      <c r="BH5198" s="25"/>
      <c r="BI5198" s="25"/>
      <c r="BJ5198" s="25"/>
      <c r="BK5198" s="25"/>
    </row>
    <row r="5199" spans="60:63" ht="14.25" x14ac:dyDescent="0.2">
      <c r="BH5199" s="25"/>
      <c r="BI5199" s="25"/>
      <c r="BJ5199" s="25"/>
      <c r="BK5199" s="25"/>
    </row>
    <row r="5200" spans="60:63" ht="14.25" x14ac:dyDescent="0.2">
      <c r="BH5200" s="25"/>
      <c r="BI5200" s="25"/>
      <c r="BJ5200" s="25"/>
      <c r="BK5200" s="25"/>
    </row>
    <row r="5201" spans="60:63" ht="14.25" x14ac:dyDescent="0.2">
      <c r="BH5201" s="25"/>
      <c r="BI5201" s="25"/>
      <c r="BJ5201" s="25"/>
      <c r="BK5201" s="25"/>
    </row>
    <row r="5202" spans="60:63" ht="14.25" x14ac:dyDescent="0.2">
      <c r="BH5202" s="25"/>
      <c r="BI5202" s="25"/>
      <c r="BJ5202" s="25"/>
      <c r="BK5202" s="25"/>
    </row>
    <row r="5203" spans="60:63" ht="14.25" x14ac:dyDescent="0.2">
      <c r="BH5203" s="25"/>
      <c r="BI5203" s="25"/>
      <c r="BJ5203" s="25"/>
      <c r="BK5203" s="25"/>
    </row>
    <row r="5204" spans="60:63" ht="14.25" x14ac:dyDescent="0.2">
      <c r="BH5204" s="25"/>
      <c r="BI5204" s="25"/>
      <c r="BJ5204" s="25"/>
      <c r="BK5204" s="25"/>
    </row>
    <row r="5205" spans="60:63" ht="14.25" x14ac:dyDescent="0.2">
      <c r="BH5205" s="25"/>
      <c r="BI5205" s="25"/>
      <c r="BJ5205" s="25"/>
      <c r="BK5205" s="25"/>
    </row>
    <row r="5206" spans="60:63" ht="14.25" x14ac:dyDescent="0.2">
      <c r="BH5206" s="25"/>
      <c r="BI5206" s="25"/>
      <c r="BJ5206" s="25"/>
      <c r="BK5206" s="25"/>
    </row>
    <row r="5207" spans="60:63" ht="14.25" x14ac:dyDescent="0.2">
      <c r="BH5207" s="25"/>
      <c r="BI5207" s="25"/>
      <c r="BJ5207" s="25"/>
      <c r="BK5207" s="25"/>
    </row>
    <row r="5208" spans="60:63" ht="14.25" x14ac:dyDescent="0.2">
      <c r="BH5208" s="25"/>
      <c r="BI5208" s="25"/>
      <c r="BJ5208" s="25"/>
      <c r="BK5208" s="25"/>
    </row>
    <row r="5209" spans="60:63" ht="14.25" x14ac:dyDescent="0.2">
      <c r="BH5209" s="25"/>
      <c r="BI5209" s="25"/>
      <c r="BJ5209" s="25"/>
      <c r="BK5209" s="25"/>
    </row>
    <row r="5210" spans="60:63" ht="14.25" x14ac:dyDescent="0.2">
      <c r="BH5210" s="25"/>
      <c r="BI5210" s="25"/>
      <c r="BJ5210" s="25"/>
      <c r="BK5210" s="25"/>
    </row>
    <row r="5211" spans="60:63" ht="14.25" x14ac:dyDescent="0.2">
      <c r="BH5211" s="25"/>
      <c r="BI5211" s="25"/>
      <c r="BJ5211" s="25"/>
      <c r="BK5211" s="25"/>
    </row>
    <row r="5212" spans="60:63" ht="14.25" x14ac:dyDescent="0.2">
      <c r="BH5212" s="25"/>
      <c r="BI5212" s="25"/>
      <c r="BJ5212" s="25"/>
      <c r="BK5212" s="25"/>
    </row>
    <row r="5213" spans="60:63" ht="14.25" x14ac:dyDescent="0.2">
      <c r="BH5213" s="25"/>
      <c r="BI5213" s="25"/>
      <c r="BJ5213" s="25"/>
      <c r="BK5213" s="25"/>
    </row>
    <row r="5214" spans="60:63" ht="14.25" x14ac:dyDescent="0.2">
      <c r="BH5214" s="25"/>
      <c r="BI5214" s="25"/>
      <c r="BJ5214" s="25"/>
      <c r="BK5214" s="25"/>
    </row>
    <row r="5215" spans="60:63" ht="14.25" x14ac:dyDescent="0.2">
      <c r="BH5215" s="25"/>
      <c r="BI5215" s="25"/>
      <c r="BJ5215" s="25"/>
      <c r="BK5215" s="25"/>
    </row>
    <row r="5216" spans="60:63" ht="14.25" x14ac:dyDescent="0.2">
      <c r="BH5216" s="25"/>
      <c r="BI5216" s="25"/>
      <c r="BJ5216" s="25"/>
      <c r="BK5216" s="25"/>
    </row>
    <row r="5217" spans="60:63" ht="14.25" x14ac:dyDescent="0.2">
      <c r="BH5217" s="25"/>
      <c r="BI5217" s="25"/>
      <c r="BJ5217" s="25"/>
      <c r="BK5217" s="25"/>
    </row>
    <row r="5218" spans="60:63" ht="14.25" x14ac:dyDescent="0.2">
      <c r="BH5218" s="25"/>
      <c r="BI5218" s="25"/>
      <c r="BJ5218" s="25"/>
      <c r="BK5218" s="25"/>
    </row>
    <row r="5219" spans="60:63" ht="14.25" x14ac:dyDescent="0.2">
      <c r="BH5219" s="25"/>
      <c r="BI5219" s="25"/>
      <c r="BJ5219" s="25"/>
      <c r="BK5219" s="25"/>
    </row>
    <row r="5220" spans="60:63" ht="14.25" x14ac:dyDescent="0.2">
      <c r="BH5220" s="25"/>
      <c r="BI5220" s="25"/>
      <c r="BJ5220" s="25"/>
      <c r="BK5220" s="25"/>
    </row>
    <row r="5221" spans="60:63" ht="14.25" x14ac:dyDescent="0.2">
      <c r="BH5221" s="25"/>
      <c r="BI5221" s="25"/>
      <c r="BJ5221" s="25"/>
      <c r="BK5221" s="25"/>
    </row>
    <row r="5222" spans="60:63" ht="14.25" x14ac:dyDescent="0.2">
      <c r="BH5222" s="25"/>
      <c r="BI5222" s="25"/>
      <c r="BJ5222" s="25"/>
      <c r="BK5222" s="25"/>
    </row>
    <row r="5223" spans="60:63" ht="14.25" x14ac:dyDescent="0.2">
      <c r="BH5223" s="25"/>
      <c r="BI5223" s="25"/>
      <c r="BJ5223" s="25"/>
      <c r="BK5223" s="25"/>
    </row>
    <row r="5224" spans="60:63" ht="14.25" x14ac:dyDescent="0.2">
      <c r="BH5224" s="25"/>
      <c r="BI5224" s="25"/>
      <c r="BJ5224" s="25"/>
      <c r="BK5224" s="25"/>
    </row>
    <row r="5225" spans="60:63" ht="14.25" x14ac:dyDescent="0.2">
      <c r="BH5225" s="25"/>
      <c r="BI5225" s="25"/>
      <c r="BJ5225" s="25"/>
      <c r="BK5225" s="25"/>
    </row>
    <row r="5226" spans="60:63" ht="14.25" x14ac:dyDescent="0.2">
      <c r="BH5226" s="25"/>
      <c r="BI5226" s="25"/>
      <c r="BJ5226" s="25"/>
      <c r="BK5226" s="25"/>
    </row>
    <row r="5227" spans="60:63" ht="14.25" x14ac:dyDescent="0.2">
      <c r="BH5227" s="25"/>
      <c r="BI5227" s="25"/>
      <c r="BJ5227" s="25"/>
      <c r="BK5227" s="25"/>
    </row>
    <row r="5228" spans="60:63" ht="14.25" x14ac:dyDescent="0.2">
      <c r="BH5228" s="25"/>
      <c r="BI5228" s="25"/>
      <c r="BJ5228" s="25"/>
      <c r="BK5228" s="25"/>
    </row>
    <row r="5229" spans="60:63" ht="14.25" x14ac:dyDescent="0.2">
      <c r="BH5229" s="25"/>
      <c r="BI5229" s="25"/>
      <c r="BJ5229" s="25"/>
      <c r="BK5229" s="25"/>
    </row>
    <row r="5230" spans="60:63" ht="14.25" x14ac:dyDescent="0.2">
      <c r="BH5230" s="25"/>
      <c r="BI5230" s="25"/>
      <c r="BJ5230" s="25"/>
      <c r="BK5230" s="25"/>
    </row>
    <row r="5231" spans="60:63" ht="14.25" x14ac:dyDescent="0.2">
      <c r="BH5231" s="25"/>
      <c r="BI5231" s="25"/>
      <c r="BJ5231" s="25"/>
      <c r="BK5231" s="25"/>
    </row>
    <row r="5232" spans="60:63" ht="14.25" x14ac:dyDescent="0.2">
      <c r="BH5232" s="25"/>
      <c r="BI5232" s="25"/>
      <c r="BJ5232" s="25"/>
      <c r="BK5232" s="25"/>
    </row>
    <row r="5233" spans="60:63" ht="14.25" x14ac:dyDescent="0.2">
      <c r="BH5233" s="25"/>
      <c r="BI5233" s="25"/>
      <c r="BJ5233" s="25"/>
      <c r="BK5233" s="25"/>
    </row>
    <row r="5234" spans="60:63" ht="14.25" x14ac:dyDescent="0.2">
      <c r="BH5234" s="25"/>
      <c r="BI5234" s="25"/>
      <c r="BJ5234" s="25"/>
      <c r="BK5234" s="25"/>
    </row>
    <row r="5235" spans="60:63" ht="14.25" x14ac:dyDescent="0.2">
      <c r="BH5235" s="25"/>
      <c r="BI5235" s="25"/>
      <c r="BJ5235" s="25"/>
      <c r="BK5235" s="25"/>
    </row>
    <row r="5236" spans="60:63" ht="14.25" x14ac:dyDescent="0.2">
      <c r="BH5236" s="25"/>
      <c r="BI5236" s="25"/>
      <c r="BJ5236" s="25"/>
      <c r="BK5236" s="25"/>
    </row>
    <row r="5237" spans="60:63" ht="14.25" x14ac:dyDescent="0.2">
      <c r="BH5237" s="25"/>
      <c r="BI5237" s="25"/>
      <c r="BJ5237" s="25"/>
      <c r="BK5237" s="25"/>
    </row>
    <row r="5238" spans="60:63" ht="14.25" x14ac:dyDescent="0.2">
      <c r="BH5238" s="25"/>
      <c r="BI5238" s="25"/>
      <c r="BJ5238" s="25"/>
      <c r="BK5238" s="25"/>
    </row>
    <row r="5239" spans="60:63" ht="14.25" x14ac:dyDescent="0.2">
      <c r="BH5239" s="25"/>
      <c r="BI5239" s="25"/>
      <c r="BJ5239" s="25"/>
      <c r="BK5239" s="25"/>
    </row>
    <row r="5240" spans="60:63" ht="14.25" x14ac:dyDescent="0.2">
      <c r="BH5240" s="25"/>
      <c r="BI5240" s="25"/>
      <c r="BJ5240" s="25"/>
      <c r="BK5240" s="25"/>
    </row>
    <row r="5241" spans="60:63" ht="14.25" x14ac:dyDescent="0.2">
      <c r="BH5241" s="25"/>
      <c r="BI5241" s="25"/>
      <c r="BJ5241" s="25"/>
      <c r="BK5241" s="25"/>
    </row>
    <row r="5242" spans="60:63" ht="14.25" x14ac:dyDescent="0.2">
      <c r="BH5242" s="25"/>
      <c r="BI5242" s="25"/>
      <c r="BJ5242" s="25"/>
      <c r="BK5242" s="25"/>
    </row>
    <row r="5243" spans="60:63" ht="14.25" x14ac:dyDescent="0.2">
      <c r="BH5243" s="25"/>
      <c r="BI5243" s="25"/>
      <c r="BJ5243" s="25"/>
      <c r="BK5243" s="25"/>
    </row>
    <row r="5244" spans="60:63" ht="14.25" x14ac:dyDescent="0.2">
      <c r="BH5244" s="25"/>
      <c r="BI5244" s="25"/>
      <c r="BJ5244" s="25"/>
      <c r="BK5244" s="25"/>
    </row>
    <row r="5245" spans="60:63" ht="14.25" x14ac:dyDescent="0.2">
      <c r="BH5245" s="25"/>
      <c r="BI5245" s="25"/>
      <c r="BJ5245" s="25"/>
      <c r="BK5245" s="25"/>
    </row>
    <row r="5246" spans="60:63" ht="14.25" x14ac:dyDescent="0.2">
      <c r="BH5246" s="25"/>
      <c r="BI5246" s="25"/>
      <c r="BJ5246" s="25"/>
      <c r="BK5246" s="25"/>
    </row>
    <row r="5247" spans="60:63" ht="14.25" x14ac:dyDescent="0.2">
      <c r="BH5247" s="25"/>
      <c r="BI5247" s="25"/>
      <c r="BJ5247" s="25"/>
      <c r="BK5247" s="25"/>
    </row>
    <row r="5248" spans="60:63" ht="14.25" x14ac:dyDescent="0.2">
      <c r="BH5248" s="25"/>
      <c r="BI5248" s="25"/>
      <c r="BJ5248" s="25"/>
      <c r="BK5248" s="25"/>
    </row>
    <row r="5249" spans="60:63" ht="14.25" x14ac:dyDescent="0.2">
      <c r="BH5249" s="25"/>
      <c r="BI5249" s="25"/>
      <c r="BJ5249" s="25"/>
      <c r="BK5249" s="25"/>
    </row>
    <row r="5250" spans="60:63" ht="14.25" x14ac:dyDescent="0.2">
      <c r="BH5250" s="25"/>
      <c r="BI5250" s="25"/>
      <c r="BJ5250" s="25"/>
      <c r="BK5250" s="25"/>
    </row>
    <row r="5251" spans="60:63" ht="14.25" x14ac:dyDescent="0.2">
      <c r="BH5251" s="25"/>
      <c r="BI5251" s="25"/>
      <c r="BJ5251" s="25"/>
      <c r="BK5251" s="25"/>
    </row>
    <row r="5252" spans="60:63" ht="14.25" x14ac:dyDescent="0.2">
      <c r="BH5252" s="25"/>
      <c r="BI5252" s="25"/>
      <c r="BJ5252" s="25"/>
      <c r="BK5252" s="25"/>
    </row>
    <row r="5253" spans="60:63" ht="14.25" x14ac:dyDescent="0.2">
      <c r="BH5253" s="25"/>
      <c r="BI5253" s="25"/>
      <c r="BJ5253" s="25"/>
      <c r="BK5253" s="25"/>
    </row>
    <row r="5254" spans="60:63" ht="14.25" x14ac:dyDescent="0.2">
      <c r="BH5254" s="25"/>
      <c r="BI5254" s="25"/>
      <c r="BJ5254" s="25"/>
      <c r="BK5254" s="25"/>
    </row>
    <row r="5255" spans="60:63" ht="14.25" x14ac:dyDescent="0.2">
      <c r="BH5255" s="25"/>
      <c r="BI5255" s="25"/>
      <c r="BJ5255" s="25"/>
      <c r="BK5255" s="25"/>
    </row>
    <row r="5256" spans="60:63" ht="14.25" x14ac:dyDescent="0.2">
      <c r="BH5256" s="25"/>
      <c r="BI5256" s="25"/>
      <c r="BJ5256" s="25"/>
      <c r="BK5256" s="25"/>
    </row>
    <row r="5257" spans="60:63" ht="14.25" x14ac:dyDescent="0.2">
      <c r="BH5257" s="25"/>
      <c r="BI5257" s="25"/>
      <c r="BJ5257" s="25"/>
      <c r="BK5257" s="25"/>
    </row>
    <row r="5258" spans="60:63" ht="14.25" x14ac:dyDescent="0.2">
      <c r="BH5258" s="25"/>
      <c r="BI5258" s="25"/>
      <c r="BJ5258" s="25"/>
      <c r="BK5258" s="25"/>
    </row>
    <row r="5259" spans="60:63" ht="14.25" x14ac:dyDescent="0.2">
      <c r="BH5259" s="25"/>
      <c r="BI5259" s="25"/>
      <c r="BJ5259" s="25"/>
      <c r="BK5259" s="25"/>
    </row>
    <row r="5260" spans="60:63" ht="14.25" x14ac:dyDescent="0.2">
      <c r="BH5260" s="25"/>
      <c r="BI5260" s="25"/>
      <c r="BJ5260" s="25"/>
      <c r="BK5260" s="25"/>
    </row>
    <row r="5261" spans="60:63" ht="14.25" x14ac:dyDescent="0.2">
      <c r="BH5261" s="25"/>
      <c r="BI5261" s="25"/>
      <c r="BJ5261" s="25"/>
      <c r="BK5261" s="25"/>
    </row>
    <row r="5262" spans="60:63" ht="14.25" x14ac:dyDescent="0.2">
      <c r="BH5262" s="25"/>
      <c r="BI5262" s="25"/>
      <c r="BJ5262" s="25"/>
      <c r="BK5262" s="25"/>
    </row>
    <row r="5263" spans="60:63" ht="14.25" x14ac:dyDescent="0.2">
      <c r="BH5263" s="25"/>
      <c r="BI5263" s="25"/>
      <c r="BJ5263" s="25"/>
      <c r="BK5263" s="25"/>
    </row>
    <row r="5264" spans="60:63" ht="14.25" x14ac:dyDescent="0.2">
      <c r="BH5264" s="25"/>
      <c r="BI5264" s="25"/>
      <c r="BJ5264" s="25"/>
      <c r="BK5264" s="25"/>
    </row>
    <row r="5265" spans="60:63" ht="14.25" x14ac:dyDescent="0.2">
      <c r="BH5265" s="25"/>
      <c r="BI5265" s="25"/>
      <c r="BJ5265" s="25"/>
      <c r="BK5265" s="25"/>
    </row>
    <row r="5266" spans="60:63" ht="14.25" x14ac:dyDescent="0.2">
      <c r="BH5266" s="25"/>
      <c r="BI5266" s="25"/>
      <c r="BJ5266" s="25"/>
      <c r="BK5266" s="25"/>
    </row>
    <row r="5267" spans="60:63" ht="14.25" x14ac:dyDescent="0.2">
      <c r="BH5267" s="25"/>
      <c r="BI5267" s="25"/>
      <c r="BJ5267" s="25"/>
      <c r="BK5267" s="25"/>
    </row>
    <row r="5268" spans="60:63" ht="14.25" x14ac:dyDescent="0.2">
      <c r="BH5268" s="25"/>
      <c r="BI5268" s="25"/>
      <c r="BJ5268" s="25"/>
      <c r="BK5268" s="25"/>
    </row>
    <row r="5269" spans="60:63" ht="14.25" x14ac:dyDescent="0.2">
      <c r="BH5269" s="25"/>
      <c r="BI5269" s="25"/>
      <c r="BJ5269" s="25"/>
      <c r="BK5269" s="25"/>
    </row>
    <row r="5270" spans="60:63" ht="14.25" x14ac:dyDescent="0.2">
      <c r="BH5270" s="25"/>
      <c r="BI5270" s="25"/>
      <c r="BJ5270" s="25"/>
      <c r="BK5270" s="25"/>
    </row>
    <row r="5271" spans="60:63" ht="14.25" x14ac:dyDescent="0.2">
      <c r="BH5271" s="25"/>
      <c r="BI5271" s="25"/>
      <c r="BJ5271" s="25"/>
      <c r="BK5271" s="25"/>
    </row>
    <row r="5272" spans="60:63" ht="14.25" x14ac:dyDescent="0.2">
      <c r="BH5272" s="25"/>
      <c r="BI5272" s="25"/>
      <c r="BJ5272" s="25"/>
      <c r="BK5272" s="25"/>
    </row>
    <row r="5273" spans="60:63" ht="14.25" x14ac:dyDescent="0.2">
      <c r="BH5273" s="25"/>
      <c r="BI5273" s="25"/>
      <c r="BJ5273" s="25"/>
      <c r="BK5273" s="25"/>
    </row>
    <row r="5274" spans="60:63" ht="14.25" x14ac:dyDescent="0.2">
      <c r="BH5274" s="25"/>
      <c r="BI5274" s="25"/>
      <c r="BJ5274" s="25"/>
      <c r="BK5274" s="25"/>
    </row>
    <row r="5275" spans="60:63" ht="14.25" x14ac:dyDescent="0.2">
      <c r="BH5275" s="25"/>
      <c r="BI5275" s="25"/>
      <c r="BJ5275" s="25"/>
      <c r="BK5275" s="25"/>
    </row>
    <row r="5276" spans="60:63" ht="14.25" x14ac:dyDescent="0.2">
      <c r="BH5276" s="25"/>
      <c r="BI5276" s="25"/>
      <c r="BJ5276" s="25"/>
      <c r="BK5276" s="25"/>
    </row>
    <row r="5277" spans="60:63" ht="14.25" x14ac:dyDescent="0.2">
      <c r="BH5277" s="25"/>
      <c r="BI5277" s="25"/>
      <c r="BJ5277" s="25"/>
      <c r="BK5277" s="25"/>
    </row>
    <row r="5278" spans="60:63" ht="14.25" x14ac:dyDescent="0.2">
      <c r="BH5278" s="25"/>
      <c r="BI5278" s="25"/>
      <c r="BJ5278" s="25"/>
      <c r="BK5278" s="25"/>
    </row>
    <row r="5279" spans="60:63" ht="14.25" x14ac:dyDescent="0.2">
      <c r="BH5279" s="25"/>
      <c r="BI5279" s="25"/>
      <c r="BJ5279" s="25"/>
      <c r="BK5279" s="25"/>
    </row>
    <row r="5280" spans="60:63" ht="14.25" x14ac:dyDescent="0.2">
      <c r="BH5280" s="25"/>
      <c r="BI5280" s="25"/>
      <c r="BJ5280" s="25"/>
      <c r="BK5280" s="25"/>
    </row>
    <row r="5281" spans="60:63" ht="14.25" x14ac:dyDescent="0.2">
      <c r="BH5281" s="25"/>
      <c r="BI5281" s="25"/>
      <c r="BJ5281" s="25"/>
      <c r="BK5281" s="25"/>
    </row>
    <row r="5282" spans="60:63" ht="14.25" x14ac:dyDescent="0.2">
      <c r="BH5282" s="25"/>
      <c r="BI5282" s="25"/>
      <c r="BJ5282" s="25"/>
      <c r="BK5282" s="25"/>
    </row>
    <row r="5283" spans="60:63" ht="14.25" x14ac:dyDescent="0.2">
      <c r="BH5283" s="25"/>
      <c r="BI5283" s="25"/>
      <c r="BJ5283" s="25"/>
      <c r="BK5283" s="25"/>
    </row>
    <row r="5284" spans="60:63" ht="14.25" x14ac:dyDescent="0.2">
      <c r="BH5284" s="25"/>
      <c r="BI5284" s="25"/>
      <c r="BJ5284" s="25"/>
      <c r="BK5284" s="25"/>
    </row>
    <row r="5285" spans="60:63" ht="14.25" x14ac:dyDescent="0.2">
      <c r="BH5285" s="25"/>
      <c r="BI5285" s="25"/>
      <c r="BJ5285" s="25"/>
      <c r="BK5285" s="25"/>
    </row>
    <row r="5286" spans="60:63" ht="14.25" x14ac:dyDescent="0.2">
      <c r="BH5286" s="25"/>
      <c r="BI5286" s="25"/>
      <c r="BJ5286" s="25"/>
      <c r="BK5286" s="25"/>
    </row>
    <row r="5287" spans="60:63" ht="14.25" x14ac:dyDescent="0.2">
      <c r="BH5287" s="25"/>
      <c r="BI5287" s="25"/>
      <c r="BJ5287" s="25"/>
      <c r="BK5287" s="25"/>
    </row>
    <row r="5288" spans="60:63" ht="14.25" x14ac:dyDescent="0.2">
      <c r="BH5288" s="25"/>
      <c r="BI5288" s="25"/>
      <c r="BJ5288" s="25"/>
      <c r="BK5288" s="25"/>
    </row>
    <row r="5289" spans="60:63" ht="14.25" x14ac:dyDescent="0.2">
      <c r="BH5289" s="25"/>
      <c r="BI5289" s="25"/>
      <c r="BJ5289" s="25"/>
      <c r="BK5289" s="25"/>
    </row>
    <row r="5290" spans="60:63" ht="14.25" x14ac:dyDescent="0.2">
      <c r="BH5290" s="25"/>
      <c r="BI5290" s="25"/>
      <c r="BJ5290" s="25"/>
      <c r="BK5290" s="25"/>
    </row>
    <row r="5291" spans="60:63" ht="14.25" x14ac:dyDescent="0.2">
      <c r="BH5291" s="25"/>
      <c r="BI5291" s="25"/>
      <c r="BJ5291" s="25"/>
      <c r="BK5291" s="25"/>
    </row>
    <row r="5292" spans="60:63" ht="14.25" x14ac:dyDescent="0.2">
      <c r="BH5292" s="25"/>
      <c r="BI5292" s="25"/>
      <c r="BJ5292" s="25"/>
      <c r="BK5292" s="25"/>
    </row>
    <row r="5293" spans="60:63" ht="14.25" x14ac:dyDescent="0.2">
      <c r="BH5293" s="25"/>
      <c r="BI5293" s="25"/>
      <c r="BJ5293" s="25"/>
      <c r="BK5293" s="25"/>
    </row>
    <row r="5294" spans="60:63" ht="14.25" x14ac:dyDescent="0.2">
      <c r="BH5294" s="25"/>
      <c r="BI5294" s="25"/>
      <c r="BJ5294" s="25"/>
      <c r="BK5294" s="25"/>
    </row>
    <row r="5295" spans="60:63" ht="14.25" x14ac:dyDescent="0.2">
      <c r="BH5295" s="25"/>
      <c r="BI5295" s="25"/>
      <c r="BJ5295" s="25"/>
      <c r="BK5295" s="25"/>
    </row>
    <row r="5296" spans="60:63" ht="14.25" x14ac:dyDescent="0.2">
      <c r="BH5296" s="25"/>
      <c r="BI5296" s="25"/>
      <c r="BJ5296" s="25"/>
      <c r="BK5296" s="25"/>
    </row>
    <row r="5297" spans="60:63" ht="14.25" x14ac:dyDescent="0.2">
      <c r="BH5297" s="25"/>
      <c r="BI5297" s="25"/>
      <c r="BJ5297" s="25"/>
      <c r="BK5297" s="25"/>
    </row>
    <row r="5298" spans="60:63" ht="14.25" x14ac:dyDescent="0.2">
      <c r="BH5298" s="25"/>
      <c r="BI5298" s="25"/>
      <c r="BJ5298" s="25"/>
      <c r="BK5298" s="25"/>
    </row>
    <row r="5299" spans="60:63" ht="14.25" x14ac:dyDescent="0.2">
      <c r="BH5299" s="25"/>
      <c r="BI5299" s="25"/>
      <c r="BJ5299" s="25"/>
      <c r="BK5299" s="25"/>
    </row>
    <row r="5300" spans="60:63" ht="14.25" x14ac:dyDescent="0.2">
      <c r="BH5300" s="25"/>
      <c r="BI5300" s="25"/>
      <c r="BJ5300" s="25"/>
      <c r="BK5300" s="25"/>
    </row>
    <row r="5301" spans="60:63" ht="14.25" x14ac:dyDescent="0.2">
      <c r="BH5301" s="25"/>
      <c r="BI5301" s="25"/>
      <c r="BJ5301" s="25"/>
      <c r="BK5301" s="25"/>
    </row>
    <row r="5302" spans="60:63" ht="14.25" x14ac:dyDescent="0.2">
      <c r="BH5302" s="25"/>
      <c r="BI5302" s="25"/>
      <c r="BJ5302" s="25"/>
      <c r="BK5302" s="25"/>
    </row>
    <row r="5303" spans="60:63" ht="14.25" x14ac:dyDescent="0.2">
      <c r="BH5303" s="25"/>
      <c r="BI5303" s="25"/>
      <c r="BJ5303" s="25"/>
      <c r="BK5303" s="25"/>
    </row>
    <row r="5304" spans="60:63" ht="14.25" x14ac:dyDescent="0.2">
      <c r="BH5304" s="25"/>
      <c r="BI5304" s="25"/>
      <c r="BJ5304" s="25"/>
      <c r="BK5304" s="25"/>
    </row>
    <row r="5305" spans="60:63" ht="14.25" x14ac:dyDescent="0.2">
      <c r="BH5305" s="25"/>
      <c r="BI5305" s="25"/>
      <c r="BJ5305" s="25"/>
      <c r="BK5305" s="25"/>
    </row>
    <row r="5306" spans="60:63" ht="14.25" x14ac:dyDescent="0.2">
      <c r="BH5306" s="25"/>
      <c r="BI5306" s="25"/>
      <c r="BJ5306" s="25"/>
      <c r="BK5306" s="25"/>
    </row>
    <row r="5307" spans="60:63" ht="14.25" x14ac:dyDescent="0.2">
      <c r="BH5307" s="25"/>
      <c r="BI5307" s="25"/>
      <c r="BJ5307" s="25"/>
      <c r="BK5307" s="25"/>
    </row>
    <row r="5308" spans="60:63" ht="14.25" x14ac:dyDescent="0.2">
      <c r="BH5308" s="25"/>
      <c r="BI5308" s="25"/>
      <c r="BJ5308" s="25"/>
      <c r="BK5308" s="25"/>
    </row>
    <row r="5309" spans="60:63" ht="14.25" x14ac:dyDescent="0.2">
      <c r="BH5309" s="25"/>
      <c r="BI5309" s="25"/>
      <c r="BJ5309" s="25"/>
      <c r="BK5309" s="25"/>
    </row>
    <row r="5310" spans="60:63" ht="14.25" x14ac:dyDescent="0.2">
      <c r="BH5310" s="25"/>
      <c r="BI5310" s="25"/>
      <c r="BJ5310" s="25"/>
      <c r="BK5310" s="25"/>
    </row>
    <row r="5311" spans="60:63" ht="14.25" x14ac:dyDescent="0.2">
      <c r="BH5311" s="25"/>
      <c r="BI5311" s="25"/>
      <c r="BJ5311" s="25"/>
      <c r="BK5311" s="25"/>
    </row>
    <row r="5312" spans="60:63" ht="14.25" x14ac:dyDescent="0.2">
      <c r="BH5312" s="25"/>
      <c r="BI5312" s="25"/>
      <c r="BJ5312" s="25"/>
      <c r="BK5312" s="25"/>
    </row>
    <row r="5313" spans="60:63" ht="14.25" x14ac:dyDescent="0.2">
      <c r="BH5313" s="25"/>
      <c r="BI5313" s="25"/>
      <c r="BJ5313" s="25"/>
      <c r="BK5313" s="25"/>
    </row>
    <row r="5314" spans="60:63" ht="14.25" x14ac:dyDescent="0.2">
      <c r="BH5314" s="25"/>
      <c r="BI5314" s="25"/>
      <c r="BJ5314" s="25"/>
      <c r="BK5314" s="25"/>
    </row>
    <row r="5315" spans="60:63" ht="14.25" x14ac:dyDescent="0.2">
      <c r="BH5315" s="25"/>
      <c r="BI5315" s="25"/>
      <c r="BJ5315" s="25"/>
      <c r="BK5315" s="25"/>
    </row>
    <row r="5316" spans="60:63" ht="14.25" x14ac:dyDescent="0.2">
      <c r="BH5316" s="25"/>
      <c r="BI5316" s="25"/>
      <c r="BJ5316" s="25"/>
      <c r="BK5316" s="25"/>
    </row>
    <row r="5317" spans="60:63" ht="14.25" x14ac:dyDescent="0.2">
      <c r="BH5317" s="25"/>
      <c r="BI5317" s="25"/>
      <c r="BJ5317" s="25"/>
      <c r="BK5317" s="25"/>
    </row>
    <row r="5318" spans="60:63" ht="14.25" x14ac:dyDescent="0.2">
      <c r="BH5318" s="25"/>
      <c r="BI5318" s="25"/>
      <c r="BJ5318" s="25"/>
      <c r="BK5318" s="25"/>
    </row>
    <row r="5319" spans="60:63" ht="14.25" x14ac:dyDescent="0.2">
      <c r="BH5319" s="25"/>
      <c r="BI5319" s="25"/>
      <c r="BJ5319" s="25"/>
      <c r="BK5319" s="25"/>
    </row>
    <row r="5320" spans="60:63" ht="14.25" x14ac:dyDescent="0.2">
      <c r="BH5320" s="25"/>
      <c r="BI5320" s="25"/>
      <c r="BJ5320" s="25"/>
      <c r="BK5320" s="25"/>
    </row>
    <row r="5321" spans="60:63" ht="14.25" x14ac:dyDescent="0.2">
      <c r="BH5321" s="25"/>
      <c r="BI5321" s="25"/>
      <c r="BJ5321" s="25"/>
      <c r="BK5321" s="25"/>
    </row>
    <row r="5322" spans="60:63" ht="14.25" x14ac:dyDescent="0.2">
      <c r="BH5322" s="25"/>
      <c r="BI5322" s="25"/>
      <c r="BJ5322" s="25"/>
      <c r="BK5322" s="25"/>
    </row>
    <row r="5323" spans="60:63" ht="14.25" x14ac:dyDescent="0.2">
      <c r="BH5323" s="25"/>
      <c r="BI5323" s="25"/>
      <c r="BJ5323" s="25"/>
      <c r="BK5323" s="25"/>
    </row>
    <row r="5324" spans="60:63" ht="14.25" x14ac:dyDescent="0.2">
      <c r="BH5324" s="25"/>
      <c r="BI5324" s="25"/>
      <c r="BJ5324" s="25"/>
      <c r="BK5324" s="25"/>
    </row>
    <row r="5325" spans="60:63" ht="14.25" x14ac:dyDescent="0.2">
      <c r="BH5325" s="25"/>
      <c r="BI5325" s="25"/>
      <c r="BJ5325" s="25"/>
      <c r="BK5325" s="25"/>
    </row>
    <row r="5326" spans="60:63" ht="14.25" x14ac:dyDescent="0.2">
      <c r="BH5326" s="25"/>
      <c r="BI5326" s="25"/>
      <c r="BJ5326" s="25"/>
      <c r="BK5326" s="25"/>
    </row>
    <row r="5327" spans="60:63" ht="14.25" x14ac:dyDescent="0.2">
      <c r="BH5327" s="25"/>
      <c r="BI5327" s="25"/>
      <c r="BJ5327" s="25"/>
      <c r="BK5327" s="25"/>
    </row>
    <row r="5328" spans="60:63" ht="14.25" x14ac:dyDescent="0.2">
      <c r="BH5328" s="25"/>
      <c r="BI5328" s="25"/>
      <c r="BJ5328" s="25"/>
      <c r="BK5328" s="25"/>
    </row>
    <row r="5329" spans="60:63" ht="14.25" x14ac:dyDescent="0.2">
      <c r="BH5329" s="25"/>
      <c r="BI5329" s="25"/>
      <c r="BJ5329" s="25"/>
      <c r="BK5329" s="25"/>
    </row>
    <row r="5330" spans="60:63" ht="14.25" x14ac:dyDescent="0.2">
      <c r="BH5330" s="25"/>
      <c r="BI5330" s="25"/>
      <c r="BJ5330" s="25"/>
      <c r="BK5330" s="25"/>
    </row>
    <row r="5331" spans="60:63" ht="14.25" x14ac:dyDescent="0.2">
      <c r="BH5331" s="25"/>
      <c r="BI5331" s="25"/>
      <c r="BJ5331" s="25"/>
      <c r="BK5331" s="25"/>
    </row>
    <row r="5332" spans="60:63" ht="14.25" x14ac:dyDescent="0.2">
      <c r="BH5332" s="25"/>
      <c r="BI5332" s="25"/>
      <c r="BJ5332" s="25"/>
      <c r="BK5332" s="25"/>
    </row>
    <row r="5333" spans="60:63" ht="14.25" x14ac:dyDescent="0.2">
      <c r="BH5333" s="25"/>
      <c r="BI5333" s="25"/>
      <c r="BJ5333" s="25"/>
      <c r="BK5333" s="25"/>
    </row>
    <row r="5334" spans="60:63" ht="14.25" x14ac:dyDescent="0.2">
      <c r="BH5334" s="25"/>
      <c r="BI5334" s="25"/>
      <c r="BJ5334" s="25"/>
      <c r="BK5334" s="25"/>
    </row>
    <row r="5335" spans="60:63" ht="14.25" x14ac:dyDescent="0.2">
      <c r="BH5335" s="25"/>
      <c r="BI5335" s="25"/>
      <c r="BJ5335" s="25"/>
      <c r="BK5335" s="25"/>
    </row>
    <row r="5336" spans="60:63" ht="14.25" x14ac:dyDescent="0.2">
      <c r="BH5336" s="25"/>
      <c r="BI5336" s="25"/>
      <c r="BJ5336" s="25"/>
      <c r="BK5336" s="25"/>
    </row>
    <row r="5337" spans="60:63" ht="14.25" x14ac:dyDescent="0.2">
      <c r="BH5337" s="25"/>
      <c r="BI5337" s="25"/>
      <c r="BJ5337" s="25"/>
      <c r="BK5337" s="25"/>
    </row>
    <row r="5338" spans="60:63" ht="14.25" x14ac:dyDescent="0.2">
      <c r="BH5338" s="25"/>
      <c r="BI5338" s="25"/>
      <c r="BJ5338" s="25"/>
      <c r="BK5338" s="25"/>
    </row>
    <row r="5339" spans="60:63" ht="14.25" x14ac:dyDescent="0.2">
      <c r="BH5339" s="25"/>
      <c r="BI5339" s="25"/>
      <c r="BJ5339" s="25"/>
      <c r="BK5339" s="25"/>
    </row>
    <row r="5340" spans="60:63" ht="14.25" x14ac:dyDescent="0.2">
      <c r="BH5340" s="25"/>
      <c r="BI5340" s="25"/>
      <c r="BJ5340" s="25"/>
      <c r="BK5340" s="25"/>
    </row>
    <row r="5341" spans="60:63" ht="14.25" x14ac:dyDescent="0.2">
      <c r="BH5341" s="25"/>
      <c r="BI5341" s="25"/>
      <c r="BJ5341" s="25"/>
      <c r="BK5341" s="25"/>
    </row>
    <row r="5342" spans="60:63" ht="14.25" x14ac:dyDescent="0.2">
      <c r="BH5342" s="25"/>
      <c r="BI5342" s="25"/>
      <c r="BJ5342" s="25"/>
      <c r="BK5342" s="25"/>
    </row>
    <row r="5343" spans="60:63" ht="14.25" x14ac:dyDescent="0.2">
      <c r="BH5343" s="25"/>
      <c r="BI5343" s="25"/>
      <c r="BJ5343" s="25"/>
      <c r="BK5343" s="25"/>
    </row>
    <row r="5344" spans="60:63" ht="14.25" x14ac:dyDescent="0.2">
      <c r="BH5344" s="25"/>
      <c r="BI5344" s="25"/>
      <c r="BJ5344" s="25"/>
      <c r="BK5344" s="25"/>
    </row>
    <row r="5345" spans="60:63" ht="14.25" x14ac:dyDescent="0.2">
      <c r="BH5345" s="25"/>
      <c r="BI5345" s="25"/>
      <c r="BJ5345" s="25"/>
      <c r="BK5345" s="25"/>
    </row>
    <row r="5346" spans="60:63" ht="14.25" x14ac:dyDescent="0.2">
      <c r="BH5346" s="25"/>
      <c r="BI5346" s="25"/>
      <c r="BJ5346" s="25"/>
      <c r="BK5346" s="25"/>
    </row>
    <row r="5347" spans="60:63" ht="14.25" x14ac:dyDescent="0.2">
      <c r="BH5347" s="25"/>
      <c r="BI5347" s="25"/>
      <c r="BJ5347" s="25"/>
      <c r="BK5347" s="25"/>
    </row>
    <row r="5348" spans="60:63" ht="14.25" x14ac:dyDescent="0.2">
      <c r="BH5348" s="25"/>
      <c r="BI5348" s="25"/>
      <c r="BJ5348" s="25"/>
      <c r="BK5348" s="25"/>
    </row>
    <row r="5349" spans="60:63" ht="14.25" x14ac:dyDescent="0.2">
      <c r="BH5349" s="25"/>
      <c r="BI5349" s="25"/>
      <c r="BJ5349" s="25"/>
      <c r="BK5349" s="25"/>
    </row>
    <row r="5350" spans="60:63" ht="14.25" x14ac:dyDescent="0.2">
      <c r="BH5350" s="25"/>
      <c r="BI5350" s="25"/>
      <c r="BJ5350" s="25"/>
      <c r="BK5350" s="25"/>
    </row>
    <row r="5351" spans="60:63" ht="14.25" x14ac:dyDescent="0.2">
      <c r="BH5351" s="25"/>
      <c r="BI5351" s="25"/>
      <c r="BJ5351" s="25"/>
      <c r="BK5351" s="25"/>
    </row>
    <row r="5352" spans="60:63" ht="14.25" x14ac:dyDescent="0.2">
      <c r="BH5352" s="25"/>
      <c r="BI5352" s="25"/>
      <c r="BJ5352" s="25"/>
      <c r="BK5352" s="25"/>
    </row>
    <row r="5353" spans="60:63" ht="14.25" x14ac:dyDescent="0.2">
      <c r="BH5353" s="25"/>
      <c r="BI5353" s="25"/>
      <c r="BJ5353" s="25"/>
      <c r="BK5353" s="25"/>
    </row>
    <row r="5354" spans="60:63" ht="14.25" x14ac:dyDescent="0.2">
      <c r="BH5354" s="25"/>
      <c r="BI5354" s="25"/>
      <c r="BJ5354" s="25"/>
      <c r="BK5354" s="25"/>
    </row>
    <row r="5355" spans="60:63" ht="14.25" x14ac:dyDescent="0.2">
      <c r="BH5355" s="25"/>
      <c r="BI5355" s="25"/>
      <c r="BJ5355" s="25"/>
      <c r="BK5355" s="25"/>
    </row>
    <row r="5356" spans="60:63" ht="14.25" x14ac:dyDescent="0.2">
      <c r="BH5356" s="25"/>
      <c r="BI5356" s="25"/>
      <c r="BJ5356" s="25"/>
      <c r="BK5356" s="25"/>
    </row>
    <row r="5357" spans="60:63" ht="14.25" x14ac:dyDescent="0.2">
      <c r="BH5357" s="25"/>
      <c r="BI5357" s="25"/>
      <c r="BJ5357" s="25"/>
      <c r="BK5357" s="25"/>
    </row>
    <row r="5358" spans="60:63" ht="14.25" x14ac:dyDescent="0.2">
      <c r="BH5358" s="25"/>
      <c r="BI5358" s="25"/>
      <c r="BJ5358" s="25"/>
      <c r="BK5358" s="25"/>
    </row>
    <row r="5359" spans="60:63" ht="14.25" x14ac:dyDescent="0.2">
      <c r="BH5359" s="25"/>
      <c r="BI5359" s="25"/>
      <c r="BJ5359" s="25"/>
      <c r="BK5359" s="25"/>
    </row>
    <row r="5360" spans="60:63" ht="14.25" x14ac:dyDescent="0.2">
      <c r="BH5360" s="25"/>
      <c r="BI5360" s="25"/>
      <c r="BJ5360" s="25"/>
      <c r="BK5360" s="25"/>
    </row>
    <row r="5361" spans="60:63" ht="14.25" x14ac:dyDescent="0.2">
      <c r="BH5361" s="25"/>
      <c r="BI5361" s="25"/>
      <c r="BJ5361" s="25"/>
      <c r="BK5361" s="25"/>
    </row>
    <row r="5362" spans="60:63" ht="14.25" x14ac:dyDescent="0.2">
      <c r="BH5362" s="25"/>
      <c r="BI5362" s="25"/>
      <c r="BJ5362" s="25"/>
      <c r="BK5362" s="25"/>
    </row>
    <row r="5363" spans="60:63" ht="14.25" x14ac:dyDescent="0.2">
      <c r="BH5363" s="25"/>
      <c r="BI5363" s="25"/>
      <c r="BJ5363" s="25"/>
      <c r="BK5363" s="25"/>
    </row>
    <row r="5364" spans="60:63" ht="14.25" x14ac:dyDescent="0.2">
      <c r="BH5364" s="25"/>
      <c r="BI5364" s="25"/>
      <c r="BJ5364" s="25"/>
      <c r="BK5364" s="25"/>
    </row>
    <row r="5365" spans="60:63" ht="14.25" x14ac:dyDescent="0.2">
      <c r="BH5365" s="25"/>
      <c r="BI5365" s="25"/>
      <c r="BJ5365" s="25"/>
      <c r="BK5365" s="25"/>
    </row>
    <row r="5366" spans="60:63" ht="14.25" x14ac:dyDescent="0.2">
      <c r="BH5366" s="25"/>
      <c r="BI5366" s="25"/>
      <c r="BJ5366" s="25"/>
      <c r="BK5366" s="25"/>
    </row>
    <row r="5367" spans="60:63" ht="14.25" x14ac:dyDescent="0.2">
      <c r="BH5367" s="25"/>
      <c r="BI5367" s="25"/>
      <c r="BJ5367" s="25"/>
      <c r="BK5367" s="25"/>
    </row>
    <row r="5368" spans="60:63" ht="14.25" x14ac:dyDescent="0.2">
      <c r="BH5368" s="25"/>
      <c r="BI5368" s="25"/>
      <c r="BJ5368" s="25"/>
      <c r="BK5368" s="25"/>
    </row>
    <row r="5369" spans="60:63" ht="14.25" x14ac:dyDescent="0.2">
      <c r="BH5369" s="25"/>
      <c r="BI5369" s="25"/>
      <c r="BJ5369" s="25"/>
      <c r="BK5369" s="25"/>
    </row>
    <row r="5370" spans="60:63" ht="14.25" x14ac:dyDescent="0.2">
      <c r="BH5370" s="25"/>
      <c r="BI5370" s="25"/>
      <c r="BJ5370" s="25"/>
      <c r="BK5370" s="25"/>
    </row>
    <row r="5371" spans="60:63" ht="14.25" x14ac:dyDescent="0.2">
      <c r="BH5371" s="25"/>
      <c r="BI5371" s="25"/>
      <c r="BJ5371" s="25"/>
      <c r="BK5371" s="25"/>
    </row>
    <row r="5372" spans="60:63" ht="14.25" x14ac:dyDescent="0.2">
      <c r="BH5372" s="25"/>
      <c r="BI5372" s="25"/>
      <c r="BJ5372" s="25"/>
      <c r="BK5372" s="25"/>
    </row>
    <row r="5373" spans="60:63" ht="14.25" x14ac:dyDescent="0.2">
      <c r="BH5373" s="25"/>
      <c r="BI5373" s="25"/>
      <c r="BJ5373" s="25"/>
      <c r="BK5373" s="25"/>
    </row>
    <row r="5374" spans="60:63" ht="14.25" x14ac:dyDescent="0.2">
      <c r="BH5374" s="25"/>
      <c r="BI5374" s="25"/>
      <c r="BJ5374" s="25"/>
      <c r="BK5374" s="25"/>
    </row>
    <row r="5375" spans="60:63" ht="14.25" x14ac:dyDescent="0.2">
      <c r="BH5375" s="25"/>
      <c r="BI5375" s="25"/>
      <c r="BJ5375" s="25"/>
      <c r="BK5375" s="25"/>
    </row>
    <row r="5376" spans="60:63" ht="14.25" x14ac:dyDescent="0.2">
      <c r="BH5376" s="25"/>
      <c r="BI5376" s="25"/>
      <c r="BJ5376" s="25"/>
      <c r="BK5376" s="25"/>
    </row>
    <row r="5377" spans="60:63" ht="14.25" x14ac:dyDescent="0.2">
      <c r="BH5377" s="25"/>
      <c r="BI5377" s="25"/>
      <c r="BJ5377" s="25"/>
      <c r="BK5377" s="25"/>
    </row>
    <row r="5378" spans="60:63" ht="14.25" x14ac:dyDescent="0.2">
      <c r="BH5378" s="25"/>
      <c r="BI5378" s="25"/>
      <c r="BJ5378" s="25"/>
      <c r="BK5378" s="25"/>
    </row>
    <row r="5379" spans="60:63" ht="14.25" x14ac:dyDescent="0.2">
      <c r="BH5379" s="25"/>
      <c r="BI5379" s="25"/>
      <c r="BJ5379" s="25"/>
      <c r="BK5379" s="25"/>
    </row>
    <row r="5380" spans="60:63" ht="14.25" x14ac:dyDescent="0.2">
      <c r="BH5380" s="25"/>
      <c r="BI5380" s="25"/>
      <c r="BJ5380" s="25"/>
      <c r="BK5380" s="25"/>
    </row>
    <row r="5381" spans="60:63" ht="14.25" x14ac:dyDescent="0.2">
      <c r="BH5381" s="25"/>
      <c r="BI5381" s="25"/>
      <c r="BJ5381" s="25"/>
      <c r="BK5381" s="25"/>
    </row>
    <row r="5382" spans="60:63" ht="14.25" x14ac:dyDescent="0.2">
      <c r="BH5382" s="25"/>
      <c r="BI5382" s="25"/>
      <c r="BJ5382" s="25"/>
      <c r="BK5382" s="25"/>
    </row>
    <row r="5383" spans="60:63" ht="14.25" x14ac:dyDescent="0.2">
      <c r="BH5383" s="25"/>
      <c r="BI5383" s="25"/>
      <c r="BJ5383" s="25"/>
      <c r="BK5383" s="25"/>
    </row>
    <row r="5384" spans="60:63" ht="14.25" x14ac:dyDescent="0.2">
      <c r="BH5384" s="25"/>
      <c r="BI5384" s="25"/>
      <c r="BJ5384" s="25"/>
      <c r="BK5384" s="25"/>
    </row>
    <row r="5385" spans="60:63" ht="14.25" x14ac:dyDescent="0.2">
      <c r="BH5385" s="25"/>
      <c r="BI5385" s="25"/>
      <c r="BJ5385" s="25"/>
      <c r="BK5385" s="25"/>
    </row>
    <row r="5386" spans="60:63" ht="14.25" x14ac:dyDescent="0.2">
      <c r="BH5386" s="25"/>
      <c r="BI5386" s="25"/>
      <c r="BJ5386" s="25"/>
      <c r="BK5386" s="25"/>
    </row>
    <row r="5387" spans="60:63" ht="14.25" x14ac:dyDescent="0.2">
      <c r="BH5387" s="25"/>
      <c r="BI5387" s="25"/>
      <c r="BJ5387" s="25"/>
      <c r="BK5387" s="25"/>
    </row>
    <row r="5388" spans="60:63" ht="14.25" x14ac:dyDescent="0.2">
      <c r="BH5388" s="25"/>
      <c r="BI5388" s="25"/>
      <c r="BJ5388" s="25"/>
      <c r="BK5388" s="25"/>
    </row>
    <row r="5389" spans="60:63" ht="14.25" x14ac:dyDescent="0.2">
      <c r="BH5389" s="25"/>
      <c r="BI5389" s="25"/>
      <c r="BJ5389" s="25"/>
      <c r="BK5389" s="25"/>
    </row>
    <row r="5390" spans="60:63" ht="14.25" x14ac:dyDescent="0.2">
      <c r="BH5390" s="25"/>
      <c r="BI5390" s="25"/>
      <c r="BJ5390" s="25"/>
      <c r="BK5390" s="25"/>
    </row>
    <row r="5391" spans="60:63" ht="14.25" x14ac:dyDescent="0.2">
      <c r="BH5391" s="25"/>
      <c r="BI5391" s="25"/>
      <c r="BJ5391" s="25"/>
      <c r="BK5391" s="25"/>
    </row>
    <row r="5392" spans="60:63" ht="14.25" x14ac:dyDescent="0.2">
      <c r="BH5392" s="25"/>
      <c r="BI5392" s="25"/>
      <c r="BJ5392" s="25"/>
      <c r="BK5392" s="25"/>
    </row>
    <row r="5393" spans="60:63" ht="14.25" x14ac:dyDescent="0.2">
      <c r="BH5393" s="25"/>
      <c r="BI5393" s="25"/>
      <c r="BJ5393" s="25"/>
      <c r="BK5393" s="25"/>
    </row>
    <row r="5394" spans="60:63" ht="14.25" x14ac:dyDescent="0.2">
      <c r="BH5394" s="25"/>
      <c r="BI5394" s="25"/>
      <c r="BJ5394" s="25"/>
      <c r="BK5394" s="25"/>
    </row>
    <row r="5395" spans="60:63" ht="14.25" x14ac:dyDescent="0.2">
      <c r="BH5395" s="25"/>
      <c r="BI5395" s="25"/>
      <c r="BJ5395" s="25"/>
      <c r="BK5395" s="25"/>
    </row>
    <row r="5396" spans="60:63" ht="14.25" x14ac:dyDescent="0.2">
      <c r="BH5396" s="25"/>
      <c r="BI5396" s="25"/>
      <c r="BJ5396" s="25"/>
      <c r="BK5396" s="25"/>
    </row>
    <row r="5397" spans="60:63" ht="14.25" x14ac:dyDescent="0.2">
      <c r="BH5397" s="25"/>
      <c r="BI5397" s="25"/>
      <c r="BJ5397" s="25"/>
      <c r="BK5397" s="25"/>
    </row>
    <row r="5398" spans="60:63" ht="14.25" x14ac:dyDescent="0.2">
      <c r="BH5398" s="25"/>
      <c r="BI5398" s="25"/>
      <c r="BJ5398" s="25"/>
      <c r="BK5398" s="25"/>
    </row>
    <row r="5399" spans="60:63" ht="14.25" x14ac:dyDescent="0.2">
      <c r="BH5399" s="25"/>
      <c r="BI5399" s="25"/>
      <c r="BJ5399" s="25"/>
      <c r="BK5399" s="25"/>
    </row>
    <row r="5400" spans="60:63" ht="14.25" x14ac:dyDescent="0.2">
      <c r="BH5400" s="25"/>
      <c r="BI5400" s="25"/>
      <c r="BJ5400" s="25"/>
      <c r="BK5400" s="25"/>
    </row>
    <row r="5401" spans="60:63" ht="14.25" x14ac:dyDescent="0.2">
      <c r="BH5401" s="25"/>
      <c r="BI5401" s="25"/>
      <c r="BJ5401" s="25"/>
      <c r="BK5401" s="25"/>
    </row>
    <row r="5402" spans="60:63" ht="14.25" x14ac:dyDescent="0.2">
      <c r="BH5402" s="25"/>
      <c r="BI5402" s="25"/>
      <c r="BJ5402" s="25"/>
      <c r="BK5402" s="25"/>
    </row>
    <row r="5403" spans="60:63" ht="14.25" x14ac:dyDescent="0.2">
      <c r="BH5403" s="25"/>
      <c r="BI5403" s="25"/>
      <c r="BJ5403" s="25"/>
      <c r="BK5403" s="25"/>
    </row>
    <row r="5404" spans="60:63" ht="14.25" x14ac:dyDescent="0.2">
      <c r="BH5404" s="25"/>
      <c r="BI5404" s="25"/>
      <c r="BJ5404" s="25"/>
      <c r="BK5404" s="25"/>
    </row>
    <row r="5405" spans="60:63" ht="14.25" x14ac:dyDescent="0.2">
      <c r="BH5405" s="25"/>
      <c r="BI5405" s="25"/>
      <c r="BJ5405" s="25"/>
      <c r="BK5405" s="25"/>
    </row>
    <row r="5406" spans="60:63" ht="14.25" x14ac:dyDescent="0.2">
      <c r="BH5406" s="25"/>
      <c r="BI5406" s="25"/>
      <c r="BJ5406" s="25"/>
      <c r="BK5406" s="25"/>
    </row>
    <row r="5407" spans="60:63" ht="14.25" x14ac:dyDescent="0.2">
      <c r="BH5407" s="25"/>
      <c r="BI5407" s="25"/>
      <c r="BJ5407" s="25"/>
      <c r="BK5407" s="25"/>
    </row>
    <row r="5408" spans="60:63" ht="14.25" x14ac:dyDescent="0.2">
      <c r="BH5408" s="25"/>
      <c r="BI5408" s="25"/>
      <c r="BJ5408" s="25"/>
      <c r="BK5408" s="25"/>
    </row>
    <row r="5409" spans="60:63" ht="14.25" x14ac:dyDescent="0.2">
      <c r="BH5409" s="25"/>
      <c r="BI5409" s="25"/>
      <c r="BJ5409" s="25"/>
      <c r="BK5409" s="25"/>
    </row>
    <row r="5410" spans="60:63" ht="14.25" x14ac:dyDescent="0.2">
      <c r="BH5410" s="25"/>
      <c r="BI5410" s="25"/>
      <c r="BJ5410" s="25"/>
      <c r="BK5410" s="25"/>
    </row>
    <row r="5411" spans="60:63" ht="14.25" x14ac:dyDescent="0.2">
      <c r="BH5411" s="25"/>
      <c r="BI5411" s="25"/>
      <c r="BJ5411" s="25"/>
      <c r="BK5411" s="25"/>
    </row>
    <row r="5412" spans="60:63" ht="14.25" x14ac:dyDescent="0.2">
      <c r="BH5412" s="25"/>
      <c r="BI5412" s="25"/>
      <c r="BJ5412" s="25"/>
      <c r="BK5412" s="25"/>
    </row>
    <row r="5413" spans="60:63" ht="14.25" x14ac:dyDescent="0.2">
      <c r="BH5413" s="25"/>
      <c r="BI5413" s="25"/>
      <c r="BJ5413" s="25"/>
      <c r="BK5413" s="25"/>
    </row>
    <row r="5414" spans="60:63" ht="14.25" x14ac:dyDescent="0.2">
      <c r="BH5414" s="25"/>
      <c r="BI5414" s="25"/>
      <c r="BJ5414" s="25"/>
      <c r="BK5414" s="25"/>
    </row>
    <row r="5415" spans="60:63" ht="14.25" x14ac:dyDescent="0.2">
      <c r="BH5415" s="25"/>
      <c r="BI5415" s="25"/>
      <c r="BJ5415" s="25"/>
      <c r="BK5415" s="25"/>
    </row>
    <row r="5416" spans="60:63" ht="14.25" x14ac:dyDescent="0.2">
      <c r="BH5416" s="25"/>
      <c r="BI5416" s="25"/>
      <c r="BJ5416" s="25"/>
      <c r="BK5416" s="25"/>
    </row>
    <row r="5417" spans="60:63" ht="14.25" x14ac:dyDescent="0.2">
      <c r="BH5417" s="25"/>
      <c r="BI5417" s="25"/>
      <c r="BJ5417" s="25"/>
      <c r="BK5417" s="25"/>
    </row>
    <row r="5418" spans="60:63" ht="14.25" x14ac:dyDescent="0.2">
      <c r="BH5418" s="25"/>
      <c r="BI5418" s="25"/>
      <c r="BJ5418" s="25"/>
      <c r="BK5418" s="25"/>
    </row>
    <row r="5419" spans="60:63" ht="14.25" x14ac:dyDescent="0.2">
      <c r="BH5419" s="25"/>
      <c r="BI5419" s="25"/>
      <c r="BJ5419" s="25"/>
      <c r="BK5419" s="25"/>
    </row>
    <row r="5420" spans="60:63" ht="14.25" x14ac:dyDescent="0.2">
      <c r="BH5420" s="25"/>
      <c r="BI5420" s="25"/>
      <c r="BJ5420" s="25"/>
      <c r="BK5420" s="25"/>
    </row>
    <row r="5421" spans="60:63" ht="14.25" x14ac:dyDescent="0.2">
      <c r="BH5421" s="25"/>
      <c r="BI5421" s="25"/>
      <c r="BJ5421" s="25"/>
      <c r="BK5421" s="25"/>
    </row>
    <row r="5422" spans="60:63" ht="14.25" x14ac:dyDescent="0.2">
      <c r="BH5422" s="25"/>
      <c r="BI5422" s="25"/>
      <c r="BJ5422" s="25"/>
      <c r="BK5422" s="25"/>
    </row>
    <row r="5423" spans="60:63" ht="14.25" x14ac:dyDescent="0.2">
      <c r="BH5423" s="25"/>
      <c r="BI5423" s="25"/>
      <c r="BJ5423" s="25"/>
      <c r="BK5423" s="25"/>
    </row>
    <row r="5424" spans="60:63" ht="14.25" x14ac:dyDescent="0.2">
      <c r="BH5424" s="25"/>
      <c r="BI5424" s="25"/>
      <c r="BJ5424" s="25"/>
      <c r="BK5424" s="25"/>
    </row>
    <row r="5425" spans="60:63" ht="14.25" x14ac:dyDescent="0.2">
      <c r="BH5425" s="25"/>
      <c r="BI5425" s="25"/>
      <c r="BJ5425" s="25"/>
      <c r="BK5425" s="25"/>
    </row>
    <row r="5426" spans="60:63" ht="14.25" x14ac:dyDescent="0.2">
      <c r="BH5426" s="25"/>
      <c r="BI5426" s="25"/>
      <c r="BJ5426" s="25"/>
      <c r="BK5426" s="25"/>
    </row>
    <row r="5427" spans="60:63" ht="14.25" x14ac:dyDescent="0.2">
      <c r="BH5427" s="25"/>
      <c r="BI5427" s="25"/>
      <c r="BJ5427" s="25"/>
      <c r="BK5427" s="25"/>
    </row>
    <row r="5428" spans="60:63" ht="14.25" x14ac:dyDescent="0.2">
      <c r="BH5428" s="25"/>
      <c r="BI5428" s="25"/>
      <c r="BJ5428" s="25"/>
      <c r="BK5428" s="25"/>
    </row>
    <row r="5429" spans="60:63" ht="14.25" x14ac:dyDescent="0.2">
      <c r="BH5429" s="25"/>
      <c r="BI5429" s="25"/>
      <c r="BJ5429" s="25"/>
      <c r="BK5429" s="25"/>
    </row>
    <row r="5430" spans="60:63" ht="14.25" x14ac:dyDescent="0.2">
      <c r="BH5430" s="25"/>
      <c r="BI5430" s="25"/>
      <c r="BJ5430" s="25"/>
      <c r="BK5430" s="25"/>
    </row>
    <row r="5431" spans="60:63" ht="14.25" x14ac:dyDescent="0.2">
      <c r="BH5431" s="25"/>
      <c r="BI5431" s="25"/>
      <c r="BJ5431" s="25"/>
      <c r="BK5431" s="25"/>
    </row>
    <row r="5432" spans="60:63" ht="14.25" x14ac:dyDescent="0.2">
      <c r="BH5432" s="25"/>
      <c r="BI5432" s="25"/>
      <c r="BJ5432" s="25"/>
      <c r="BK5432" s="25"/>
    </row>
    <row r="5433" spans="60:63" ht="14.25" x14ac:dyDescent="0.2">
      <c r="BH5433" s="25"/>
      <c r="BI5433" s="25"/>
      <c r="BJ5433" s="25"/>
      <c r="BK5433" s="25"/>
    </row>
    <row r="5434" spans="60:63" ht="14.25" x14ac:dyDescent="0.2">
      <c r="BH5434" s="25"/>
      <c r="BI5434" s="25"/>
      <c r="BJ5434" s="25"/>
      <c r="BK5434" s="25"/>
    </row>
    <row r="5435" spans="60:63" ht="14.25" x14ac:dyDescent="0.2">
      <c r="BH5435" s="25"/>
      <c r="BI5435" s="25"/>
      <c r="BJ5435" s="25"/>
      <c r="BK5435" s="25"/>
    </row>
    <row r="5436" spans="60:63" ht="14.25" x14ac:dyDescent="0.2">
      <c r="BH5436" s="25"/>
      <c r="BI5436" s="25"/>
      <c r="BJ5436" s="25"/>
      <c r="BK5436" s="25"/>
    </row>
    <row r="5437" spans="60:63" ht="14.25" x14ac:dyDescent="0.2">
      <c r="BH5437" s="25"/>
      <c r="BI5437" s="25"/>
      <c r="BJ5437" s="25"/>
      <c r="BK5437" s="25"/>
    </row>
    <row r="5438" spans="60:63" ht="14.25" x14ac:dyDescent="0.2">
      <c r="BH5438" s="25"/>
      <c r="BI5438" s="25"/>
      <c r="BJ5438" s="25"/>
      <c r="BK5438" s="25"/>
    </row>
    <row r="5439" spans="60:63" ht="14.25" x14ac:dyDescent="0.2">
      <c r="BH5439" s="25"/>
      <c r="BI5439" s="25"/>
      <c r="BJ5439" s="25"/>
      <c r="BK5439" s="25"/>
    </row>
    <row r="5440" spans="60:63" ht="14.25" x14ac:dyDescent="0.2">
      <c r="BH5440" s="25"/>
      <c r="BI5440" s="25"/>
      <c r="BJ5440" s="25"/>
      <c r="BK5440" s="25"/>
    </row>
    <row r="5441" spans="60:63" ht="14.25" x14ac:dyDescent="0.2">
      <c r="BH5441" s="25"/>
      <c r="BI5441" s="25"/>
      <c r="BJ5441" s="25"/>
      <c r="BK5441" s="25"/>
    </row>
    <row r="5442" spans="60:63" ht="14.25" x14ac:dyDescent="0.2">
      <c r="BH5442" s="25"/>
      <c r="BI5442" s="25"/>
      <c r="BJ5442" s="25"/>
      <c r="BK5442" s="25"/>
    </row>
    <row r="5443" spans="60:63" ht="14.25" x14ac:dyDescent="0.2">
      <c r="BH5443" s="25"/>
      <c r="BI5443" s="25"/>
      <c r="BJ5443" s="25"/>
      <c r="BK5443" s="25"/>
    </row>
    <row r="5444" spans="60:63" ht="14.25" x14ac:dyDescent="0.2">
      <c r="BH5444" s="25"/>
      <c r="BI5444" s="25"/>
      <c r="BJ5444" s="25"/>
      <c r="BK5444" s="25"/>
    </row>
    <row r="5445" spans="60:63" ht="14.25" x14ac:dyDescent="0.2">
      <c r="BH5445" s="25"/>
      <c r="BI5445" s="25"/>
      <c r="BJ5445" s="25"/>
      <c r="BK5445" s="25"/>
    </row>
    <row r="5446" spans="60:63" ht="14.25" x14ac:dyDescent="0.2">
      <c r="BH5446" s="25"/>
      <c r="BI5446" s="25"/>
      <c r="BJ5446" s="25"/>
      <c r="BK5446" s="25"/>
    </row>
    <row r="5447" spans="60:63" ht="14.25" x14ac:dyDescent="0.2">
      <c r="BH5447" s="25"/>
      <c r="BI5447" s="25"/>
      <c r="BJ5447" s="25"/>
      <c r="BK5447" s="25"/>
    </row>
    <row r="5448" spans="60:63" ht="14.25" x14ac:dyDescent="0.2">
      <c r="BH5448" s="25"/>
      <c r="BI5448" s="25"/>
      <c r="BJ5448" s="25"/>
      <c r="BK5448" s="25"/>
    </row>
    <row r="5449" spans="60:63" ht="14.25" x14ac:dyDescent="0.2">
      <c r="BH5449" s="25"/>
      <c r="BI5449" s="25"/>
      <c r="BJ5449" s="25"/>
      <c r="BK5449" s="25"/>
    </row>
    <row r="5450" spans="60:63" ht="14.25" x14ac:dyDescent="0.2">
      <c r="BH5450" s="25"/>
      <c r="BI5450" s="25"/>
      <c r="BJ5450" s="25"/>
      <c r="BK5450" s="25"/>
    </row>
    <row r="5451" spans="60:63" ht="14.25" x14ac:dyDescent="0.2">
      <c r="BH5451" s="25"/>
      <c r="BI5451" s="25"/>
      <c r="BJ5451" s="25"/>
      <c r="BK5451" s="25"/>
    </row>
    <row r="5452" spans="60:63" ht="14.25" x14ac:dyDescent="0.2">
      <c r="BH5452" s="25"/>
      <c r="BI5452" s="25"/>
      <c r="BJ5452" s="25"/>
      <c r="BK5452" s="25"/>
    </row>
    <row r="5453" spans="60:63" ht="14.25" x14ac:dyDescent="0.2">
      <c r="BH5453" s="25"/>
      <c r="BI5453" s="25"/>
      <c r="BJ5453" s="25"/>
      <c r="BK5453" s="25"/>
    </row>
    <row r="5454" spans="60:63" ht="14.25" x14ac:dyDescent="0.2">
      <c r="BH5454" s="25"/>
      <c r="BI5454" s="25"/>
      <c r="BJ5454" s="25"/>
      <c r="BK5454" s="25"/>
    </row>
    <row r="5455" spans="60:63" ht="14.25" x14ac:dyDescent="0.2">
      <c r="BH5455" s="25"/>
      <c r="BI5455" s="25"/>
      <c r="BJ5455" s="25"/>
      <c r="BK5455" s="25"/>
    </row>
    <row r="5456" spans="60:63" ht="14.25" x14ac:dyDescent="0.2">
      <c r="BH5456" s="25"/>
      <c r="BI5456" s="25"/>
      <c r="BJ5456" s="25"/>
      <c r="BK5456" s="25"/>
    </row>
    <row r="5457" spans="60:63" ht="14.25" x14ac:dyDescent="0.2">
      <c r="BH5457" s="25"/>
      <c r="BI5457" s="25"/>
      <c r="BJ5457" s="25"/>
      <c r="BK5457" s="25"/>
    </row>
    <row r="5458" spans="60:63" ht="14.25" x14ac:dyDescent="0.2">
      <c r="BH5458" s="25"/>
      <c r="BI5458" s="25"/>
      <c r="BJ5458" s="25"/>
      <c r="BK5458" s="25"/>
    </row>
    <row r="5459" spans="60:63" ht="14.25" x14ac:dyDescent="0.2">
      <c r="BH5459" s="25"/>
      <c r="BI5459" s="25"/>
      <c r="BJ5459" s="25"/>
      <c r="BK5459" s="25"/>
    </row>
    <row r="5460" spans="60:63" ht="14.25" x14ac:dyDescent="0.2">
      <c r="BH5460" s="25"/>
      <c r="BI5460" s="25"/>
      <c r="BJ5460" s="25"/>
      <c r="BK5460" s="25"/>
    </row>
    <row r="5461" spans="60:63" ht="14.25" x14ac:dyDescent="0.2">
      <c r="BH5461" s="25"/>
      <c r="BI5461" s="25"/>
      <c r="BJ5461" s="25"/>
      <c r="BK5461" s="25"/>
    </row>
    <row r="5462" spans="60:63" ht="14.25" x14ac:dyDescent="0.2">
      <c r="BH5462" s="25"/>
      <c r="BI5462" s="25"/>
      <c r="BJ5462" s="25"/>
      <c r="BK5462" s="25"/>
    </row>
    <row r="5463" spans="60:63" ht="14.25" x14ac:dyDescent="0.2">
      <c r="BH5463" s="25"/>
      <c r="BI5463" s="25"/>
      <c r="BJ5463" s="25"/>
      <c r="BK5463" s="25"/>
    </row>
    <row r="5464" spans="60:63" ht="14.25" x14ac:dyDescent="0.2">
      <c r="BH5464" s="25"/>
      <c r="BI5464" s="25"/>
      <c r="BJ5464" s="25"/>
      <c r="BK5464" s="25"/>
    </row>
    <row r="5465" spans="60:63" ht="14.25" x14ac:dyDescent="0.2">
      <c r="BH5465" s="25"/>
      <c r="BI5465" s="25"/>
      <c r="BJ5465" s="25"/>
      <c r="BK5465" s="25"/>
    </row>
    <row r="5466" spans="60:63" ht="14.25" x14ac:dyDescent="0.2">
      <c r="BH5466" s="25"/>
      <c r="BI5466" s="25"/>
      <c r="BJ5466" s="25"/>
      <c r="BK5466" s="25"/>
    </row>
    <row r="5467" spans="60:63" ht="14.25" x14ac:dyDescent="0.2">
      <c r="BH5467" s="25"/>
      <c r="BI5467" s="25"/>
      <c r="BJ5467" s="25"/>
      <c r="BK5467" s="25"/>
    </row>
    <row r="5468" spans="60:63" ht="14.25" x14ac:dyDescent="0.2">
      <c r="BH5468" s="25"/>
      <c r="BI5468" s="25"/>
      <c r="BJ5468" s="25"/>
      <c r="BK5468" s="25"/>
    </row>
    <row r="5469" spans="60:63" ht="14.25" x14ac:dyDescent="0.2">
      <c r="BH5469" s="25"/>
      <c r="BI5469" s="25"/>
      <c r="BJ5469" s="25"/>
      <c r="BK5469" s="25"/>
    </row>
    <row r="5470" spans="60:63" ht="14.25" x14ac:dyDescent="0.2">
      <c r="BH5470" s="25"/>
      <c r="BI5470" s="25"/>
      <c r="BJ5470" s="25"/>
      <c r="BK5470" s="25"/>
    </row>
    <row r="5471" spans="60:63" ht="14.25" x14ac:dyDescent="0.2">
      <c r="BH5471" s="25"/>
      <c r="BI5471" s="25"/>
      <c r="BJ5471" s="25"/>
      <c r="BK5471" s="25"/>
    </row>
    <row r="5472" spans="60:63" ht="14.25" x14ac:dyDescent="0.2">
      <c r="BH5472" s="25"/>
      <c r="BI5472" s="25"/>
      <c r="BJ5472" s="25"/>
      <c r="BK5472" s="25"/>
    </row>
    <row r="5473" spans="60:63" ht="14.25" x14ac:dyDescent="0.2">
      <c r="BH5473" s="25"/>
      <c r="BI5473" s="25"/>
      <c r="BJ5473" s="25"/>
      <c r="BK5473" s="25"/>
    </row>
    <row r="5474" spans="60:63" ht="14.25" x14ac:dyDescent="0.2">
      <c r="BH5474" s="25"/>
      <c r="BI5474" s="25"/>
      <c r="BJ5474" s="25"/>
      <c r="BK5474" s="25"/>
    </row>
    <row r="5475" spans="60:63" ht="14.25" x14ac:dyDescent="0.2">
      <c r="BH5475" s="25"/>
      <c r="BI5475" s="25"/>
      <c r="BJ5475" s="25"/>
      <c r="BK5475" s="25"/>
    </row>
    <row r="5476" spans="60:63" ht="14.25" x14ac:dyDescent="0.2">
      <c r="BH5476" s="25"/>
      <c r="BI5476" s="25"/>
      <c r="BJ5476" s="25"/>
      <c r="BK5476" s="25"/>
    </row>
    <row r="5477" spans="60:63" ht="14.25" x14ac:dyDescent="0.2">
      <c r="BH5477" s="25"/>
      <c r="BI5477" s="25"/>
      <c r="BJ5477" s="25"/>
      <c r="BK5477" s="25"/>
    </row>
    <row r="5478" spans="60:63" ht="14.25" x14ac:dyDescent="0.2">
      <c r="BH5478" s="25"/>
      <c r="BI5478" s="25"/>
      <c r="BJ5478" s="25"/>
      <c r="BK5478" s="25"/>
    </row>
    <row r="5479" spans="60:63" ht="14.25" x14ac:dyDescent="0.2">
      <c r="BH5479" s="25"/>
      <c r="BI5479" s="25"/>
      <c r="BJ5479" s="25"/>
      <c r="BK5479" s="25"/>
    </row>
    <row r="5480" spans="60:63" ht="14.25" x14ac:dyDescent="0.2">
      <c r="BH5480" s="25"/>
      <c r="BI5480" s="25"/>
      <c r="BJ5480" s="25"/>
      <c r="BK5480" s="25"/>
    </row>
    <row r="5481" spans="60:63" ht="14.25" x14ac:dyDescent="0.2">
      <c r="BH5481" s="25"/>
      <c r="BI5481" s="25"/>
      <c r="BJ5481" s="25"/>
      <c r="BK5481" s="25"/>
    </row>
    <row r="5482" spans="60:63" ht="14.25" x14ac:dyDescent="0.2">
      <c r="BH5482" s="25"/>
      <c r="BI5482" s="25"/>
      <c r="BJ5482" s="25"/>
      <c r="BK5482" s="25"/>
    </row>
    <row r="5483" spans="60:63" ht="14.25" x14ac:dyDescent="0.2">
      <c r="BH5483" s="25"/>
      <c r="BI5483" s="25"/>
      <c r="BJ5483" s="25"/>
      <c r="BK5483" s="25"/>
    </row>
    <row r="5484" spans="60:63" ht="14.25" x14ac:dyDescent="0.2">
      <c r="BH5484" s="25"/>
      <c r="BI5484" s="25"/>
      <c r="BJ5484" s="25"/>
      <c r="BK5484" s="25"/>
    </row>
    <row r="5485" spans="60:63" ht="14.25" x14ac:dyDescent="0.2">
      <c r="BH5485" s="25"/>
      <c r="BI5485" s="25"/>
      <c r="BJ5485" s="25"/>
      <c r="BK5485" s="25"/>
    </row>
    <row r="5486" spans="60:63" ht="14.25" x14ac:dyDescent="0.2">
      <c r="BH5486" s="25"/>
      <c r="BI5486" s="25"/>
      <c r="BJ5486" s="25"/>
      <c r="BK5486" s="25"/>
    </row>
    <row r="5487" spans="60:63" ht="14.25" x14ac:dyDescent="0.2">
      <c r="BH5487" s="25"/>
      <c r="BI5487" s="25"/>
      <c r="BJ5487" s="25"/>
      <c r="BK5487" s="25"/>
    </row>
    <row r="5488" spans="60:63" ht="14.25" x14ac:dyDescent="0.2">
      <c r="BH5488" s="25"/>
      <c r="BI5488" s="25"/>
      <c r="BJ5488" s="25"/>
      <c r="BK5488" s="25"/>
    </row>
    <row r="5489" spans="60:63" ht="14.25" x14ac:dyDescent="0.2">
      <c r="BH5489" s="25"/>
      <c r="BI5489" s="25"/>
      <c r="BJ5489" s="25"/>
      <c r="BK5489" s="25"/>
    </row>
    <row r="5490" spans="60:63" ht="14.25" x14ac:dyDescent="0.2">
      <c r="BH5490" s="25"/>
      <c r="BI5490" s="25"/>
      <c r="BJ5490" s="25"/>
      <c r="BK5490" s="25"/>
    </row>
    <row r="5491" spans="60:63" ht="14.25" x14ac:dyDescent="0.2">
      <c r="BH5491" s="25"/>
      <c r="BI5491" s="25"/>
      <c r="BJ5491" s="25"/>
      <c r="BK5491" s="25"/>
    </row>
    <row r="5492" spans="60:63" ht="14.25" x14ac:dyDescent="0.2">
      <c r="BH5492" s="25"/>
      <c r="BI5492" s="25"/>
      <c r="BJ5492" s="25"/>
      <c r="BK5492" s="25"/>
    </row>
    <row r="5493" spans="60:63" ht="14.25" x14ac:dyDescent="0.2">
      <c r="BH5493" s="25"/>
      <c r="BI5493" s="25"/>
      <c r="BJ5493" s="25"/>
      <c r="BK5493" s="25"/>
    </row>
    <row r="5494" spans="60:63" ht="14.25" x14ac:dyDescent="0.2">
      <c r="BH5494" s="25"/>
      <c r="BI5494" s="25"/>
      <c r="BJ5494" s="25"/>
      <c r="BK5494" s="25"/>
    </row>
    <row r="5495" spans="60:63" ht="14.25" x14ac:dyDescent="0.2">
      <c r="BH5495" s="25"/>
      <c r="BI5495" s="25"/>
      <c r="BJ5495" s="25"/>
      <c r="BK5495" s="25"/>
    </row>
    <row r="5496" spans="60:63" ht="14.25" x14ac:dyDescent="0.2">
      <c r="BH5496" s="25"/>
      <c r="BI5496" s="25"/>
      <c r="BJ5496" s="25"/>
      <c r="BK5496" s="25"/>
    </row>
    <row r="5497" spans="60:63" ht="14.25" x14ac:dyDescent="0.2">
      <c r="BH5497" s="25"/>
      <c r="BI5497" s="25"/>
      <c r="BJ5497" s="25"/>
      <c r="BK5497" s="25"/>
    </row>
    <row r="5498" spans="60:63" ht="14.25" x14ac:dyDescent="0.2">
      <c r="BH5498" s="25"/>
      <c r="BI5498" s="25"/>
      <c r="BJ5498" s="25"/>
      <c r="BK5498" s="25"/>
    </row>
    <row r="5499" spans="60:63" ht="14.25" x14ac:dyDescent="0.2">
      <c r="BH5499" s="25"/>
      <c r="BI5499" s="25"/>
      <c r="BJ5499" s="25"/>
      <c r="BK5499" s="25"/>
    </row>
    <row r="5500" spans="60:63" ht="14.25" x14ac:dyDescent="0.2">
      <c r="BH5500" s="25"/>
      <c r="BI5500" s="25"/>
      <c r="BJ5500" s="25"/>
      <c r="BK5500" s="25"/>
    </row>
    <row r="5501" spans="60:63" ht="14.25" x14ac:dyDescent="0.2">
      <c r="BH5501" s="25"/>
      <c r="BI5501" s="25"/>
      <c r="BJ5501" s="25"/>
      <c r="BK5501" s="25"/>
    </row>
    <row r="5502" spans="60:63" ht="14.25" x14ac:dyDescent="0.2">
      <c r="BH5502" s="25"/>
      <c r="BI5502" s="25"/>
      <c r="BJ5502" s="25"/>
      <c r="BK5502" s="25"/>
    </row>
    <row r="5503" spans="60:63" ht="14.25" x14ac:dyDescent="0.2">
      <c r="BH5503" s="25"/>
      <c r="BI5503" s="25"/>
      <c r="BJ5503" s="25"/>
      <c r="BK5503" s="25"/>
    </row>
    <row r="5504" spans="60:63" ht="14.25" x14ac:dyDescent="0.2">
      <c r="BH5504" s="25"/>
      <c r="BI5504" s="25"/>
      <c r="BJ5504" s="25"/>
      <c r="BK5504" s="25"/>
    </row>
    <row r="5505" spans="60:63" ht="14.25" x14ac:dyDescent="0.2">
      <c r="BH5505" s="25"/>
      <c r="BI5505" s="25"/>
      <c r="BJ5505" s="25"/>
      <c r="BK5505" s="25"/>
    </row>
    <row r="5506" spans="60:63" ht="14.25" x14ac:dyDescent="0.2">
      <c r="BH5506" s="25"/>
      <c r="BI5506" s="25"/>
      <c r="BJ5506" s="25"/>
      <c r="BK5506" s="25"/>
    </row>
    <row r="5507" spans="60:63" ht="14.25" x14ac:dyDescent="0.2">
      <c r="BH5507" s="25"/>
      <c r="BI5507" s="25"/>
      <c r="BJ5507" s="25"/>
      <c r="BK5507" s="25"/>
    </row>
    <row r="5508" spans="60:63" ht="14.25" x14ac:dyDescent="0.2">
      <c r="BH5508" s="25"/>
      <c r="BI5508" s="25"/>
      <c r="BJ5508" s="25"/>
      <c r="BK5508" s="25"/>
    </row>
    <row r="5509" spans="60:63" ht="14.25" x14ac:dyDescent="0.2">
      <c r="BH5509" s="25"/>
      <c r="BI5509" s="25"/>
      <c r="BJ5509" s="25"/>
      <c r="BK5509" s="25"/>
    </row>
    <row r="5510" spans="60:63" ht="14.25" x14ac:dyDescent="0.2">
      <c r="BH5510" s="25"/>
      <c r="BI5510" s="25"/>
      <c r="BJ5510" s="25"/>
      <c r="BK5510" s="25"/>
    </row>
    <row r="5511" spans="60:63" ht="14.25" x14ac:dyDescent="0.2">
      <c r="BH5511" s="25"/>
      <c r="BI5511" s="25"/>
      <c r="BJ5511" s="25"/>
      <c r="BK5511" s="25"/>
    </row>
    <row r="5512" spans="60:63" ht="14.25" x14ac:dyDescent="0.2">
      <c r="BH5512" s="25"/>
      <c r="BI5512" s="25"/>
      <c r="BJ5512" s="25"/>
      <c r="BK5512" s="25"/>
    </row>
    <row r="5513" spans="60:63" ht="14.25" x14ac:dyDescent="0.2">
      <c r="BH5513" s="25"/>
      <c r="BI5513" s="25"/>
      <c r="BJ5513" s="25"/>
      <c r="BK5513" s="25"/>
    </row>
    <row r="5514" spans="60:63" ht="14.25" x14ac:dyDescent="0.2">
      <c r="BH5514" s="25"/>
      <c r="BI5514" s="25"/>
      <c r="BJ5514" s="25"/>
      <c r="BK5514" s="25"/>
    </row>
    <row r="5515" spans="60:63" ht="14.25" x14ac:dyDescent="0.2">
      <c r="BH5515" s="25"/>
      <c r="BI5515" s="25"/>
      <c r="BJ5515" s="25"/>
      <c r="BK5515" s="25"/>
    </row>
    <row r="5516" spans="60:63" ht="14.25" x14ac:dyDescent="0.2">
      <c r="BH5516" s="25"/>
      <c r="BI5516" s="25"/>
      <c r="BJ5516" s="25"/>
      <c r="BK5516" s="25"/>
    </row>
    <row r="5517" spans="60:63" ht="14.25" x14ac:dyDescent="0.2">
      <c r="BH5517" s="25"/>
      <c r="BI5517" s="25"/>
      <c r="BJ5517" s="25"/>
      <c r="BK5517" s="25"/>
    </row>
    <row r="5518" spans="60:63" ht="14.25" x14ac:dyDescent="0.2">
      <c r="BH5518" s="25"/>
      <c r="BI5518" s="25"/>
      <c r="BJ5518" s="25"/>
      <c r="BK5518" s="25"/>
    </row>
    <row r="5519" spans="60:63" ht="14.25" x14ac:dyDescent="0.2">
      <c r="BH5519" s="25"/>
      <c r="BI5519" s="25"/>
      <c r="BJ5519" s="25"/>
      <c r="BK5519" s="25"/>
    </row>
    <row r="5520" spans="60:63" ht="14.25" x14ac:dyDescent="0.2">
      <c r="BH5520" s="25"/>
      <c r="BI5520" s="25"/>
      <c r="BJ5520" s="25"/>
      <c r="BK5520" s="25"/>
    </row>
    <row r="5521" spans="60:63" ht="14.25" x14ac:dyDescent="0.2">
      <c r="BH5521" s="25"/>
      <c r="BI5521" s="25"/>
      <c r="BJ5521" s="25"/>
      <c r="BK5521" s="25"/>
    </row>
    <row r="5522" spans="60:63" ht="14.25" x14ac:dyDescent="0.2">
      <c r="BH5522" s="25"/>
      <c r="BI5522" s="25"/>
      <c r="BJ5522" s="25"/>
      <c r="BK5522" s="25"/>
    </row>
    <row r="5523" spans="60:63" ht="14.25" x14ac:dyDescent="0.2">
      <c r="BH5523" s="25"/>
      <c r="BI5523" s="25"/>
      <c r="BJ5523" s="25"/>
      <c r="BK5523" s="25"/>
    </row>
    <row r="5524" spans="60:63" ht="14.25" x14ac:dyDescent="0.2">
      <c r="BH5524" s="25"/>
      <c r="BI5524" s="25"/>
      <c r="BJ5524" s="25"/>
      <c r="BK5524" s="25"/>
    </row>
    <row r="5525" spans="60:63" ht="14.25" x14ac:dyDescent="0.2">
      <c r="BH5525" s="25"/>
      <c r="BI5525" s="25"/>
      <c r="BJ5525" s="25"/>
      <c r="BK5525" s="25"/>
    </row>
    <row r="5526" spans="60:63" ht="14.25" x14ac:dyDescent="0.2">
      <c r="BH5526" s="25"/>
      <c r="BI5526" s="25"/>
      <c r="BJ5526" s="25"/>
      <c r="BK5526" s="25"/>
    </row>
    <row r="5527" spans="60:63" ht="14.25" x14ac:dyDescent="0.2">
      <c r="BH5527" s="25"/>
      <c r="BI5527" s="25"/>
      <c r="BJ5527" s="25"/>
      <c r="BK5527" s="25"/>
    </row>
    <row r="5528" spans="60:63" ht="14.25" x14ac:dyDescent="0.2">
      <c r="BH5528" s="25"/>
      <c r="BI5528" s="25"/>
      <c r="BJ5528" s="25"/>
      <c r="BK5528" s="25"/>
    </row>
    <row r="5529" spans="60:63" ht="14.25" x14ac:dyDescent="0.2">
      <c r="BH5529" s="25"/>
      <c r="BI5529" s="25"/>
      <c r="BJ5529" s="25"/>
      <c r="BK5529" s="25"/>
    </row>
    <row r="5530" spans="60:63" ht="14.25" x14ac:dyDescent="0.2">
      <c r="BH5530" s="25"/>
      <c r="BI5530" s="25"/>
      <c r="BJ5530" s="25"/>
      <c r="BK5530" s="25"/>
    </row>
    <row r="5531" spans="60:63" ht="14.25" x14ac:dyDescent="0.2">
      <c r="BH5531" s="25"/>
      <c r="BI5531" s="25"/>
      <c r="BJ5531" s="25"/>
      <c r="BK5531" s="25"/>
    </row>
    <row r="5532" spans="60:63" ht="14.25" x14ac:dyDescent="0.2">
      <c r="BH5532" s="25"/>
      <c r="BI5532" s="25"/>
      <c r="BJ5532" s="25"/>
      <c r="BK5532" s="25"/>
    </row>
    <row r="5533" spans="60:63" ht="14.25" x14ac:dyDescent="0.2">
      <c r="BH5533" s="25"/>
      <c r="BI5533" s="25"/>
      <c r="BJ5533" s="25"/>
      <c r="BK5533" s="25"/>
    </row>
    <row r="5534" spans="60:63" ht="14.25" x14ac:dyDescent="0.2">
      <c r="BH5534" s="25"/>
      <c r="BI5534" s="25"/>
      <c r="BJ5534" s="25"/>
      <c r="BK5534" s="25"/>
    </row>
    <row r="5535" spans="60:63" ht="14.25" x14ac:dyDescent="0.2">
      <c r="BH5535" s="25"/>
      <c r="BI5535" s="25"/>
      <c r="BJ5535" s="25"/>
      <c r="BK5535" s="25"/>
    </row>
    <row r="5536" spans="60:63" ht="14.25" x14ac:dyDescent="0.2">
      <c r="BH5536" s="25"/>
      <c r="BI5536" s="25"/>
      <c r="BJ5536" s="25"/>
      <c r="BK5536" s="25"/>
    </row>
    <row r="5537" spans="60:63" ht="14.25" x14ac:dyDescent="0.2">
      <c r="BH5537" s="25"/>
      <c r="BI5537" s="25"/>
      <c r="BJ5537" s="25"/>
      <c r="BK5537" s="25"/>
    </row>
    <row r="5538" spans="60:63" ht="14.25" x14ac:dyDescent="0.2">
      <c r="BH5538" s="25"/>
      <c r="BI5538" s="25"/>
      <c r="BJ5538" s="25"/>
      <c r="BK5538" s="25"/>
    </row>
    <row r="5539" spans="60:63" ht="14.25" x14ac:dyDescent="0.2">
      <c r="BH5539" s="25"/>
      <c r="BI5539" s="25"/>
      <c r="BJ5539" s="25"/>
      <c r="BK5539" s="25"/>
    </row>
    <row r="5540" spans="60:63" ht="14.25" x14ac:dyDescent="0.2">
      <c r="BH5540" s="25"/>
      <c r="BI5540" s="25"/>
      <c r="BJ5540" s="25"/>
      <c r="BK5540" s="25"/>
    </row>
    <row r="5541" spans="60:63" ht="14.25" x14ac:dyDescent="0.2">
      <c r="BH5541" s="25"/>
      <c r="BI5541" s="25"/>
      <c r="BJ5541" s="25"/>
      <c r="BK5541" s="25"/>
    </row>
    <row r="5542" spans="60:63" ht="14.25" x14ac:dyDescent="0.2">
      <c r="BH5542" s="25"/>
      <c r="BI5542" s="25"/>
      <c r="BJ5542" s="25"/>
      <c r="BK5542" s="25"/>
    </row>
    <row r="5543" spans="60:63" ht="14.25" x14ac:dyDescent="0.2">
      <c r="BH5543" s="25"/>
      <c r="BI5543" s="25"/>
      <c r="BJ5543" s="25"/>
      <c r="BK5543" s="25"/>
    </row>
    <row r="5544" spans="60:63" ht="14.25" x14ac:dyDescent="0.2">
      <c r="BH5544" s="25"/>
      <c r="BI5544" s="25"/>
      <c r="BJ5544" s="25"/>
      <c r="BK5544" s="25"/>
    </row>
    <row r="5545" spans="60:63" ht="14.25" x14ac:dyDescent="0.2">
      <c r="BH5545" s="25"/>
      <c r="BI5545" s="25"/>
      <c r="BJ5545" s="25"/>
      <c r="BK5545" s="25"/>
    </row>
    <row r="5546" spans="60:63" ht="14.25" x14ac:dyDescent="0.2">
      <c r="BH5546" s="25"/>
      <c r="BI5546" s="25"/>
      <c r="BJ5546" s="25"/>
      <c r="BK5546" s="25"/>
    </row>
    <row r="5547" spans="60:63" ht="14.25" x14ac:dyDescent="0.2">
      <c r="BH5547" s="25"/>
      <c r="BI5547" s="25"/>
      <c r="BJ5547" s="25"/>
      <c r="BK5547" s="25"/>
    </row>
    <row r="5548" spans="60:63" ht="14.25" x14ac:dyDescent="0.2">
      <c r="BH5548" s="25"/>
      <c r="BI5548" s="25"/>
      <c r="BJ5548" s="25"/>
      <c r="BK5548" s="25"/>
    </row>
    <row r="5549" spans="60:63" ht="14.25" x14ac:dyDescent="0.2">
      <c r="BH5549" s="25"/>
      <c r="BI5549" s="25"/>
      <c r="BJ5549" s="25"/>
      <c r="BK5549" s="25"/>
    </row>
    <row r="5550" spans="60:63" ht="14.25" x14ac:dyDescent="0.2">
      <c r="BH5550" s="25"/>
      <c r="BI5550" s="25"/>
      <c r="BJ5550" s="25"/>
      <c r="BK5550" s="25"/>
    </row>
    <row r="5551" spans="60:63" ht="14.25" x14ac:dyDescent="0.2">
      <c r="BH5551" s="25"/>
      <c r="BI5551" s="25"/>
      <c r="BJ5551" s="25"/>
      <c r="BK5551" s="25"/>
    </row>
    <row r="5552" spans="60:63" ht="14.25" x14ac:dyDescent="0.2">
      <c r="BH5552" s="25"/>
      <c r="BI5552" s="25"/>
      <c r="BJ5552" s="25"/>
      <c r="BK5552" s="25"/>
    </row>
    <row r="5553" spans="60:63" ht="14.25" x14ac:dyDescent="0.2">
      <c r="BH5553" s="25"/>
      <c r="BI5553" s="25"/>
      <c r="BJ5553" s="25"/>
      <c r="BK5553" s="25"/>
    </row>
    <row r="5554" spans="60:63" ht="14.25" x14ac:dyDescent="0.2">
      <c r="BH5554" s="25"/>
      <c r="BI5554" s="25"/>
      <c r="BJ5554" s="25"/>
      <c r="BK5554" s="25"/>
    </row>
    <row r="5555" spans="60:63" ht="14.25" x14ac:dyDescent="0.2">
      <c r="BH5555" s="25"/>
      <c r="BI5555" s="25"/>
      <c r="BJ5555" s="25"/>
      <c r="BK5555" s="25"/>
    </row>
    <row r="5556" spans="60:63" ht="14.25" x14ac:dyDescent="0.2">
      <c r="BH5556" s="25"/>
      <c r="BI5556" s="25"/>
      <c r="BJ5556" s="25"/>
      <c r="BK5556" s="25"/>
    </row>
    <row r="5557" spans="60:63" ht="14.25" x14ac:dyDescent="0.2">
      <c r="BH5557" s="25"/>
      <c r="BI5557" s="25"/>
      <c r="BJ5557" s="25"/>
      <c r="BK5557" s="25"/>
    </row>
    <row r="5558" spans="60:63" ht="14.25" x14ac:dyDescent="0.2">
      <c r="BH5558" s="25"/>
      <c r="BI5558" s="25"/>
      <c r="BJ5558" s="25"/>
      <c r="BK5558" s="25"/>
    </row>
    <row r="5559" spans="60:63" ht="14.25" x14ac:dyDescent="0.2">
      <c r="BH5559" s="25"/>
      <c r="BI5559" s="25"/>
      <c r="BJ5559" s="25"/>
      <c r="BK5559" s="25"/>
    </row>
    <row r="5560" spans="60:63" ht="14.25" x14ac:dyDescent="0.2">
      <c r="BH5560" s="25"/>
      <c r="BI5560" s="25"/>
      <c r="BJ5560" s="25"/>
      <c r="BK5560" s="25"/>
    </row>
    <row r="5561" spans="60:63" ht="14.25" x14ac:dyDescent="0.2">
      <c r="BH5561" s="25"/>
      <c r="BI5561" s="25"/>
      <c r="BJ5561" s="25"/>
      <c r="BK5561" s="25"/>
    </row>
    <row r="5562" spans="60:63" ht="14.25" x14ac:dyDescent="0.2">
      <c r="BH5562" s="25"/>
      <c r="BI5562" s="25"/>
      <c r="BJ5562" s="25"/>
      <c r="BK5562" s="25"/>
    </row>
    <row r="5563" spans="60:63" ht="14.25" x14ac:dyDescent="0.2">
      <c r="BH5563" s="25"/>
      <c r="BI5563" s="25"/>
      <c r="BJ5563" s="25"/>
      <c r="BK5563" s="25"/>
    </row>
    <row r="5564" spans="60:63" ht="14.25" x14ac:dyDescent="0.2">
      <c r="BH5564" s="25"/>
      <c r="BI5564" s="25"/>
      <c r="BJ5564" s="25"/>
      <c r="BK5564" s="25"/>
    </row>
    <row r="5565" spans="60:63" ht="14.25" x14ac:dyDescent="0.2">
      <c r="BH5565" s="25"/>
      <c r="BI5565" s="25"/>
      <c r="BJ5565" s="25"/>
      <c r="BK5565" s="25"/>
    </row>
    <row r="5566" spans="60:63" ht="14.25" x14ac:dyDescent="0.2">
      <c r="BH5566" s="25"/>
      <c r="BI5566" s="25"/>
      <c r="BJ5566" s="25"/>
      <c r="BK5566" s="25"/>
    </row>
    <row r="5567" spans="60:63" ht="14.25" x14ac:dyDescent="0.2">
      <c r="BH5567" s="25"/>
      <c r="BI5567" s="25"/>
      <c r="BJ5567" s="25"/>
      <c r="BK5567" s="25"/>
    </row>
    <row r="5568" spans="60:63" ht="14.25" x14ac:dyDescent="0.2">
      <c r="BH5568" s="25"/>
      <c r="BI5568" s="25"/>
      <c r="BJ5568" s="25"/>
      <c r="BK5568" s="25"/>
    </row>
    <row r="5569" spans="60:63" ht="14.25" x14ac:dyDescent="0.2">
      <c r="BH5569" s="25"/>
      <c r="BI5569" s="25"/>
      <c r="BJ5569" s="25"/>
      <c r="BK5569" s="25"/>
    </row>
    <row r="5570" spans="60:63" ht="14.25" x14ac:dyDescent="0.2">
      <c r="BH5570" s="25"/>
      <c r="BI5570" s="25"/>
      <c r="BJ5570" s="25"/>
      <c r="BK5570" s="25"/>
    </row>
    <row r="5571" spans="60:63" ht="14.25" x14ac:dyDescent="0.2">
      <c r="BH5571" s="25"/>
      <c r="BI5571" s="25"/>
      <c r="BJ5571" s="25"/>
      <c r="BK5571" s="25"/>
    </row>
    <row r="5572" spans="60:63" ht="14.25" x14ac:dyDescent="0.2">
      <c r="BH5572" s="25"/>
      <c r="BI5572" s="25"/>
      <c r="BJ5572" s="25"/>
      <c r="BK5572" s="25"/>
    </row>
    <row r="5573" spans="60:63" ht="14.25" x14ac:dyDescent="0.2">
      <c r="BH5573" s="25"/>
      <c r="BI5573" s="25"/>
      <c r="BJ5573" s="25"/>
      <c r="BK5573" s="25"/>
    </row>
    <row r="5574" spans="60:63" ht="14.25" x14ac:dyDescent="0.2">
      <c r="BH5574" s="25"/>
      <c r="BI5574" s="25"/>
      <c r="BJ5574" s="25"/>
      <c r="BK5574" s="25"/>
    </row>
    <row r="5575" spans="60:63" ht="14.25" x14ac:dyDescent="0.2">
      <c r="BH5575" s="25"/>
      <c r="BI5575" s="25"/>
      <c r="BJ5575" s="25"/>
      <c r="BK5575" s="25"/>
    </row>
    <row r="5576" spans="60:63" ht="14.25" x14ac:dyDescent="0.2">
      <c r="BH5576" s="25"/>
      <c r="BI5576" s="25"/>
      <c r="BJ5576" s="25"/>
      <c r="BK5576" s="25"/>
    </row>
    <row r="5577" spans="60:63" ht="14.25" x14ac:dyDescent="0.2">
      <c r="BH5577" s="25"/>
      <c r="BI5577" s="25"/>
      <c r="BJ5577" s="25"/>
      <c r="BK5577" s="25"/>
    </row>
    <row r="5578" spans="60:63" ht="14.25" x14ac:dyDescent="0.2">
      <c r="BH5578" s="25"/>
      <c r="BI5578" s="25"/>
      <c r="BJ5578" s="25"/>
      <c r="BK5578" s="25"/>
    </row>
    <row r="5579" spans="60:63" ht="14.25" x14ac:dyDescent="0.2">
      <c r="BH5579" s="25"/>
      <c r="BI5579" s="25"/>
      <c r="BJ5579" s="25"/>
      <c r="BK5579" s="25"/>
    </row>
    <row r="5580" spans="60:63" ht="14.25" x14ac:dyDescent="0.2">
      <c r="BH5580" s="25"/>
      <c r="BI5580" s="25"/>
      <c r="BJ5580" s="25"/>
      <c r="BK5580" s="25"/>
    </row>
    <row r="5581" spans="60:63" ht="14.25" x14ac:dyDescent="0.2">
      <c r="BH5581" s="25"/>
      <c r="BI5581" s="25"/>
      <c r="BJ5581" s="25"/>
      <c r="BK5581" s="25"/>
    </row>
    <row r="5582" spans="60:63" ht="14.25" x14ac:dyDescent="0.2">
      <c r="BH5582" s="25"/>
      <c r="BI5582" s="25"/>
      <c r="BJ5582" s="25"/>
      <c r="BK5582" s="25"/>
    </row>
    <row r="5583" spans="60:63" ht="14.25" x14ac:dyDescent="0.2">
      <c r="BH5583" s="25"/>
      <c r="BI5583" s="25"/>
      <c r="BJ5583" s="25"/>
      <c r="BK5583" s="25"/>
    </row>
    <row r="5584" spans="60:63" ht="14.25" x14ac:dyDescent="0.2">
      <c r="BH5584" s="25"/>
      <c r="BI5584" s="25"/>
      <c r="BJ5584" s="25"/>
      <c r="BK5584" s="25"/>
    </row>
    <row r="5585" spans="60:63" ht="14.25" x14ac:dyDescent="0.2">
      <c r="BH5585" s="25"/>
      <c r="BI5585" s="25"/>
      <c r="BJ5585" s="25"/>
      <c r="BK5585" s="25"/>
    </row>
    <row r="5586" spans="60:63" ht="14.25" x14ac:dyDescent="0.2">
      <c r="BH5586" s="25"/>
      <c r="BI5586" s="25"/>
      <c r="BJ5586" s="25"/>
      <c r="BK5586" s="25"/>
    </row>
    <row r="5587" spans="60:63" ht="14.25" x14ac:dyDescent="0.2">
      <c r="BH5587" s="25"/>
      <c r="BI5587" s="25"/>
      <c r="BJ5587" s="25"/>
      <c r="BK5587" s="25"/>
    </row>
    <row r="5588" spans="60:63" ht="14.25" x14ac:dyDescent="0.2">
      <c r="BH5588" s="25"/>
      <c r="BI5588" s="25"/>
      <c r="BJ5588" s="25"/>
      <c r="BK5588" s="25"/>
    </row>
    <row r="5589" spans="60:63" ht="14.25" x14ac:dyDescent="0.2">
      <c r="BH5589" s="25"/>
      <c r="BI5589" s="25"/>
      <c r="BJ5589" s="25"/>
      <c r="BK5589" s="25"/>
    </row>
    <row r="5590" spans="60:63" ht="14.25" x14ac:dyDescent="0.2">
      <c r="BH5590" s="25"/>
      <c r="BI5590" s="25"/>
      <c r="BJ5590" s="25"/>
      <c r="BK5590" s="25"/>
    </row>
    <row r="5591" spans="60:63" ht="14.25" x14ac:dyDescent="0.2">
      <c r="BH5591" s="25"/>
      <c r="BI5591" s="25"/>
      <c r="BJ5591" s="25"/>
      <c r="BK5591" s="25"/>
    </row>
    <row r="5592" spans="60:63" ht="14.25" x14ac:dyDescent="0.2">
      <c r="BH5592" s="25"/>
      <c r="BI5592" s="25"/>
      <c r="BJ5592" s="25"/>
      <c r="BK5592" s="25"/>
    </row>
    <row r="5593" spans="60:63" ht="14.25" x14ac:dyDescent="0.2">
      <c r="BH5593" s="25"/>
      <c r="BI5593" s="25"/>
      <c r="BJ5593" s="25"/>
      <c r="BK5593" s="25"/>
    </row>
    <row r="5594" spans="60:63" ht="14.25" x14ac:dyDescent="0.2">
      <c r="BH5594" s="25"/>
      <c r="BI5594" s="25"/>
      <c r="BJ5594" s="25"/>
      <c r="BK5594" s="25"/>
    </row>
    <row r="5595" spans="60:63" ht="14.25" x14ac:dyDescent="0.2">
      <c r="BH5595" s="25"/>
      <c r="BI5595" s="25"/>
      <c r="BJ5595" s="25"/>
      <c r="BK5595" s="25"/>
    </row>
    <row r="5596" spans="60:63" ht="14.25" x14ac:dyDescent="0.2">
      <c r="BH5596" s="25"/>
      <c r="BI5596" s="25"/>
      <c r="BJ5596" s="25"/>
      <c r="BK5596" s="25"/>
    </row>
    <row r="5597" spans="60:63" ht="14.25" x14ac:dyDescent="0.2">
      <c r="BH5597" s="25"/>
      <c r="BI5597" s="25"/>
      <c r="BJ5597" s="25"/>
      <c r="BK5597" s="25"/>
    </row>
    <row r="5598" spans="60:63" ht="14.25" x14ac:dyDescent="0.2">
      <c r="BH5598" s="25"/>
      <c r="BI5598" s="25"/>
      <c r="BJ5598" s="25"/>
      <c r="BK5598" s="25"/>
    </row>
    <row r="5599" spans="60:63" ht="14.25" x14ac:dyDescent="0.2">
      <c r="BH5599" s="25"/>
      <c r="BI5599" s="25"/>
      <c r="BJ5599" s="25"/>
      <c r="BK5599" s="25"/>
    </row>
    <row r="5600" spans="60:63" ht="14.25" x14ac:dyDescent="0.2">
      <c r="BH5600" s="25"/>
      <c r="BI5600" s="25"/>
      <c r="BJ5600" s="25"/>
      <c r="BK5600" s="25"/>
    </row>
    <row r="5601" spans="60:63" ht="14.25" x14ac:dyDescent="0.2">
      <c r="BH5601" s="25"/>
      <c r="BI5601" s="25"/>
      <c r="BJ5601" s="25"/>
      <c r="BK5601" s="25"/>
    </row>
    <row r="5602" spans="60:63" ht="14.25" x14ac:dyDescent="0.2">
      <c r="BH5602" s="25"/>
      <c r="BI5602" s="25"/>
      <c r="BJ5602" s="25"/>
      <c r="BK5602" s="25"/>
    </row>
    <row r="5603" spans="60:63" ht="14.25" x14ac:dyDescent="0.2">
      <c r="BH5603" s="25"/>
      <c r="BI5603" s="25"/>
      <c r="BJ5603" s="25"/>
      <c r="BK5603" s="25"/>
    </row>
    <row r="5604" spans="60:63" ht="14.25" x14ac:dyDescent="0.2">
      <c r="BH5604" s="25"/>
      <c r="BI5604" s="25"/>
      <c r="BJ5604" s="25"/>
      <c r="BK5604" s="25"/>
    </row>
    <row r="5605" spans="60:63" ht="14.25" x14ac:dyDescent="0.2">
      <c r="BH5605" s="25"/>
      <c r="BI5605" s="25"/>
      <c r="BJ5605" s="25"/>
      <c r="BK5605" s="25"/>
    </row>
    <row r="5606" spans="60:63" ht="14.25" x14ac:dyDescent="0.2">
      <c r="BH5606" s="25"/>
      <c r="BI5606" s="25"/>
      <c r="BJ5606" s="25"/>
      <c r="BK5606" s="25"/>
    </row>
    <row r="5607" spans="60:63" ht="14.25" x14ac:dyDescent="0.2">
      <c r="BH5607" s="25"/>
      <c r="BI5607" s="25"/>
      <c r="BJ5607" s="25"/>
      <c r="BK5607" s="25"/>
    </row>
    <row r="5608" spans="60:63" ht="14.25" x14ac:dyDescent="0.2">
      <c r="BH5608" s="25"/>
      <c r="BI5608" s="25"/>
      <c r="BJ5608" s="25"/>
      <c r="BK5608" s="25"/>
    </row>
    <row r="5609" spans="60:63" ht="14.25" x14ac:dyDescent="0.2">
      <c r="BH5609" s="25"/>
      <c r="BI5609" s="25"/>
      <c r="BJ5609" s="25"/>
      <c r="BK5609" s="25"/>
    </row>
    <row r="5610" spans="60:63" ht="14.25" x14ac:dyDescent="0.2">
      <c r="BH5610" s="25"/>
      <c r="BI5610" s="25"/>
      <c r="BJ5610" s="25"/>
      <c r="BK5610" s="25"/>
    </row>
    <row r="5611" spans="60:63" ht="14.25" x14ac:dyDescent="0.2">
      <c r="BH5611" s="25"/>
      <c r="BI5611" s="25"/>
      <c r="BJ5611" s="25"/>
      <c r="BK5611" s="25"/>
    </row>
    <row r="5612" spans="60:63" ht="14.25" x14ac:dyDescent="0.2">
      <c r="BH5612" s="25"/>
      <c r="BI5612" s="25"/>
      <c r="BJ5612" s="25"/>
      <c r="BK5612" s="25"/>
    </row>
    <row r="5613" spans="60:63" ht="14.25" x14ac:dyDescent="0.2">
      <c r="BH5613" s="25"/>
      <c r="BI5613" s="25"/>
      <c r="BJ5613" s="25"/>
      <c r="BK5613" s="25"/>
    </row>
    <row r="5614" spans="60:63" ht="14.25" x14ac:dyDescent="0.2">
      <c r="BH5614" s="25"/>
      <c r="BI5614" s="25"/>
      <c r="BJ5614" s="25"/>
      <c r="BK5614" s="25"/>
    </row>
    <row r="5615" spans="60:63" ht="14.25" x14ac:dyDescent="0.2">
      <c r="BH5615" s="25"/>
      <c r="BI5615" s="25"/>
      <c r="BJ5615" s="25"/>
      <c r="BK5615" s="25"/>
    </row>
    <row r="5616" spans="60:63" ht="14.25" x14ac:dyDescent="0.2">
      <c r="BH5616" s="25"/>
      <c r="BI5616" s="25"/>
      <c r="BJ5616" s="25"/>
      <c r="BK5616" s="25"/>
    </row>
    <row r="5617" spans="60:63" ht="14.25" x14ac:dyDescent="0.2">
      <c r="BH5617" s="25"/>
      <c r="BI5617" s="25"/>
      <c r="BJ5617" s="25"/>
      <c r="BK5617" s="25"/>
    </row>
    <row r="5618" spans="60:63" ht="14.25" x14ac:dyDescent="0.2">
      <c r="BH5618" s="25"/>
      <c r="BI5618" s="25"/>
      <c r="BJ5618" s="25"/>
      <c r="BK5618" s="25"/>
    </row>
    <row r="5619" spans="60:63" ht="14.25" x14ac:dyDescent="0.2">
      <c r="BH5619" s="25"/>
      <c r="BI5619" s="25"/>
      <c r="BJ5619" s="25"/>
      <c r="BK5619" s="25"/>
    </row>
    <row r="5620" spans="60:63" ht="14.25" x14ac:dyDescent="0.2">
      <c r="BH5620" s="25"/>
      <c r="BI5620" s="25"/>
      <c r="BJ5620" s="25"/>
      <c r="BK5620" s="25"/>
    </row>
    <row r="5621" spans="60:63" ht="14.25" x14ac:dyDescent="0.2">
      <c r="BH5621" s="25"/>
      <c r="BI5621" s="25"/>
      <c r="BJ5621" s="25"/>
      <c r="BK5621" s="25"/>
    </row>
    <row r="5622" spans="60:63" ht="14.25" x14ac:dyDescent="0.2">
      <c r="BH5622" s="25"/>
      <c r="BI5622" s="25"/>
      <c r="BJ5622" s="25"/>
      <c r="BK5622" s="25"/>
    </row>
    <row r="5623" spans="60:63" ht="14.25" x14ac:dyDescent="0.2">
      <c r="BH5623" s="25"/>
      <c r="BI5623" s="25"/>
      <c r="BJ5623" s="25"/>
      <c r="BK5623" s="25"/>
    </row>
    <row r="5624" spans="60:63" ht="14.25" x14ac:dyDescent="0.2">
      <c r="BH5624" s="25"/>
      <c r="BI5624" s="25"/>
      <c r="BJ5624" s="25"/>
      <c r="BK5624" s="25"/>
    </row>
    <row r="5625" spans="60:63" ht="14.25" x14ac:dyDescent="0.2">
      <c r="BH5625" s="25"/>
      <c r="BI5625" s="25"/>
      <c r="BJ5625" s="25"/>
      <c r="BK5625" s="25"/>
    </row>
    <row r="5626" spans="60:63" ht="14.25" x14ac:dyDescent="0.2">
      <c r="BH5626" s="25"/>
      <c r="BI5626" s="25"/>
      <c r="BJ5626" s="25"/>
      <c r="BK5626" s="25"/>
    </row>
    <row r="5627" spans="60:63" ht="14.25" x14ac:dyDescent="0.2">
      <c r="BH5627" s="25"/>
      <c r="BI5627" s="25"/>
      <c r="BJ5627" s="25"/>
      <c r="BK5627" s="25"/>
    </row>
    <row r="5628" spans="60:63" ht="14.25" x14ac:dyDescent="0.2">
      <c r="BH5628" s="25"/>
      <c r="BI5628" s="25"/>
      <c r="BJ5628" s="25"/>
      <c r="BK5628" s="25"/>
    </row>
    <row r="5629" spans="60:63" ht="14.25" x14ac:dyDescent="0.2">
      <c r="BH5629" s="25"/>
      <c r="BI5629" s="25"/>
      <c r="BJ5629" s="25"/>
      <c r="BK5629" s="25"/>
    </row>
    <row r="5630" spans="60:63" ht="14.25" x14ac:dyDescent="0.2">
      <c r="BH5630" s="25"/>
      <c r="BI5630" s="25"/>
      <c r="BJ5630" s="25"/>
      <c r="BK5630" s="25"/>
    </row>
    <row r="5631" spans="60:63" ht="14.25" x14ac:dyDescent="0.2">
      <c r="BH5631" s="25"/>
      <c r="BI5631" s="25"/>
      <c r="BJ5631" s="25"/>
      <c r="BK5631" s="25"/>
    </row>
    <row r="5632" spans="60:63" ht="14.25" x14ac:dyDescent="0.2">
      <c r="BH5632" s="25"/>
      <c r="BI5632" s="25"/>
      <c r="BJ5632" s="25"/>
      <c r="BK5632" s="25"/>
    </row>
    <row r="5633" spans="60:63" ht="14.25" x14ac:dyDescent="0.2">
      <c r="BH5633" s="25"/>
      <c r="BI5633" s="25"/>
      <c r="BJ5633" s="25"/>
      <c r="BK5633" s="25"/>
    </row>
    <row r="5634" spans="60:63" ht="14.25" x14ac:dyDescent="0.2">
      <c r="BH5634" s="25"/>
      <c r="BI5634" s="25"/>
      <c r="BJ5634" s="25"/>
      <c r="BK5634" s="25"/>
    </row>
    <row r="5635" spans="60:63" ht="14.25" x14ac:dyDescent="0.2">
      <c r="BH5635" s="25"/>
      <c r="BI5635" s="25"/>
      <c r="BJ5635" s="25"/>
      <c r="BK5635" s="25"/>
    </row>
    <row r="5636" spans="60:63" ht="14.25" x14ac:dyDescent="0.2">
      <c r="BH5636" s="25"/>
      <c r="BI5636" s="25"/>
      <c r="BJ5636" s="25"/>
      <c r="BK5636" s="25"/>
    </row>
    <row r="5637" spans="60:63" ht="14.25" x14ac:dyDescent="0.2">
      <c r="BH5637" s="25"/>
      <c r="BI5637" s="25"/>
      <c r="BJ5637" s="25"/>
      <c r="BK5637" s="25"/>
    </row>
    <row r="5638" spans="60:63" ht="14.25" x14ac:dyDescent="0.2">
      <c r="BH5638" s="25"/>
      <c r="BI5638" s="25"/>
      <c r="BJ5638" s="25"/>
      <c r="BK5638" s="25"/>
    </row>
    <row r="5639" spans="60:63" ht="14.25" x14ac:dyDescent="0.2">
      <c r="BH5639" s="25"/>
      <c r="BI5639" s="25"/>
      <c r="BJ5639" s="25"/>
      <c r="BK5639" s="25"/>
    </row>
    <row r="5640" spans="60:63" ht="14.25" x14ac:dyDescent="0.2">
      <c r="BH5640" s="25"/>
      <c r="BI5640" s="25"/>
      <c r="BJ5640" s="25"/>
      <c r="BK5640" s="25"/>
    </row>
    <row r="5641" spans="60:63" ht="14.25" x14ac:dyDescent="0.2">
      <c r="BH5641" s="25"/>
      <c r="BI5641" s="25"/>
      <c r="BJ5641" s="25"/>
      <c r="BK5641" s="25"/>
    </row>
    <row r="5642" spans="60:63" ht="14.25" x14ac:dyDescent="0.2">
      <c r="BH5642" s="25"/>
      <c r="BI5642" s="25"/>
      <c r="BJ5642" s="25"/>
      <c r="BK5642" s="25"/>
    </row>
    <row r="5643" spans="60:63" ht="14.25" x14ac:dyDescent="0.2">
      <c r="BH5643" s="25"/>
      <c r="BI5643" s="25"/>
      <c r="BJ5643" s="25"/>
      <c r="BK5643" s="25"/>
    </row>
    <row r="5644" spans="60:63" ht="14.25" x14ac:dyDescent="0.2">
      <c r="BH5644" s="25"/>
      <c r="BI5644" s="25"/>
      <c r="BJ5644" s="25"/>
      <c r="BK5644" s="25"/>
    </row>
    <row r="5645" spans="60:63" ht="14.25" x14ac:dyDescent="0.2">
      <c r="BH5645" s="25"/>
      <c r="BI5645" s="25"/>
      <c r="BJ5645" s="25"/>
      <c r="BK5645" s="25"/>
    </row>
    <row r="5646" spans="60:63" ht="14.25" x14ac:dyDescent="0.2">
      <c r="BH5646" s="25"/>
      <c r="BI5646" s="25"/>
      <c r="BJ5646" s="25"/>
      <c r="BK5646" s="25"/>
    </row>
    <row r="5647" spans="60:63" ht="14.25" x14ac:dyDescent="0.2">
      <c r="BH5647" s="25"/>
      <c r="BI5647" s="25"/>
      <c r="BJ5647" s="25"/>
      <c r="BK5647" s="25"/>
    </row>
    <row r="5648" spans="60:63" ht="14.25" x14ac:dyDescent="0.2">
      <c r="BH5648" s="25"/>
      <c r="BI5648" s="25"/>
      <c r="BJ5648" s="25"/>
      <c r="BK5648" s="25"/>
    </row>
    <row r="5649" spans="60:63" ht="14.25" x14ac:dyDescent="0.2">
      <c r="BH5649" s="25"/>
      <c r="BI5649" s="25"/>
      <c r="BJ5649" s="25"/>
      <c r="BK5649" s="25"/>
    </row>
    <row r="5650" spans="60:63" ht="14.25" x14ac:dyDescent="0.2">
      <c r="BH5650" s="25"/>
      <c r="BI5650" s="25"/>
      <c r="BJ5650" s="25"/>
      <c r="BK5650" s="25"/>
    </row>
    <row r="5651" spans="60:63" ht="14.25" x14ac:dyDescent="0.2">
      <c r="BH5651" s="25"/>
      <c r="BI5651" s="25"/>
      <c r="BJ5651" s="25"/>
      <c r="BK5651" s="25"/>
    </row>
    <row r="5652" spans="60:63" ht="14.25" x14ac:dyDescent="0.2">
      <c r="BH5652" s="25"/>
      <c r="BI5652" s="25"/>
      <c r="BJ5652" s="25"/>
      <c r="BK5652" s="25"/>
    </row>
    <row r="5653" spans="60:63" ht="14.25" x14ac:dyDescent="0.2">
      <c r="BH5653" s="25"/>
      <c r="BI5653" s="25"/>
      <c r="BJ5653" s="25"/>
      <c r="BK5653" s="25"/>
    </row>
    <row r="5654" spans="60:63" ht="14.25" x14ac:dyDescent="0.2">
      <c r="BH5654" s="25"/>
      <c r="BI5654" s="25"/>
      <c r="BJ5654" s="25"/>
      <c r="BK5654" s="25"/>
    </row>
    <row r="5655" spans="60:63" ht="14.25" x14ac:dyDescent="0.2">
      <c r="BH5655" s="25"/>
      <c r="BI5655" s="25"/>
      <c r="BJ5655" s="25"/>
      <c r="BK5655" s="25"/>
    </row>
    <row r="5656" spans="60:63" ht="14.25" x14ac:dyDescent="0.2">
      <c r="BH5656" s="25"/>
      <c r="BI5656" s="25"/>
      <c r="BJ5656" s="25"/>
      <c r="BK5656" s="25"/>
    </row>
    <row r="5657" spans="60:63" ht="14.25" x14ac:dyDescent="0.2">
      <c r="BH5657" s="25"/>
      <c r="BI5657" s="25"/>
      <c r="BJ5657" s="25"/>
      <c r="BK5657" s="25"/>
    </row>
    <row r="5658" spans="60:63" ht="14.25" x14ac:dyDescent="0.2">
      <c r="BH5658" s="25"/>
      <c r="BI5658" s="25"/>
      <c r="BJ5658" s="25"/>
      <c r="BK5658" s="25"/>
    </row>
    <row r="5659" spans="60:63" ht="14.25" x14ac:dyDescent="0.2">
      <c r="BH5659" s="25"/>
      <c r="BI5659" s="25"/>
      <c r="BJ5659" s="25"/>
      <c r="BK5659" s="25"/>
    </row>
    <row r="5660" spans="60:63" ht="14.25" x14ac:dyDescent="0.2">
      <c r="BH5660" s="25"/>
      <c r="BI5660" s="25"/>
      <c r="BJ5660" s="25"/>
      <c r="BK5660" s="25"/>
    </row>
    <row r="5661" spans="60:63" ht="14.25" x14ac:dyDescent="0.2">
      <c r="BH5661" s="25"/>
      <c r="BI5661" s="25"/>
      <c r="BJ5661" s="25"/>
      <c r="BK5661" s="25"/>
    </row>
    <row r="5662" spans="60:63" ht="14.25" x14ac:dyDescent="0.2">
      <c r="BH5662" s="25"/>
      <c r="BI5662" s="25"/>
      <c r="BJ5662" s="25"/>
      <c r="BK5662" s="25"/>
    </row>
    <row r="5663" spans="60:63" ht="14.25" x14ac:dyDescent="0.2">
      <c r="BH5663" s="25"/>
      <c r="BI5663" s="25"/>
      <c r="BJ5663" s="25"/>
      <c r="BK5663" s="25"/>
    </row>
    <row r="5664" spans="60:63" ht="14.25" x14ac:dyDescent="0.2">
      <c r="BH5664" s="25"/>
      <c r="BI5664" s="25"/>
      <c r="BJ5664" s="25"/>
      <c r="BK5664" s="25"/>
    </row>
    <row r="5665" spans="60:63" ht="14.25" x14ac:dyDescent="0.2">
      <c r="BH5665" s="25"/>
      <c r="BI5665" s="25"/>
      <c r="BJ5665" s="25"/>
      <c r="BK5665" s="25"/>
    </row>
    <row r="5666" spans="60:63" ht="14.25" x14ac:dyDescent="0.2">
      <c r="BH5666" s="25"/>
      <c r="BI5666" s="25"/>
      <c r="BJ5666" s="25"/>
      <c r="BK5666" s="25"/>
    </row>
    <row r="5667" spans="60:63" ht="14.25" x14ac:dyDescent="0.2">
      <c r="BH5667" s="25"/>
      <c r="BI5667" s="25"/>
      <c r="BJ5667" s="25"/>
      <c r="BK5667" s="25"/>
    </row>
    <row r="5668" spans="60:63" ht="14.25" x14ac:dyDescent="0.2">
      <c r="BH5668" s="25"/>
      <c r="BI5668" s="25"/>
      <c r="BJ5668" s="25"/>
      <c r="BK5668" s="25"/>
    </row>
    <row r="5669" spans="60:63" ht="14.25" x14ac:dyDescent="0.2">
      <c r="BH5669" s="25"/>
      <c r="BI5669" s="25"/>
      <c r="BJ5669" s="25"/>
      <c r="BK5669" s="25"/>
    </row>
    <row r="5670" spans="60:63" ht="14.25" x14ac:dyDescent="0.2">
      <c r="BH5670" s="25"/>
      <c r="BI5670" s="25"/>
      <c r="BJ5670" s="25"/>
      <c r="BK5670" s="25"/>
    </row>
    <row r="5671" spans="60:63" ht="14.25" x14ac:dyDescent="0.2">
      <c r="BH5671" s="25"/>
      <c r="BI5671" s="25"/>
      <c r="BJ5671" s="25"/>
      <c r="BK5671" s="25"/>
    </row>
    <row r="5672" spans="60:63" ht="14.25" x14ac:dyDescent="0.2">
      <c r="BH5672" s="25"/>
      <c r="BI5672" s="25"/>
      <c r="BJ5672" s="25"/>
      <c r="BK5672" s="25"/>
    </row>
    <row r="5673" spans="60:63" ht="14.25" x14ac:dyDescent="0.2">
      <c r="BH5673" s="25"/>
      <c r="BI5673" s="25"/>
      <c r="BJ5673" s="25"/>
      <c r="BK5673" s="25"/>
    </row>
    <row r="5674" spans="60:63" ht="14.25" x14ac:dyDescent="0.2">
      <c r="BH5674" s="25"/>
      <c r="BI5674" s="25"/>
      <c r="BJ5674" s="25"/>
      <c r="BK5674" s="25"/>
    </row>
    <row r="5675" spans="60:63" ht="14.25" x14ac:dyDescent="0.2">
      <c r="BH5675" s="25"/>
      <c r="BI5675" s="25"/>
      <c r="BJ5675" s="25"/>
      <c r="BK5675" s="25"/>
    </row>
    <row r="5676" spans="60:63" ht="14.25" x14ac:dyDescent="0.2">
      <c r="BH5676" s="25"/>
      <c r="BI5676" s="25"/>
      <c r="BJ5676" s="25"/>
      <c r="BK5676" s="25"/>
    </row>
    <row r="5677" spans="60:63" ht="14.25" x14ac:dyDescent="0.2">
      <c r="BH5677" s="25"/>
      <c r="BI5677" s="25"/>
      <c r="BJ5677" s="25"/>
      <c r="BK5677" s="25"/>
    </row>
    <row r="5678" spans="60:63" ht="14.25" x14ac:dyDescent="0.2">
      <c r="BH5678" s="25"/>
      <c r="BI5678" s="25"/>
      <c r="BJ5678" s="25"/>
      <c r="BK5678" s="25"/>
    </row>
    <row r="5679" spans="60:63" ht="14.25" x14ac:dyDescent="0.2">
      <c r="BH5679" s="25"/>
      <c r="BI5679" s="25"/>
      <c r="BJ5679" s="25"/>
      <c r="BK5679" s="25"/>
    </row>
    <row r="5680" spans="60:63" ht="14.25" x14ac:dyDescent="0.2">
      <c r="BH5680" s="25"/>
      <c r="BI5680" s="25"/>
      <c r="BJ5680" s="25"/>
      <c r="BK5680" s="25"/>
    </row>
    <row r="5681" spans="60:63" ht="14.25" x14ac:dyDescent="0.2">
      <c r="BH5681" s="25"/>
      <c r="BI5681" s="25"/>
      <c r="BJ5681" s="25"/>
      <c r="BK5681" s="25"/>
    </row>
    <row r="5682" spans="60:63" ht="14.25" x14ac:dyDescent="0.2">
      <c r="BH5682" s="25"/>
      <c r="BI5682" s="25"/>
      <c r="BJ5682" s="25"/>
      <c r="BK5682" s="25"/>
    </row>
    <row r="5683" spans="60:63" ht="14.25" x14ac:dyDescent="0.2">
      <c r="BH5683" s="25"/>
      <c r="BI5683" s="25"/>
      <c r="BJ5683" s="25"/>
      <c r="BK5683" s="25"/>
    </row>
    <row r="5684" spans="60:63" ht="14.25" x14ac:dyDescent="0.2">
      <c r="BH5684" s="25"/>
      <c r="BI5684" s="25"/>
      <c r="BJ5684" s="25"/>
      <c r="BK5684" s="25"/>
    </row>
    <row r="5685" spans="60:63" ht="14.25" x14ac:dyDescent="0.2">
      <c r="BH5685" s="25"/>
      <c r="BI5685" s="25"/>
      <c r="BJ5685" s="25"/>
      <c r="BK5685" s="25"/>
    </row>
    <row r="5686" spans="60:63" ht="14.25" x14ac:dyDescent="0.2">
      <c r="BH5686" s="25"/>
      <c r="BI5686" s="25"/>
      <c r="BJ5686" s="25"/>
      <c r="BK5686" s="25"/>
    </row>
    <row r="5687" spans="60:63" ht="14.25" x14ac:dyDescent="0.2">
      <c r="BH5687" s="25"/>
      <c r="BI5687" s="25"/>
      <c r="BJ5687" s="25"/>
      <c r="BK5687" s="25"/>
    </row>
    <row r="5688" spans="60:63" ht="14.25" x14ac:dyDescent="0.2">
      <c r="BH5688" s="25"/>
      <c r="BI5688" s="25"/>
      <c r="BJ5688" s="25"/>
      <c r="BK5688" s="25"/>
    </row>
    <row r="5689" spans="60:63" ht="14.25" x14ac:dyDescent="0.2">
      <c r="BH5689" s="25"/>
      <c r="BI5689" s="25"/>
      <c r="BJ5689" s="25"/>
      <c r="BK5689" s="25"/>
    </row>
    <row r="5690" spans="60:63" ht="14.25" x14ac:dyDescent="0.2">
      <c r="BH5690" s="25"/>
      <c r="BI5690" s="25"/>
      <c r="BJ5690" s="25"/>
      <c r="BK5690" s="25"/>
    </row>
    <row r="5691" spans="60:63" ht="14.25" x14ac:dyDescent="0.2">
      <c r="BH5691" s="25"/>
      <c r="BI5691" s="25"/>
      <c r="BJ5691" s="25"/>
      <c r="BK5691" s="25"/>
    </row>
    <row r="5692" spans="60:63" ht="14.25" x14ac:dyDescent="0.2">
      <c r="BH5692" s="25"/>
      <c r="BI5692" s="25"/>
      <c r="BJ5692" s="25"/>
      <c r="BK5692" s="25"/>
    </row>
    <row r="5693" spans="60:63" ht="14.25" x14ac:dyDescent="0.2">
      <c r="BH5693" s="25"/>
      <c r="BI5693" s="25"/>
      <c r="BJ5693" s="25"/>
      <c r="BK5693" s="25"/>
    </row>
    <row r="5694" spans="60:63" ht="14.25" x14ac:dyDescent="0.2">
      <c r="BH5694" s="25"/>
      <c r="BI5694" s="25"/>
      <c r="BJ5694" s="25"/>
      <c r="BK5694" s="25"/>
    </row>
    <row r="5695" spans="60:63" ht="14.25" x14ac:dyDescent="0.2">
      <c r="BH5695" s="25"/>
      <c r="BI5695" s="25"/>
      <c r="BJ5695" s="25"/>
      <c r="BK5695" s="25"/>
    </row>
    <row r="5696" spans="60:63" ht="14.25" x14ac:dyDescent="0.2">
      <c r="BH5696" s="25"/>
      <c r="BI5696" s="25"/>
      <c r="BJ5696" s="25"/>
      <c r="BK5696" s="25"/>
    </row>
    <row r="5697" spans="60:63" ht="14.25" x14ac:dyDescent="0.2">
      <c r="BH5697" s="25"/>
      <c r="BI5697" s="25"/>
      <c r="BJ5697" s="25"/>
      <c r="BK5697" s="25"/>
    </row>
    <row r="5698" spans="60:63" ht="14.25" x14ac:dyDescent="0.2">
      <c r="BH5698" s="25"/>
      <c r="BI5698" s="25"/>
      <c r="BJ5698" s="25"/>
      <c r="BK5698" s="25"/>
    </row>
    <row r="5699" spans="60:63" ht="14.25" x14ac:dyDescent="0.2">
      <c r="BH5699" s="25"/>
      <c r="BI5699" s="25"/>
      <c r="BJ5699" s="25"/>
      <c r="BK5699" s="25"/>
    </row>
    <row r="5700" spans="60:63" ht="14.25" x14ac:dyDescent="0.2">
      <c r="BH5700" s="25"/>
      <c r="BI5700" s="25"/>
      <c r="BJ5700" s="25"/>
      <c r="BK5700" s="25"/>
    </row>
    <row r="5701" spans="60:63" ht="14.25" x14ac:dyDescent="0.2">
      <c r="BH5701" s="25"/>
      <c r="BI5701" s="25"/>
      <c r="BJ5701" s="25"/>
      <c r="BK5701" s="25"/>
    </row>
    <row r="5702" spans="60:63" ht="14.25" x14ac:dyDescent="0.2">
      <c r="BH5702" s="25"/>
      <c r="BI5702" s="25"/>
      <c r="BJ5702" s="25"/>
      <c r="BK5702" s="25"/>
    </row>
    <row r="5703" spans="60:63" ht="14.25" x14ac:dyDescent="0.2">
      <c r="BH5703" s="25"/>
      <c r="BI5703" s="25"/>
      <c r="BJ5703" s="25"/>
      <c r="BK5703" s="25"/>
    </row>
    <row r="5704" spans="60:63" ht="14.25" x14ac:dyDescent="0.2">
      <c r="BH5704" s="25"/>
      <c r="BI5704" s="25"/>
      <c r="BJ5704" s="25"/>
      <c r="BK5704" s="25"/>
    </row>
    <row r="5705" spans="60:63" ht="14.25" x14ac:dyDescent="0.2">
      <c r="BH5705" s="25"/>
      <c r="BI5705" s="25"/>
      <c r="BJ5705" s="25"/>
      <c r="BK5705" s="25"/>
    </row>
    <row r="5706" spans="60:63" ht="14.25" x14ac:dyDescent="0.2">
      <c r="BH5706" s="25"/>
      <c r="BI5706" s="25"/>
      <c r="BJ5706" s="25"/>
      <c r="BK5706" s="25"/>
    </row>
    <row r="5707" spans="60:63" ht="14.25" x14ac:dyDescent="0.2">
      <c r="BH5707" s="25"/>
      <c r="BI5707" s="25"/>
      <c r="BJ5707" s="25"/>
      <c r="BK5707" s="25"/>
    </row>
    <row r="5708" spans="60:63" ht="14.25" x14ac:dyDescent="0.2">
      <c r="BH5708" s="25"/>
      <c r="BI5708" s="25"/>
      <c r="BJ5708" s="25"/>
      <c r="BK5708" s="25"/>
    </row>
    <row r="5709" spans="60:63" ht="14.25" x14ac:dyDescent="0.2">
      <c r="BH5709" s="25"/>
      <c r="BI5709" s="25"/>
      <c r="BJ5709" s="25"/>
      <c r="BK5709" s="25"/>
    </row>
    <row r="5710" spans="60:63" ht="14.25" x14ac:dyDescent="0.2">
      <c r="BH5710" s="25"/>
      <c r="BI5710" s="25"/>
      <c r="BJ5710" s="25"/>
      <c r="BK5710" s="25"/>
    </row>
    <row r="5711" spans="60:63" ht="14.25" x14ac:dyDescent="0.2">
      <c r="BH5711" s="25"/>
      <c r="BI5711" s="25"/>
      <c r="BJ5711" s="25"/>
      <c r="BK5711" s="25"/>
    </row>
    <row r="5712" spans="60:63" ht="14.25" x14ac:dyDescent="0.2">
      <c r="BH5712" s="25"/>
      <c r="BI5712" s="25"/>
      <c r="BJ5712" s="25"/>
      <c r="BK5712" s="25"/>
    </row>
    <row r="5713" spans="60:63" ht="14.25" x14ac:dyDescent="0.2">
      <c r="BH5713" s="25"/>
      <c r="BI5713" s="25"/>
      <c r="BJ5713" s="25"/>
      <c r="BK5713" s="25"/>
    </row>
    <row r="5714" spans="60:63" ht="14.25" x14ac:dyDescent="0.2">
      <c r="BH5714" s="25"/>
      <c r="BI5714" s="25"/>
      <c r="BJ5714" s="25"/>
      <c r="BK5714" s="25"/>
    </row>
    <row r="5715" spans="60:63" ht="14.25" x14ac:dyDescent="0.2">
      <c r="BH5715" s="25"/>
      <c r="BI5715" s="25"/>
      <c r="BJ5715" s="25"/>
      <c r="BK5715" s="25"/>
    </row>
    <row r="5716" spans="60:63" ht="14.25" x14ac:dyDescent="0.2">
      <c r="BH5716" s="25"/>
      <c r="BI5716" s="25"/>
      <c r="BJ5716" s="25"/>
      <c r="BK5716" s="25"/>
    </row>
    <row r="5717" spans="60:63" ht="14.25" x14ac:dyDescent="0.2">
      <c r="BH5717" s="25"/>
      <c r="BI5717" s="25"/>
      <c r="BJ5717" s="25"/>
      <c r="BK5717" s="25"/>
    </row>
    <row r="5718" spans="60:63" ht="14.25" x14ac:dyDescent="0.2">
      <c r="BH5718" s="25"/>
      <c r="BI5718" s="25"/>
      <c r="BJ5718" s="25"/>
      <c r="BK5718" s="25"/>
    </row>
    <row r="5719" spans="60:63" ht="14.25" x14ac:dyDescent="0.2">
      <c r="BH5719" s="25"/>
      <c r="BI5719" s="25"/>
      <c r="BJ5719" s="25"/>
      <c r="BK5719" s="25"/>
    </row>
    <row r="5720" spans="60:63" ht="14.25" x14ac:dyDescent="0.2">
      <c r="BH5720" s="25"/>
      <c r="BI5720" s="25"/>
      <c r="BJ5720" s="25"/>
      <c r="BK5720" s="25"/>
    </row>
    <row r="5721" spans="60:63" ht="14.25" x14ac:dyDescent="0.2">
      <c r="BH5721" s="25"/>
      <c r="BI5721" s="25"/>
      <c r="BJ5721" s="25"/>
      <c r="BK5721" s="25"/>
    </row>
    <row r="5722" spans="60:63" ht="14.25" x14ac:dyDescent="0.2">
      <c r="BH5722" s="25"/>
      <c r="BI5722" s="25"/>
      <c r="BJ5722" s="25"/>
      <c r="BK5722" s="25"/>
    </row>
    <row r="5723" spans="60:63" ht="14.25" x14ac:dyDescent="0.2">
      <c r="BH5723" s="25"/>
      <c r="BI5723" s="25"/>
      <c r="BJ5723" s="25"/>
      <c r="BK5723" s="25"/>
    </row>
    <row r="5724" spans="60:63" ht="14.25" x14ac:dyDescent="0.2">
      <c r="BH5724" s="25"/>
      <c r="BI5724" s="25"/>
      <c r="BJ5724" s="25"/>
      <c r="BK5724" s="25"/>
    </row>
    <row r="5725" spans="60:63" ht="14.25" x14ac:dyDescent="0.2">
      <c r="BH5725" s="25"/>
      <c r="BI5725" s="25"/>
      <c r="BJ5725" s="25"/>
      <c r="BK5725" s="25"/>
    </row>
    <row r="5726" spans="60:63" ht="14.25" x14ac:dyDescent="0.2">
      <c r="BH5726" s="25"/>
      <c r="BI5726" s="25"/>
      <c r="BJ5726" s="25"/>
      <c r="BK5726" s="25"/>
    </row>
    <row r="5727" spans="60:63" ht="14.25" x14ac:dyDescent="0.2">
      <c r="BH5727" s="25"/>
      <c r="BI5727" s="25"/>
      <c r="BJ5727" s="25"/>
      <c r="BK5727" s="25"/>
    </row>
    <row r="5728" spans="60:63" ht="14.25" x14ac:dyDescent="0.2">
      <c r="BH5728" s="25"/>
      <c r="BI5728" s="25"/>
      <c r="BJ5728" s="25"/>
      <c r="BK5728" s="25"/>
    </row>
    <row r="5729" spans="60:63" ht="14.25" x14ac:dyDescent="0.2">
      <c r="BH5729" s="25"/>
      <c r="BI5729" s="25"/>
      <c r="BJ5729" s="25"/>
      <c r="BK5729" s="25"/>
    </row>
    <row r="5730" spans="60:63" ht="14.25" x14ac:dyDescent="0.2">
      <c r="BH5730" s="25"/>
      <c r="BI5730" s="25"/>
      <c r="BJ5730" s="25"/>
      <c r="BK5730" s="25"/>
    </row>
    <row r="5731" spans="60:63" ht="14.25" x14ac:dyDescent="0.2">
      <c r="BH5731" s="25"/>
      <c r="BI5731" s="25"/>
      <c r="BJ5731" s="25"/>
      <c r="BK5731" s="25"/>
    </row>
    <row r="5732" spans="60:63" ht="14.25" x14ac:dyDescent="0.2">
      <c r="BH5732" s="25"/>
      <c r="BI5732" s="25"/>
      <c r="BJ5732" s="25"/>
      <c r="BK5732" s="25"/>
    </row>
    <row r="5733" spans="60:63" ht="14.25" x14ac:dyDescent="0.2">
      <c r="BH5733" s="25"/>
      <c r="BI5733" s="25"/>
      <c r="BJ5733" s="25"/>
      <c r="BK5733" s="25"/>
    </row>
    <row r="5734" spans="60:63" ht="14.25" x14ac:dyDescent="0.2">
      <c r="BH5734" s="25"/>
      <c r="BI5734" s="25"/>
      <c r="BJ5734" s="25"/>
      <c r="BK5734" s="25"/>
    </row>
    <row r="5735" spans="60:63" ht="14.25" x14ac:dyDescent="0.2">
      <c r="BH5735" s="25"/>
      <c r="BI5735" s="25"/>
      <c r="BJ5735" s="25"/>
      <c r="BK5735" s="25"/>
    </row>
    <row r="5736" spans="60:63" ht="14.25" x14ac:dyDescent="0.2">
      <c r="BH5736" s="25"/>
      <c r="BI5736" s="25"/>
      <c r="BJ5736" s="25"/>
      <c r="BK5736" s="25"/>
    </row>
    <row r="5737" spans="60:63" ht="14.25" x14ac:dyDescent="0.2">
      <c r="BH5737" s="25"/>
      <c r="BI5737" s="25"/>
      <c r="BJ5737" s="25"/>
      <c r="BK5737" s="25"/>
    </row>
    <row r="5738" spans="60:63" ht="14.25" x14ac:dyDescent="0.2">
      <c r="BH5738" s="25"/>
      <c r="BI5738" s="25"/>
      <c r="BJ5738" s="25"/>
      <c r="BK5738" s="25"/>
    </row>
    <row r="5739" spans="60:63" ht="14.25" x14ac:dyDescent="0.2">
      <c r="BH5739" s="25"/>
      <c r="BI5739" s="25"/>
      <c r="BJ5739" s="25"/>
      <c r="BK5739" s="25"/>
    </row>
    <row r="5740" spans="60:63" ht="14.25" x14ac:dyDescent="0.2">
      <c r="BH5740" s="25"/>
      <c r="BI5740" s="25"/>
      <c r="BJ5740" s="25"/>
      <c r="BK5740" s="25"/>
    </row>
    <row r="5741" spans="60:63" ht="14.25" x14ac:dyDescent="0.2">
      <c r="BH5741" s="25"/>
      <c r="BI5741" s="25"/>
      <c r="BJ5741" s="25"/>
      <c r="BK5741" s="25"/>
    </row>
    <row r="5742" spans="60:63" ht="14.25" x14ac:dyDescent="0.2">
      <c r="BH5742" s="25"/>
      <c r="BI5742" s="25"/>
      <c r="BJ5742" s="25"/>
      <c r="BK5742" s="25"/>
    </row>
    <row r="5743" spans="60:63" ht="14.25" x14ac:dyDescent="0.2">
      <c r="BH5743" s="25"/>
      <c r="BI5743" s="25"/>
      <c r="BJ5743" s="25"/>
      <c r="BK5743" s="25"/>
    </row>
    <row r="5744" spans="60:63" ht="14.25" x14ac:dyDescent="0.2">
      <c r="BH5744" s="25"/>
      <c r="BI5744" s="25"/>
      <c r="BJ5744" s="25"/>
      <c r="BK5744" s="25"/>
    </row>
    <row r="5745" spans="60:63" ht="14.25" x14ac:dyDescent="0.2">
      <c r="BH5745" s="25"/>
      <c r="BI5745" s="25"/>
      <c r="BJ5745" s="25"/>
      <c r="BK5745" s="25"/>
    </row>
    <row r="5746" spans="60:63" ht="14.25" x14ac:dyDescent="0.2">
      <c r="BH5746" s="25"/>
      <c r="BI5746" s="25"/>
      <c r="BJ5746" s="25"/>
      <c r="BK5746" s="25"/>
    </row>
    <row r="5747" spans="60:63" ht="14.25" x14ac:dyDescent="0.2">
      <c r="BH5747" s="25"/>
      <c r="BI5747" s="25"/>
      <c r="BJ5747" s="25"/>
      <c r="BK5747" s="25"/>
    </row>
    <row r="5748" spans="60:63" ht="14.25" x14ac:dyDescent="0.2">
      <c r="BH5748" s="25"/>
      <c r="BI5748" s="25"/>
      <c r="BJ5748" s="25"/>
      <c r="BK5748" s="25"/>
    </row>
    <row r="5749" spans="60:63" ht="14.25" x14ac:dyDescent="0.2">
      <c r="BH5749" s="25"/>
      <c r="BI5749" s="25"/>
      <c r="BJ5749" s="25"/>
      <c r="BK5749" s="25"/>
    </row>
    <row r="5750" spans="60:63" ht="14.25" x14ac:dyDescent="0.2">
      <c r="BH5750" s="25"/>
      <c r="BI5750" s="25"/>
      <c r="BJ5750" s="25"/>
      <c r="BK5750" s="25"/>
    </row>
    <row r="5751" spans="60:63" ht="14.25" x14ac:dyDescent="0.2">
      <c r="BH5751" s="25"/>
      <c r="BI5751" s="25"/>
      <c r="BJ5751" s="25"/>
      <c r="BK5751" s="25"/>
    </row>
    <row r="5752" spans="60:63" ht="14.25" x14ac:dyDescent="0.2">
      <c r="BH5752" s="25"/>
      <c r="BI5752" s="25"/>
      <c r="BJ5752" s="25"/>
      <c r="BK5752" s="25"/>
    </row>
    <row r="5753" spans="60:63" ht="14.25" x14ac:dyDescent="0.2">
      <c r="BH5753" s="25"/>
      <c r="BI5753" s="25"/>
      <c r="BJ5753" s="25"/>
      <c r="BK5753" s="25"/>
    </row>
    <row r="5754" spans="60:63" ht="14.25" x14ac:dyDescent="0.2">
      <c r="BH5754" s="25"/>
      <c r="BI5754" s="25"/>
      <c r="BJ5754" s="25"/>
      <c r="BK5754" s="25"/>
    </row>
    <row r="5755" spans="60:63" ht="14.25" x14ac:dyDescent="0.2">
      <c r="BH5755" s="25"/>
      <c r="BI5755" s="25"/>
      <c r="BJ5755" s="25"/>
      <c r="BK5755" s="25"/>
    </row>
    <row r="5756" spans="60:63" ht="14.25" x14ac:dyDescent="0.2">
      <c r="BH5756" s="25"/>
      <c r="BI5756" s="25"/>
      <c r="BJ5756" s="25"/>
      <c r="BK5756" s="25"/>
    </row>
    <row r="5757" spans="60:63" ht="14.25" x14ac:dyDescent="0.2">
      <c r="BH5757" s="25"/>
      <c r="BI5757" s="25"/>
      <c r="BJ5757" s="25"/>
      <c r="BK5757" s="25"/>
    </row>
    <row r="5758" spans="60:63" ht="14.25" x14ac:dyDescent="0.2">
      <c r="BH5758" s="25"/>
      <c r="BI5758" s="25"/>
      <c r="BJ5758" s="25"/>
      <c r="BK5758" s="25"/>
    </row>
    <row r="5759" spans="60:63" ht="14.25" x14ac:dyDescent="0.2">
      <c r="BH5759" s="25"/>
      <c r="BI5759" s="25"/>
      <c r="BJ5759" s="25"/>
      <c r="BK5759" s="25"/>
    </row>
    <row r="5760" spans="60:63" ht="14.25" x14ac:dyDescent="0.2">
      <c r="BH5760" s="25"/>
      <c r="BI5760" s="25"/>
      <c r="BJ5760" s="25"/>
      <c r="BK5760" s="25"/>
    </row>
    <row r="5761" spans="60:63" ht="14.25" x14ac:dyDescent="0.2">
      <c r="BH5761" s="25"/>
      <c r="BI5761" s="25"/>
      <c r="BJ5761" s="25"/>
      <c r="BK5761" s="25"/>
    </row>
    <row r="5762" spans="60:63" ht="14.25" x14ac:dyDescent="0.2">
      <c r="BH5762" s="25"/>
      <c r="BI5762" s="25"/>
      <c r="BJ5762" s="25"/>
      <c r="BK5762" s="25"/>
    </row>
    <row r="5763" spans="60:63" ht="14.25" x14ac:dyDescent="0.2">
      <c r="BH5763" s="25"/>
      <c r="BI5763" s="25"/>
      <c r="BJ5763" s="25"/>
      <c r="BK5763" s="25"/>
    </row>
    <row r="5764" spans="60:63" ht="14.25" x14ac:dyDescent="0.2">
      <c r="BH5764" s="25"/>
      <c r="BI5764" s="25"/>
      <c r="BJ5764" s="25"/>
      <c r="BK5764" s="25"/>
    </row>
    <row r="5765" spans="60:63" ht="14.25" x14ac:dyDescent="0.2">
      <c r="BH5765" s="25"/>
      <c r="BI5765" s="25"/>
      <c r="BJ5765" s="25"/>
      <c r="BK5765" s="25"/>
    </row>
    <row r="5766" spans="60:63" ht="14.25" x14ac:dyDescent="0.2">
      <c r="BH5766" s="25"/>
      <c r="BI5766" s="25"/>
      <c r="BJ5766" s="25"/>
      <c r="BK5766" s="25"/>
    </row>
    <row r="5767" spans="60:63" ht="14.25" x14ac:dyDescent="0.2">
      <c r="BH5767" s="25"/>
      <c r="BI5767" s="25"/>
      <c r="BJ5767" s="25"/>
      <c r="BK5767" s="25"/>
    </row>
    <row r="5768" spans="60:63" ht="14.25" x14ac:dyDescent="0.2">
      <c r="BH5768" s="25"/>
      <c r="BI5768" s="25"/>
      <c r="BJ5768" s="25"/>
      <c r="BK5768" s="25"/>
    </row>
    <row r="5769" spans="60:63" ht="14.25" x14ac:dyDescent="0.2">
      <c r="BH5769" s="25"/>
      <c r="BI5769" s="25"/>
      <c r="BJ5769" s="25"/>
      <c r="BK5769" s="25"/>
    </row>
    <row r="5770" spans="60:63" ht="14.25" x14ac:dyDescent="0.2">
      <c r="BH5770" s="25"/>
      <c r="BI5770" s="25"/>
      <c r="BJ5770" s="25"/>
      <c r="BK5770" s="25"/>
    </row>
    <row r="5771" spans="60:63" ht="14.25" x14ac:dyDescent="0.2">
      <c r="BH5771" s="25"/>
      <c r="BI5771" s="25"/>
      <c r="BJ5771" s="25"/>
      <c r="BK5771" s="25"/>
    </row>
    <row r="5772" spans="60:63" ht="14.25" x14ac:dyDescent="0.2">
      <c r="BH5772" s="25"/>
      <c r="BI5772" s="25"/>
      <c r="BJ5772" s="25"/>
      <c r="BK5772" s="25"/>
    </row>
    <row r="5773" spans="60:63" ht="14.25" x14ac:dyDescent="0.2">
      <c r="BH5773" s="25"/>
      <c r="BI5773" s="25"/>
      <c r="BJ5773" s="25"/>
      <c r="BK5773" s="25"/>
    </row>
    <row r="5774" spans="60:63" ht="14.25" x14ac:dyDescent="0.2">
      <c r="BH5774" s="25"/>
      <c r="BI5774" s="25"/>
      <c r="BJ5774" s="25"/>
      <c r="BK5774" s="25"/>
    </row>
    <row r="5775" spans="60:63" ht="14.25" x14ac:dyDescent="0.2">
      <c r="BH5775" s="25"/>
      <c r="BI5775" s="25"/>
      <c r="BJ5775" s="25"/>
      <c r="BK5775" s="25"/>
    </row>
    <row r="5776" spans="60:63" ht="14.25" x14ac:dyDescent="0.2">
      <c r="BH5776" s="25"/>
      <c r="BI5776" s="25"/>
      <c r="BJ5776" s="25"/>
      <c r="BK5776" s="25"/>
    </row>
    <row r="5777" spans="60:63" ht="14.25" x14ac:dyDescent="0.2">
      <c r="BH5777" s="25"/>
      <c r="BI5777" s="25"/>
      <c r="BJ5777" s="25"/>
      <c r="BK5777" s="25"/>
    </row>
    <row r="5778" spans="60:63" ht="14.25" x14ac:dyDescent="0.2">
      <c r="BH5778" s="25"/>
      <c r="BI5778" s="25"/>
      <c r="BJ5778" s="25"/>
      <c r="BK5778" s="25"/>
    </row>
    <row r="5779" spans="60:63" ht="14.25" x14ac:dyDescent="0.2">
      <c r="BH5779" s="25"/>
      <c r="BI5779" s="25"/>
      <c r="BJ5779" s="25"/>
      <c r="BK5779" s="25"/>
    </row>
    <row r="5780" spans="60:63" ht="14.25" x14ac:dyDescent="0.2">
      <c r="BH5780" s="25"/>
      <c r="BI5780" s="25"/>
      <c r="BJ5780" s="25"/>
      <c r="BK5780" s="25"/>
    </row>
    <row r="5781" spans="60:63" ht="14.25" x14ac:dyDescent="0.2">
      <c r="BH5781" s="25"/>
      <c r="BI5781" s="25"/>
      <c r="BJ5781" s="25"/>
      <c r="BK5781" s="25"/>
    </row>
    <row r="5782" spans="60:63" ht="14.25" x14ac:dyDescent="0.2">
      <c r="BH5782" s="25"/>
      <c r="BI5782" s="25"/>
      <c r="BJ5782" s="25"/>
      <c r="BK5782" s="25"/>
    </row>
    <row r="5783" spans="60:63" ht="14.25" x14ac:dyDescent="0.2">
      <c r="BH5783" s="25"/>
      <c r="BI5783" s="25"/>
      <c r="BJ5783" s="25"/>
      <c r="BK5783" s="25"/>
    </row>
    <row r="5784" spans="60:63" ht="14.25" x14ac:dyDescent="0.2">
      <c r="BH5784" s="25"/>
      <c r="BI5784" s="25"/>
      <c r="BJ5784" s="25"/>
      <c r="BK5784" s="25"/>
    </row>
    <row r="5785" spans="60:63" ht="14.25" x14ac:dyDescent="0.2">
      <c r="BH5785" s="25"/>
      <c r="BI5785" s="25"/>
      <c r="BJ5785" s="25"/>
      <c r="BK5785" s="25"/>
    </row>
    <row r="5786" spans="60:63" ht="14.25" x14ac:dyDescent="0.2">
      <c r="BH5786" s="25"/>
      <c r="BI5786" s="25"/>
      <c r="BJ5786" s="25"/>
      <c r="BK5786" s="25"/>
    </row>
    <row r="5787" spans="60:63" ht="14.25" x14ac:dyDescent="0.2">
      <c r="BH5787" s="25"/>
      <c r="BI5787" s="25"/>
      <c r="BJ5787" s="25"/>
      <c r="BK5787" s="25"/>
    </row>
    <row r="5788" spans="60:63" ht="14.25" x14ac:dyDescent="0.2">
      <c r="BH5788" s="25"/>
      <c r="BI5788" s="25"/>
      <c r="BJ5788" s="25"/>
      <c r="BK5788" s="25"/>
    </row>
    <row r="5789" spans="60:63" ht="14.25" x14ac:dyDescent="0.2">
      <c r="BH5789" s="25"/>
      <c r="BI5789" s="25"/>
      <c r="BJ5789" s="25"/>
      <c r="BK5789" s="25"/>
    </row>
    <row r="5790" spans="60:63" ht="14.25" x14ac:dyDescent="0.2">
      <c r="BH5790" s="25"/>
      <c r="BI5790" s="25"/>
      <c r="BJ5790" s="25"/>
      <c r="BK5790" s="25"/>
    </row>
    <row r="5791" spans="60:63" ht="14.25" x14ac:dyDescent="0.2">
      <c r="BH5791" s="25"/>
      <c r="BI5791" s="25"/>
      <c r="BJ5791" s="25"/>
      <c r="BK5791" s="25"/>
    </row>
    <row r="5792" spans="60:63" ht="14.25" x14ac:dyDescent="0.2">
      <c r="BH5792" s="25"/>
      <c r="BI5792" s="25"/>
      <c r="BJ5792" s="25"/>
      <c r="BK5792" s="25"/>
    </row>
    <row r="5793" spans="60:63" ht="14.25" x14ac:dyDescent="0.2">
      <c r="BH5793" s="25"/>
      <c r="BI5793" s="25"/>
      <c r="BJ5793" s="25"/>
      <c r="BK5793" s="25"/>
    </row>
    <row r="5794" spans="60:63" ht="14.25" x14ac:dyDescent="0.2">
      <c r="BH5794" s="25"/>
      <c r="BI5794" s="25"/>
      <c r="BJ5794" s="25"/>
      <c r="BK5794" s="25"/>
    </row>
    <row r="5795" spans="60:63" ht="14.25" x14ac:dyDescent="0.2">
      <c r="BH5795" s="25"/>
      <c r="BI5795" s="25"/>
      <c r="BJ5795" s="25"/>
      <c r="BK5795" s="25"/>
    </row>
    <row r="5796" spans="60:63" ht="14.25" x14ac:dyDescent="0.2">
      <c r="BH5796" s="25"/>
      <c r="BI5796" s="25"/>
      <c r="BJ5796" s="25"/>
      <c r="BK5796" s="25"/>
    </row>
    <row r="5797" spans="60:63" ht="14.25" x14ac:dyDescent="0.2">
      <c r="BH5797" s="25"/>
      <c r="BI5797" s="25"/>
      <c r="BJ5797" s="25"/>
      <c r="BK5797" s="25"/>
    </row>
    <row r="5798" spans="60:63" ht="14.25" x14ac:dyDescent="0.2">
      <c r="BH5798" s="25"/>
      <c r="BI5798" s="25"/>
      <c r="BJ5798" s="25"/>
      <c r="BK5798" s="25"/>
    </row>
    <row r="5799" spans="60:63" ht="14.25" x14ac:dyDescent="0.2">
      <c r="BH5799" s="25"/>
      <c r="BI5799" s="25"/>
      <c r="BJ5799" s="25"/>
      <c r="BK5799" s="25"/>
    </row>
    <row r="5800" spans="60:63" ht="14.25" x14ac:dyDescent="0.2">
      <c r="BH5800" s="25"/>
      <c r="BI5800" s="25"/>
      <c r="BJ5800" s="25"/>
      <c r="BK5800" s="25"/>
    </row>
    <row r="5801" spans="60:63" ht="14.25" x14ac:dyDescent="0.2">
      <c r="BH5801" s="25"/>
      <c r="BI5801" s="25"/>
      <c r="BJ5801" s="25"/>
      <c r="BK5801" s="25"/>
    </row>
    <row r="5802" spans="60:63" ht="14.25" x14ac:dyDescent="0.2">
      <c r="BH5802" s="25"/>
      <c r="BI5802" s="25"/>
      <c r="BJ5802" s="25"/>
      <c r="BK5802" s="25"/>
    </row>
    <row r="5803" spans="60:63" ht="14.25" x14ac:dyDescent="0.2">
      <c r="BH5803" s="25"/>
      <c r="BI5803" s="25"/>
      <c r="BJ5803" s="25"/>
      <c r="BK5803" s="25"/>
    </row>
    <row r="5804" spans="60:63" ht="14.25" x14ac:dyDescent="0.2">
      <c r="BH5804" s="25"/>
      <c r="BI5804" s="25"/>
      <c r="BJ5804" s="25"/>
      <c r="BK5804" s="25"/>
    </row>
    <row r="5805" spans="60:63" ht="14.25" x14ac:dyDescent="0.2">
      <c r="BH5805" s="25"/>
      <c r="BI5805" s="25"/>
      <c r="BJ5805" s="25"/>
      <c r="BK5805" s="25"/>
    </row>
    <row r="5806" spans="60:63" ht="14.25" x14ac:dyDescent="0.2">
      <c r="BH5806" s="25"/>
      <c r="BI5806" s="25"/>
      <c r="BJ5806" s="25"/>
      <c r="BK5806" s="25"/>
    </row>
    <row r="5807" spans="60:63" ht="14.25" x14ac:dyDescent="0.2">
      <c r="BH5807" s="25"/>
      <c r="BI5807" s="25"/>
      <c r="BJ5807" s="25"/>
      <c r="BK5807" s="25"/>
    </row>
    <row r="5808" spans="60:63" ht="14.25" x14ac:dyDescent="0.2">
      <c r="BH5808" s="25"/>
      <c r="BI5808" s="25"/>
      <c r="BJ5808" s="25"/>
      <c r="BK5808" s="25"/>
    </row>
    <row r="5809" spans="60:63" ht="14.25" x14ac:dyDescent="0.2">
      <c r="BH5809" s="25"/>
      <c r="BI5809" s="25"/>
      <c r="BJ5809" s="25"/>
      <c r="BK5809" s="25"/>
    </row>
    <row r="5810" spans="60:63" ht="14.25" x14ac:dyDescent="0.2">
      <c r="BH5810" s="25"/>
      <c r="BI5810" s="25"/>
      <c r="BJ5810" s="25"/>
      <c r="BK5810" s="25"/>
    </row>
    <row r="5811" spans="60:63" ht="14.25" x14ac:dyDescent="0.2">
      <c r="BH5811" s="25"/>
      <c r="BI5811" s="25"/>
      <c r="BJ5811" s="25"/>
      <c r="BK5811" s="25"/>
    </row>
    <row r="5812" spans="60:63" ht="14.25" x14ac:dyDescent="0.2">
      <c r="BH5812" s="25"/>
      <c r="BI5812" s="25"/>
      <c r="BJ5812" s="25"/>
      <c r="BK5812" s="25"/>
    </row>
    <row r="5813" spans="60:63" ht="14.25" x14ac:dyDescent="0.2">
      <c r="BH5813" s="25"/>
      <c r="BI5813" s="25"/>
      <c r="BJ5813" s="25"/>
      <c r="BK5813" s="25"/>
    </row>
    <row r="5814" spans="60:63" ht="14.25" x14ac:dyDescent="0.2">
      <c r="BH5814" s="25"/>
      <c r="BI5814" s="25"/>
      <c r="BJ5814" s="25"/>
      <c r="BK5814" s="25"/>
    </row>
    <row r="5815" spans="60:63" ht="14.25" x14ac:dyDescent="0.2">
      <c r="BH5815" s="25"/>
      <c r="BI5815" s="25"/>
      <c r="BJ5815" s="25"/>
      <c r="BK5815" s="25"/>
    </row>
    <row r="5816" spans="60:63" ht="14.25" x14ac:dyDescent="0.2">
      <c r="BH5816" s="25"/>
      <c r="BI5816" s="25"/>
      <c r="BJ5816" s="25"/>
      <c r="BK5816" s="25"/>
    </row>
    <row r="5817" spans="60:63" ht="14.25" x14ac:dyDescent="0.2">
      <c r="BH5817" s="25"/>
      <c r="BI5817" s="25"/>
      <c r="BJ5817" s="25"/>
      <c r="BK5817" s="25"/>
    </row>
    <row r="5818" spans="60:63" ht="14.25" x14ac:dyDescent="0.2">
      <c r="BH5818" s="25"/>
      <c r="BI5818" s="25"/>
      <c r="BJ5818" s="25"/>
      <c r="BK5818" s="25"/>
    </row>
    <row r="5819" spans="60:63" ht="14.25" x14ac:dyDescent="0.2">
      <c r="BH5819" s="25"/>
      <c r="BI5819" s="25"/>
      <c r="BJ5819" s="25"/>
      <c r="BK5819" s="25"/>
    </row>
    <row r="5820" spans="60:63" ht="14.25" x14ac:dyDescent="0.2">
      <c r="BH5820" s="25"/>
      <c r="BI5820" s="25"/>
      <c r="BJ5820" s="25"/>
      <c r="BK5820" s="25"/>
    </row>
    <row r="5821" spans="60:63" ht="14.25" x14ac:dyDescent="0.2">
      <c r="BH5821" s="25"/>
      <c r="BI5821" s="25"/>
      <c r="BJ5821" s="25"/>
      <c r="BK5821" s="25"/>
    </row>
    <row r="5822" spans="60:63" ht="14.25" x14ac:dyDescent="0.2">
      <c r="BH5822" s="25"/>
      <c r="BI5822" s="25"/>
      <c r="BJ5822" s="25"/>
      <c r="BK5822" s="25"/>
    </row>
    <row r="5823" spans="60:63" ht="14.25" x14ac:dyDescent="0.2">
      <c r="BH5823" s="25"/>
      <c r="BI5823" s="25"/>
      <c r="BJ5823" s="25"/>
      <c r="BK5823" s="25"/>
    </row>
    <row r="5824" spans="60:63" ht="14.25" x14ac:dyDescent="0.2">
      <c r="BH5824" s="25"/>
      <c r="BI5824" s="25"/>
      <c r="BJ5824" s="25"/>
      <c r="BK5824" s="25"/>
    </row>
    <row r="5825" spans="60:63" ht="14.25" x14ac:dyDescent="0.2">
      <c r="BH5825" s="25"/>
      <c r="BI5825" s="25"/>
      <c r="BJ5825" s="25"/>
      <c r="BK5825" s="25"/>
    </row>
    <row r="5826" spans="60:63" ht="14.25" x14ac:dyDescent="0.2">
      <c r="BH5826" s="25"/>
      <c r="BI5826" s="25"/>
      <c r="BJ5826" s="25"/>
      <c r="BK5826" s="25"/>
    </row>
    <row r="5827" spans="60:63" ht="14.25" x14ac:dyDescent="0.2">
      <c r="BH5827" s="25"/>
      <c r="BI5827" s="25"/>
      <c r="BJ5827" s="25"/>
      <c r="BK5827" s="25"/>
    </row>
    <row r="5828" spans="60:63" ht="14.25" x14ac:dyDescent="0.2">
      <c r="BH5828" s="25"/>
      <c r="BI5828" s="25"/>
      <c r="BJ5828" s="25"/>
      <c r="BK5828" s="25"/>
    </row>
    <row r="5829" spans="60:63" ht="14.25" x14ac:dyDescent="0.2">
      <c r="BH5829" s="25"/>
      <c r="BI5829" s="25"/>
      <c r="BJ5829" s="25"/>
      <c r="BK5829" s="25"/>
    </row>
    <row r="5830" spans="60:63" ht="14.25" x14ac:dyDescent="0.2">
      <c r="BH5830" s="25"/>
      <c r="BI5830" s="25"/>
      <c r="BJ5830" s="25"/>
      <c r="BK5830" s="25"/>
    </row>
    <row r="5831" spans="60:63" ht="14.25" x14ac:dyDescent="0.2">
      <c r="BH5831" s="25"/>
      <c r="BI5831" s="25"/>
      <c r="BJ5831" s="25"/>
      <c r="BK5831" s="25"/>
    </row>
    <row r="5832" spans="60:63" ht="14.25" x14ac:dyDescent="0.2">
      <c r="BH5832" s="25"/>
      <c r="BI5832" s="25"/>
      <c r="BJ5832" s="25"/>
      <c r="BK5832" s="25"/>
    </row>
    <row r="5833" spans="60:63" ht="14.25" x14ac:dyDescent="0.2">
      <c r="BH5833" s="25"/>
      <c r="BI5833" s="25"/>
      <c r="BJ5833" s="25"/>
      <c r="BK5833" s="25"/>
    </row>
    <row r="5834" spans="60:63" ht="14.25" x14ac:dyDescent="0.2">
      <c r="BH5834" s="25"/>
      <c r="BI5834" s="25"/>
      <c r="BJ5834" s="25"/>
      <c r="BK5834" s="25"/>
    </row>
    <row r="5835" spans="60:63" ht="14.25" x14ac:dyDescent="0.2">
      <c r="BH5835" s="25"/>
      <c r="BI5835" s="25"/>
      <c r="BJ5835" s="25"/>
      <c r="BK5835" s="25"/>
    </row>
    <row r="5836" spans="60:63" ht="14.25" x14ac:dyDescent="0.2">
      <c r="BH5836" s="25"/>
      <c r="BI5836" s="25"/>
      <c r="BJ5836" s="25"/>
      <c r="BK5836" s="25"/>
    </row>
    <row r="5837" spans="60:63" ht="14.25" x14ac:dyDescent="0.2">
      <c r="BH5837" s="25"/>
      <c r="BI5837" s="25"/>
      <c r="BJ5837" s="25"/>
      <c r="BK5837" s="25"/>
    </row>
    <row r="5838" spans="60:63" ht="14.25" x14ac:dyDescent="0.2">
      <c r="BH5838" s="25"/>
      <c r="BI5838" s="25"/>
      <c r="BJ5838" s="25"/>
      <c r="BK5838" s="25"/>
    </row>
    <row r="5839" spans="60:63" ht="14.25" x14ac:dyDescent="0.2">
      <c r="BH5839" s="25"/>
      <c r="BI5839" s="25"/>
      <c r="BJ5839" s="25"/>
      <c r="BK5839" s="25"/>
    </row>
    <row r="5840" spans="60:63" ht="14.25" x14ac:dyDescent="0.2">
      <c r="BH5840" s="25"/>
      <c r="BI5840" s="25"/>
      <c r="BJ5840" s="25"/>
      <c r="BK5840" s="25"/>
    </row>
    <row r="5841" spans="60:63" ht="14.25" x14ac:dyDescent="0.2">
      <c r="BH5841" s="25"/>
      <c r="BI5841" s="25"/>
      <c r="BJ5841" s="25"/>
      <c r="BK5841" s="25"/>
    </row>
    <row r="5842" spans="60:63" ht="14.25" x14ac:dyDescent="0.2">
      <c r="BH5842" s="25"/>
      <c r="BI5842" s="25"/>
      <c r="BJ5842" s="25"/>
      <c r="BK5842" s="25"/>
    </row>
    <row r="5843" spans="60:63" ht="14.25" x14ac:dyDescent="0.2">
      <c r="BH5843" s="25"/>
      <c r="BI5843" s="25"/>
      <c r="BJ5843" s="25"/>
      <c r="BK5843" s="25"/>
    </row>
    <row r="5844" spans="60:63" ht="14.25" x14ac:dyDescent="0.2">
      <c r="BH5844" s="25"/>
      <c r="BI5844" s="25"/>
      <c r="BJ5844" s="25"/>
      <c r="BK5844" s="25"/>
    </row>
    <row r="5845" spans="60:63" ht="14.25" x14ac:dyDescent="0.2">
      <c r="BH5845" s="25"/>
      <c r="BI5845" s="25"/>
      <c r="BJ5845" s="25"/>
      <c r="BK5845" s="25"/>
    </row>
    <row r="5846" spans="60:63" ht="14.25" x14ac:dyDescent="0.2">
      <c r="BH5846" s="25"/>
      <c r="BI5846" s="25"/>
      <c r="BJ5846" s="25"/>
      <c r="BK5846" s="25"/>
    </row>
    <row r="5847" spans="60:63" ht="14.25" x14ac:dyDescent="0.2">
      <c r="BH5847" s="25"/>
      <c r="BI5847" s="25"/>
      <c r="BJ5847" s="25"/>
      <c r="BK5847" s="25"/>
    </row>
    <row r="5848" spans="60:63" ht="14.25" x14ac:dyDescent="0.2">
      <c r="BH5848" s="25"/>
      <c r="BI5848" s="25"/>
      <c r="BJ5848" s="25"/>
      <c r="BK5848" s="25"/>
    </row>
    <row r="5849" spans="60:63" ht="14.25" x14ac:dyDescent="0.2">
      <c r="BH5849" s="25"/>
      <c r="BI5849" s="25"/>
      <c r="BJ5849" s="25"/>
      <c r="BK5849" s="25"/>
    </row>
    <row r="5850" spans="60:63" ht="14.25" x14ac:dyDescent="0.2">
      <c r="BH5850" s="25"/>
      <c r="BI5850" s="25"/>
      <c r="BJ5850" s="25"/>
      <c r="BK5850" s="25"/>
    </row>
    <row r="5851" spans="60:63" ht="14.25" x14ac:dyDescent="0.2">
      <c r="BH5851" s="25"/>
      <c r="BI5851" s="25"/>
      <c r="BJ5851" s="25"/>
      <c r="BK5851" s="25"/>
    </row>
    <row r="5852" spans="60:63" ht="14.25" x14ac:dyDescent="0.2">
      <c r="BH5852" s="25"/>
      <c r="BI5852" s="25"/>
      <c r="BJ5852" s="25"/>
      <c r="BK5852" s="25"/>
    </row>
    <row r="5853" spans="60:63" ht="14.25" x14ac:dyDescent="0.2">
      <c r="BH5853" s="25"/>
      <c r="BI5853" s="25"/>
      <c r="BJ5853" s="25"/>
      <c r="BK5853" s="25"/>
    </row>
    <row r="5854" spans="60:63" ht="14.25" x14ac:dyDescent="0.2">
      <c r="BH5854" s="25"/>
      <c r="BI5854" s="25"/>
      <c r="BJ5854" s="25"/>
      <c r="BK5854" s="25"/>
    </row>
    <row r="5855" spans="60:63" ht="14.25" x14ac:dyDescent="0.2">
      <c r="BH5855" s="25"/>
      <c r="BI5855" s="25"/>
      <c r="BJ5855" s="25"/>
      <c r="BK5855" s="25"/>
    </row>
    <row r="5856" spans="60:63" ht="14.25" x14ac:dyDescent="0.2">
      <c r="BH5856" s="25"/>
      <c r="BI5856" s="25"/>
      <c r="BJ5856" s="25"/>
      <c r="BK5856" s="25"/>
    </row>
    <row r="5857" spans="60:63" ht="14.25" x14ac:dyDescent="0.2">
      <c r="BH5857" s="25"/>
      <c r="BI5857" s="25"/>
      <c r="BJ5857" s="25"/>
      <c r="BK5857" s="25"/>
    </row>
    <row r="5858" spans="60:63" ht="14.25" x14ac:dyDescent="0.2">
      <c r="BH5858" s="25"/>
      <c r="BI5858" s="25"/>
      <c r="BJ5858" s="25"/>
      <c r="BK5858" s="25"/>
    </row>
    <row r="5859" spans="60:63" ht="14.25" x14ac:dyDescent="0.2">
      <c r="BH5859" s="25"/>
      <c r="BI5859" s="25"/>
      <c r="BJ5859" s="25"/>
      <c r="BK5859" s="25"/>
    </row>
    <row r="5860" spans="60:63" ht="14.25" x14ac:dyDescent="0.2">
      <c r="BH5860" s="25"/>
      <c r="BI5860" s="25"/>
      <c r="BJ5860" s="25"/>
      <c r="BK5860" s="25"/>
    </row>
    <row r="5861" spans="60:63" ht="14.25" x14ac:dyDescent="0.2">
      <c r="BH5861" s="25"/>
      <c r="BI5861" s="25"/>
      <c r="BJ5861" s="25"/>
      <c r="BK5861" s="25"/>
    </row>
    <row r="5862" spans="60:63" ht="14.25" x14ac:dyDescent="0.2">
      <c r="BH5862" s="25"/>
      <c r="BI5862" s="25"/>
      <c r="BJ5862" s="25"/>
      <c r="BK5862" s="25"/>
    </row>
    <row r="5863" spans="60:63" ht="14.25" x14ac:dyDescent="0.2">
      <c r="BH5863" s="25"/>
      <c r="BI5863" s="25"/>
      <c r="BJ5863" s="25"/>
      <c r="BK5863" s="25"/>
    </row>
    <row r="5864" spans="60:63" ht="14.25" x14ac:dyDescent="0.2">
      <c r="BH5864" s="25"/>
      <c r="BI5864" s="25"/>
      <c r="BJ5864" s="25"/>
      <c r="BK5864" s="25"/>
    </row>
    <row r="5865" spans="60:63" ht="14.25" x14ac:dyDescent="0.2">
      <c r="BH5865" s="25"/>
      <c r="BI5865" s="25"/>
      <c r="BJ5865" s="25"/>
      <c r="BK5865" s="25"/>
    </row>
    <row r="5866" spans="60:63" ht="14.25" x14ac:dyDescent="0.2">
      <c r="BH5866" s="25"/>
      <c r="BI5866" s="25"/>
      <c r="BJ5866" s="25"/>
      <c r="BK5866" s="25"/>
    </row>
    <row r="5867" spans="60:63" ht="14.25" x14ac:dyDescent="0.2">
      <c r="BH5867" s="25"/>
      <c r="BI5867" s="25"/>
      <c r="BJ5867" s="25"/>
      <c r="BK5867" s="25"/>
    </row>
    <row r="5868" spans="60:63" ht="14.25" x14ac:dyDescent="0.2">
      <c r="BH5868" s="25"/>
      <c r="BI5868" s="25"/>
      <c r="BJ5868" s="25"/>
      <c r="BK5868" s="25"/>
    </row>
    <row r="5869" spans="60:63" ht="14.25" x14ac:dyDescent="0.2">
      <c r="BH5869" s="25"/>
      <c r="BI5869" s="25"/>
      <c r="BJ5869" s="25"/>
      <c r="BK5869" s="25"/>
    </row>
    <row r="5870" spans="60:63" ht="14.25" x14ac:dyDescent="0.2">
      <c r="BH5870" s="25"/>
      <c r="BI5870" s="25"/>
      <c r="BJ5870" s="25"/>
      <c r="BK5870" s="25"/>
    </row>
    <row r="5871" spans="60:63" ht="14.25" x14ac:dyDescent="0.2">
      <c r="BH5871" s="25"/>
      <c r="BI5871" s="25"/>
      <c r="BJ5871" s="25"/>
      <c r="BK5871" s="25"/>
    </row>
    <row r="5872" spans="60:63" ht="14.25" x14ac:dyDescent="0.2">
      <c r="BH5872" s="25"/>
      <c r="BI5872" s="25"/>
      <c r="BJ5872" s="25"/>
      <c r="BK5872" s="25"/>
    </row>
    <row r="5873" spans="60:63" ht="14.25" x14ac:dyDescent="0.2">
      <c r="BH5873" s="25"/>
      <c r="BI5873" s="25"/>
      <c r="BJ5873" s="25"/>
      <c r="BK5873" s="25"/>
    </row>
    <row r="5874" spans="60:63" ht="14.25" x14ac:dyDescent="0.2">
      <c r="BH5874" s="25"/>
      <c r="BI5874" s="25"/>
      <c r="BJ5874" s="25"/>
      <c r="BK5874" s="25"/>
    </row>
    <row r="5875" spans="60:63" ht="14.25" x14ac:dyDescent="0.2">
      <c r="BH5875" s="25"/>
      <c r="BI5875" s="25"/>
      <c r="BJ5875" s="25"/>
      <c r="BK5875" s="25"/>
    </row>
    <row r="5876" spans="60:63" ht="14.25" x14ac:dyDescent="0.2">
      <c r="BH5876" s="25"/>
      <c r="BI5876" s="25"/>
      <c r="BJ5876" s="25"/>
      <c r="BK5876" s="25"/>
    </row>
    <row r="5877" spans="60:63" ht="14.25" x14ac:dyDescent="0.2">
      <c r="BH5877" s="25"/>
      <c r="BI5877" s="25"/>
      <c r="BJ5877" s="25"/>
      <c r="BK5877" s="25"/>
    </row>
    <row r="5878" spans="60:63" ht="14.25" x14ac:dyDescent="0.2">
      <c r="BH5878" s="25"/>
      <c r="BI5878" s="25"/>
      <c r="BJ5878" s="25"/>
      <c r="BK5878" s="25"/>
    </row>
    <row r="5879" spans="60:63" ht="14.25" x14ac:dyDescent="0.2">
      <c r="BH5879" s="25"/>
      <c r="BI5879" s="25"/>
      <c r="BJ5879" s="25"/>
      <c r="BK5879" s="25"/>
    </row>
    <row r="5880" spans="60:63" ht="14.25" x14ac:dyDescent="0.2">
      <c r="BH5880" s="25"/>
      <c r="BI5880" s="25"/>
      <c r="BJ5880" s="25"/>
      <c r="BK5880" s="25"/>
    </row>
    <row r="5881" spans="60:63" ht="14.25" x14ac:dyDescent="0.2">
      <c r="BH5881" s="25"/>
      <c r="BI5881" s="25"/>
      <c r="BJ5881" s="25"/>
      <c r="BK5881" s="25"/>
    </row>
    <row r="5882" spans="60:63" ht="14.25" x14ac:dyDescent="0.2">
      <c r="BH5882" s="25"/>
      <c r="BI5882" s="25"/>
      <c r="BJ5882" s="25"/>
      <c r="BK5882" s="25"/>
    </row>
    <row r="5883" spans="60:63" ht="14.25" x14ac:dyDescent="0.2">
      <c r="BH5883" s="25"/>
      <c r="BI5883" s="25"/>
      <c r="BJ5883" s="25"/>
      <c r="BK5883" s="25"/>
    </row>
    <row r="5884" spans="60:63" ht="14.25" x14ac:dyDescent="0.2">
      <c r="BH5884" s="25"/>
      <c r="BI5884" s="25"/>
      <c r="BJ5884" s="25"/>
      <c r="BK5884" s="25"/>
    </row>
    <row r="5885" spans="60:63" ht="14.25" x14ac:dyDescent="0.2">
      <c r="BH5885" s="25"/>
      <c r="BI5885" s="25"/>
      <c r="BJ5885" s="25"/>
      <c r="BK5885" s="25"/>
    </row>
    <row r="5886" spans="60:63" ht="14.25" x14ac:dyDescent="0.2">
      <c r="BH5886" s="25"/>
      <c r="BI5886" s="25"/>
      <c r="BJ5886" s="25"/>
      <c r="BK5886" s="25"/>
    </row>
    <row r="5887" spans="60:63" ht="14.25" x14ac:dyDescent="0.2">
      <c r="BH5887" s="25"/>
      <c r="BI5887" s="25"/>
      <c r="BJ5887" s="25"/>
      <c r="BK5887" s="25"/>
    </row>
    <row r="5888" spans="60:63" ht="14.25" x14ac:dyDescent="0.2">
      <c r="BH5888" s="25"/>
      <c r="BI5888" s="25"/>
      <c r="BJ5888" s="25"/>
      <c r="BK5888" s="25"/>
    </row>
    <row r="5889" spans="60:63" ht="14.25" x14ac:dyDescent="0.2">
      <c r="BH5889" s="25"/>
      <c r="BI5889" s="25"/>
      <c r="BJ5889" s="25"/>
      <c r="BK5889" s="25"/>
    </row>
    <row r="5890" spans="60:63" ht="14.25" x14ac:dyDescent="0.2">
      <c r="BH5890" s="25"/>
      <c r="BI5890" s="25"/>
      <c r="BJ5890" s="25"/>
      <c r="BK5890" s="25"/>
    </row>
    <row r="5891" spans="60:63" ht="14.25" x14ac:dyDescent="0.2">
      <c r="BH5891" s="25"/>
      <c r="BI5891" s="25"/>
      <c r="BJ5891" s="25"/>
      <c r="BK5891" s="25"/>
    </row>
    <row r="5892" spans="60:63" ht="14.25" x14ac:dyDescent="0.2">
      <c r="BH5892" s="25"/>
      <c r="BI5892" s="25"/>
      <c r="BJ5892" s="25"/>
      <c r="BK5892" s="25"/>
    </row>
    <row r="5893" spans="60:63" ht="14.25" x14ac:dyDescent="0.2">
      <c r="BH5893" s="25"/>
      <c r="BI5893" s="25"/>
      <c r="BJ5893" s="25"/>
      <c r="BK5893" s="25"/>
    </row>
    <row r="5894" spans="60:63" ht="14.25" x14ac:dyDescent="0.2">
      <c r="BH5894" s="25"/>
      <c r="BI5894" s="25"/>
      <c r="BJ5894" s="25"/>
      <c r="BK5894" s="25"/>
    </row>
    <row r="5895" spans="60:63" ht="14.25" x14ac:dyDescent="0.2">
      <c r="BH5895" s="25"/>
      <c r="BI5895" s="25"/>
      <c r="BJ5895" s="25"/>
      <c r="BK5895" s="25"/>
    </row>
    <row r="5896" spans="60:63" ht="14.25" x14ac:dyDescent="0.2">
      <c r="BH5896" s="25"/>
      <c r="BI5896" s="25"/>
      <c r="BJ5896" s="25"/>
      <c r="BK5896" s="25"/>
    </row>
    <row r="5897" spans="60:63" ht="14.25" x14ac:dyDescent="0.2">
      <c r="BH5897" s="25"/>
      <c r="BI5897" s="25"/>
      <c r="BJ5897" s="25"/>
      <c r="BK5897" s="25"/>
    </row>
    <row r="5898" spans="60:63" ht="14.25" x14ac:dyDescent="0.2">
      <c r="BH5898" s="25"/>
      <c r="BI5898" s="25"/>
      <c r="BJ5898" s="25"/>
      <c r="BK5898" s="25"/>
    </row>
    <row r="5899" spans="60:63" ht="14.25" x14ac:dyDescent="0.2">
      <c r="BH5899" s="25"/>
      <c r="BI5899" s="25"/>
      <c r="BJ5899" s="25"/>
      <c r="BK5899" s="25"/>
    </row>
    <row r="5900" spans="60:63" ht="14.25" x14ac:dyDescent="0.2">
      <c r="BH5900" s="25"/>
      <c r="BI5900" s="25"/>
      <c r="BJ5900" s="25"/>
      <c r="BK5900" s="25"/>
    </row>
    <row r="5901" spans="60:63" ht="14.25" x14ac:dyDescent="0.2">
      <c r="BH5901" s="25"/>
      <c r="BI5901" s="25"/>
      <c r="BJ5901" s="25"/>
      <c r="BK5901" s="25"/>
    </row>
    <row r="5902" spans="60:63" ht="14.25" x14ac:dyDescent="0.2">
      <c r="BH5902" s="25"/>
      <c r="BI5902" s="25"/>
      <c r="BJ5902" s="25"/>
      <c r="BK5902" s="25"/>
    </row>
    <row r="5903" spans="60:63" ht="14.25" x14ac:dyDescent="0.2">
      <c r="BH5903" s="25"/>
      <c r="BI5903" s="25"/>
      <c r="BJ5903" s="25"/>
      <c r="BK5903" s="25"/>
    </row>
    <row r="5904" spans="60:63" ht="14.25" x14ac:dyDescent="0.2">
      <c r="BH5904" s="25"/>
      <c r="BI5904" s="25"/>
      <c r="BJ5904" s="25"/>
      <c r="BK5904" s="25"/>
    </row>
    <row r="5905" spans="60:63" ht="14.25" x14ac:dyDescent="0.2">
      <c r="BH5905" s="25"/>
      <c r="BI5905" s="25"/>
      <c r="BJ5905" s="25"/>
      <c r="BK5905" s="25"/>
    </row>
    <row r="5906" spans="60:63" ht="14.25" x14ac:dyDescent="0.2">
      <c r="BH5906" s="25"/>
      <c r="BI5906" s="25"/>
      <c r="BJ5906" s="25"/>
      <c r="BK5906" s="25"/>
    </row>
    <row r="5907" spans="60:63" ht="14.25" x14ac:dyDescent="0.2">
      <c r="BH5907" s="25"/>
      <c r="BI5907" s="25"/>
      <c r="BJ5907" s="25"/>
      <c r="BK5907" s="25"/>
    </row>
    <row r="5908" spans="60:63" ht="14.25" x14ac:dyDescent="0.2">
      <c r="BH5908" s="25"/>
      <c r="BI5908" s="25"/>
      <c r="BJ5908" s="25"/>
      <c r="BK5908" s="25"/>
    </row>
    <row r="5909" spans="60:63" ht="14.25" x14ac:dyDescent="0.2">
      <c r="BH5909" s="25"/>
      <c r="BI5909" s="25"/>
      <c r="BJ5909" s="25"/>
      <c r="BK5909" s="25"/>
    </row>
    <row r="5910" spans="60:63" ht="14.25" x14ac:dyDescent="0.2">
      <c r="BH5910" s="25"/>
      <c r="BI5910" s="25"/>
      <c r="BJ5910" s="25"/>
      <c r="BK5910" s="25"/>
    </row>
    <row r="5911" spans="60:63" ht="14.25" x14ac:dyDescent="0.2">
      <c r="BH5911" s="25"/>
      <c r="BI5911" s="25"/>
      <c r="BJ5911" s="25"/>
      <c r="BK5911" s="25"/>
    </row>
    <row r="5912" spans="60:63" ht="14.25" x14ac:dyDescent="0.2">
      <c r="BH5912" s="25"/>
      <c r="BI5912" s="25"/>
      <c r="BJ5912" s="25"/>
      <c r="BK5912" s="25"/>
    </row>
    <row r="5913" spans="60:63" ht="14.25" x14ac:dyDescent="0.2">
      <c r="BH5913" s="25"/>
      <c r="BI5913" s="25"/>
      <c r="BJ5913" s="25"/>
      <c r="BK5913" s="25"/>
    </row>
    <row r="5914" spans="60:63" ht="14.25" x14ac:dyDescent="0.2">
      <c r="BH5914" s="25"/>
      <c r="BI5914" s="25"/>
      <c r="BJ5914" s="25"/>
      <c r="BK5914" s="25"/>
    </row>
    <row r="5915" spans="60:63" ht="14.25" x14ac:dyDescent="0.2">
      <c r="BH5915" s="25"/>
      <c r="BI5915" s="25"/>
      <c r="BJ5915" s="25"/>
      <c r="BK5915" s="25"/>
    </row>
    <row r="5916" spans="60:63" ht="14.25" x14ac:dyDescent="0.2">
      <c r="BH5916" s="25"/>
      <c r="BI5916" s="25"/>
      <c r="BJ5916" s="25"/>
      <c r="BK5916" s="25"/>
    </row>
    <row r="5917" spans="60:63" ht="14.25" x14ac:dyDescent="0.2">
      <c r="BH5917" s="25"/>
      <c r="BI5917" s="25"/>
      <c r="BJ5917" s="25"/>
      <c r="BK5917" s="25"/>
    </row>
    <row r="5918" spans="60:63" ht="14.25" x14ac:dyDescent="0.2">
      <c r="BH5918" s="25"/>
      <c r="BI5918" s="25"/>
      <c r="BJ5918" s="25"/>
      <c r="BK5918" s="25"/>
    </row>
    <row r="5919" spans="60:63" ht="14.25" x14ac:dyDescent="0.2">
      <c r="BH5919" s="25"/>
      <c r="BI5919" s="25"/>
      <c r="BJ5919" s="25"/>
      <c r="BK5919" s="25"/>
    </row>
    <row r="5920" spans="60:63" ht="14.25" x14ac:dyDescent="0.2">
      <c r="BH5920" s="25"/>
      <c r="BI5920" s="25"/>
      <c r="BJ5920" s="25"/>
      <c r="BK5920" s="25"/>
    </row>
    <row r="5921" spans="60:63" ht="14.25" x14ac:dyDescent="0.2">
      <c r="BH5921" s="25"/>
      <c r="BI5921" s="25"/>
      <c r="BJ5921" s="25"/>
      <c r="BK5921" s="25"/>
    </row>
    <row r="5922" spans="60:63" ht="14.25" x14ac:dyDescent="0.2">
      <c r="BH5922" s="25"/>
      <c r="BI5922" s="25"/>
      <c r="BJ5922" s="25"/>
      <c r="BK5922" s="25"/>
    </row>
    <row r="5923" spans="60:63" ht="14.25" x14ac:dyDescent="0.2">
      <c r="BH5923" s="25"/>
      <c r="BI5923" s="25"/>
      <c r="BJ5923" s="25"/>
      <c r="BK5923" s="25"/>
    </row>
    <row r="5924" spans="60:63" ht="14.25" x14ac:dyDescent="0.2">
      <c r="BH5924" s="25"/>
      <c r="BI5924" s="25"/>
      <c r="BJ5924" s="25"/>
      <c r="BK5924" s="25"/>
    </row>
    <row r="5925" spans="60:63" ht="14.25" x14ac:dyDescent="0.2">
      <c r="BH5925" s="25"/>
      <c r="BI5925" s="25"/>
      <c r="BJ5925" s="25"/>
      <c r="BK5925" s="25"/>
    </row>
    <row r="5926" spans="60:63" ht="14.25" x14ac:dyDescent="0.2">
      <c r="BH5926" s="25"/>
      <c r="BI5926" s="25"/>
      <c r="BJ5926" s="25"/>
      <c r="BK5926" s="25"/>
    </row>
    <row r="5927" spans="60:63" ht="14.25" x14ac:dyDescent="0.2">
      <c r="BH5927" s="25"/>
      <c r="BI5927" s="25"/>
      <c r="BJ5927" s="25"/>
      <c r="BK5927" s="25"/>
    </row>
    <row r="5928" spans="60:63" ht="14.25" x14ac:dyDescent="0.2">
      <c r="BH5928" s="25"/>
      <c r="BI5928" s="25"/>
      <c r="BJ5928" s="25"/>
      <c r="BK5928" s="25"/>
    </row>
    <row r="5929" spans="60:63" ht="14.25" x14ac:dyDescent="0.2">
      <c r="BH5929" s="25"/>
      <c r="BI5929" s="25"/>
      <c r="BJ5929" s="25"/>
      <c r="BK5929" s="25"/>
    </row>
    <row r="5930" spans="60:63" ht="14.25" x14ac:dyDescent="0.2">
      <c r="BH5930" s="25"/>
      <c r="BI5930" s="25"/>
      <c r="BJ5930" s="25"/>
      <c r="BK5930" s="25"/>
    </row>
    <row r="5931" spans="60:63" ht="14.25" x14ac:dyDescent="0.2">
      <c r="BH5931" s="25"/>
      <c r="BI5931" s="25"/>
      <c r="BJ5931" s="25"/>
      <c r="BK5931" s="25"/>
    </row>
    <row r="5932" spans="60:63" ht="14.25" x14ac:dyDescent="0.2">
      <c r="BH5932" s="25"/>
      <c r="BI5932" s="25"/>
      <c r="BJ5932" s="25"/>
      <c r="BK5932" s="25"/>
    </row>
    <row r="5933" spans="60:63" ht="14.25" x14ac:dyDescent="0.2">
      <c r="BH5933" s="25"/>
      <c r="BI5933" s="25"/>
      <c r="BJ5933" s="25"/>
      <c r="BK5933" s="25"/>
    </row>
    <row r="5934" spans="60:63" ht="14.25" x14ac:dyDescent="0.2">
      <c r="BH5934" s="25"/>
      <c r="BI5934" s="25"/>
      <c r="BJ5934" s="25"/>
      <c r="BK5934" s="25"/>
    </row>
    <row r="5935" spans="60:63" ht="14.25" x14ac:dyDescent="0.2">
      <c r="BH5935" s="25"/>
      <c r="BI5935" s="25"/>
      <c r="BJ5935" s="25"/>
      <c r="BK5935" s="25"/>
    </row>
    <row r="5936" spans="60:63" ht="14.25" x14ac:dyDescent="0.2">
      <c r="BH5936" s="25"/>
      <c r="BI5936" s="25"/>
      <c r="BJ5936" s="25"/>
      <c r="BK5936" s="25"/>
    </row>
    <row r="5937" spans="60:63" ht="14.25" x14ac:dyDescent="0.2">
      <c r="BH5937" s="25"/>
      <c r="BI5937" s="25"/>
      <c r="BJ5937" s="25"/>
      <c r="BK5937" s="25"/>
    </row>
    <row r="5938" spans="60:63" ht="14.25" x14ac:dyDescent="0.2">
      <c r="BH5938" s="25"/>
      <c r="BI5938" s="25"/>
      <c r="BJ5938" s="25"/>
      <c r="BK5938" s="25"/>
    </row>
    <row r="5939" spans="60:63" ht="14.25" x14ac:dyDescent="0.2">
      <c r="BH5939" s="25"/>
      <c r="BI5939" s="25"/>
      <c r="BJ5939" s="25"/>
      <c r="BK5939" s="25"/>
    </row>
    <row r="5940" spans="60:63" ht="14.25" x14ac:dyDescent="0.2">
      <c r="BH5940" s="25"/>
      <c r="BI5940" s="25"/>
      <c r="BJ5940" s="25"/>
      <c r="BK5940" s="25"/>
    </row>
    <row r="5941" spans="60:63" ht="14.25" x14ac:dyDescent="0.2">
      <c r="BH5941" s="25"/>
      <c r="BI5941" s="25"/>
      <c r="BJ5941" s="25"/>
      <c r="BK5941" s="25"/>
    </row>
    <row r="5942" spans="60:63" ht="14.25" x14ac:dyDescent="0.2">
      <c r="BH5942" s="25"/>
      <c r="BI5942" s="25"/>
      <c r="BJ5942" s="25"/>
      <c r="BK5942" s="25"/>
    </row>
    <row r="5943" spans="60:63" ht="14.25" x14ac:dyDescent="0.2">
      <c r="BH5943" s="25"/>
      <c r="BI5943" s="25"/>
      <c r="BJ5943" s="25"/>
      <c r="BK5943" s="25"/>
    </row>
    <row r="5944" spans="60:63" ht="14.25" x14ac:dyDescent="0.2">
      <c r="BH5944" s="25"/>
      <c r="BI5944" s="25"/>
      <c r="BJ5944" s="25"/>
      <c r="BK5944" s="25"/>
    </row>
    <row r="5945" spans="60:63" ht="14.25" x14ac:dyDescent="0.2">
      <c r="BH5945" s="25"/>
      <c r="BI5945" s="25"/>
      <c r="BJ5945" s="25"/>
      <c r="BK5945" s="25"/>
    </row>
    <row r="5946" spans="60:63" ht="14.25" x14ac:dyDescent="0.2">
      <c r="BH5946" s="25"/>
      <c r="BI5946" s="25"/>
      <c r="BJ5946" s="25"/>
      <c r="BK5946" s="25"/>
    </row>
    <row r="5947" spans="60:63" ht="14.25" x14ac:dyDescent="0.2">
      <c r="BH5947" s="25"/>
      <c r="BI5947" s="25"/>
      <c r="BJ5947" s="25"/>
      <c r="BK5947" s="25"/>
    </row>
    <row r="5948" spans="60:63" ht="14.25" x14ac:dyDescent="0.2">
      <c r="BH5948" s="25"/>
      <c r="BI5948" s="25"/>
      <c r="BJ5948" s="25"/>
      <c r="BK5948" s="25"/>
    </row>
    <row r="5949" spans="60:63" ht="14.25" x14ac:dyDescent="0.2">
      <c r="BH5949" s="25"/>
      <c r="BI5949" s="25"/>
      <c r="BJ5949" s="25"/>
      <c r="BK5949" s="25"/>
    </row>
    <row r="5950" spans="60:63" ht="14.25" x14ac:dyDescent="0.2">
      <c r="BH5950" s="25"/>
      <c r="BI5950" s="25"/>
      <c r="BJ5950" s="25"/>
      <c r="BK5950" s="25"/>
    </row>
    <row r="5951" spans="60:63" ht="14.25" x14ac:dyDescent="0.2">
      <c r="BH5951" s="25"/>
      <c r="BI5951" s="25"/>
      <c r="BJ5951" s="25"/>
      <c r="BK5951" s="25"/>
    </row>
    <row r="5952" spans="60:63" ht="14.25" x14ac:dyDescent="0.2">
      <c r="BH5952" s="25"/>
      <c r="BI5952" s="25"/>
      <c r="BJ5952" s="25"/>
      <c r="BK5952" s="25"/>
    </row>
    <row r="5953" spans="60:63" ht="14.25" x14ac:dyDescent="0.2">
      <c r="BH5953" s="25"/>
      <c r="BI5953" s="25"/>
      <c r="BJ5953" s="25"/>
      <c r="BK5953" s="25"/>
    </row>
    <row r="5954" spans="60:63" ht="14.25" x14ac:dyDescent="0.2">
      <c r="BH5954" s="25"/>
      <c r="BI5954" s="25"/>
      <c r="BJ5954" s="25"/>
      <c r="BK5954" s="25"/>
    </row>
    <row r="5955" spans="60:63" ht="14.25" x14ac:dyDescent="0.2">
      <c r="BH5955" s="25"/>
      <c r="BI5955" s="25"/>
      <c r="BJ5955" s="25"/>
      <c r="BK5955" s="25"/>
    </row>
    <row r="5956" spans="60:63" ht="14.25" x14ac:dyDescent="0.2">
      <c r="BH5956" s="25"/>
      <c r="BI5956" s="25"/>
      <c r="BJ5956" s="25"/>
      <c r="BK5956" s="25"/>
    </row>
    <row r="5957" spans="60:63" ht="14.25" x14ac:dyDescent="0.2">
      <c r="BH5957" s="25"/>
      <c r="BI5957" s="25"/>
      <c r="BJ5957" s="25"/>
      <c r="BK5957" s="25"/>
    </row>
    <row r="5958" spans="60:63" ht="14.25" x14ac:dyDescent="0.2">
      <c r="BH5958" s="25"/>
      <c r="BI5958" s="25"/>
      <c r="BJ5958" s="25"/>
      <c r="BK5958" s="25"/>
    </row>
    <row r="5959" spans="60:63" ht="14.25" x14ac:dyDescent="0.2">
      <c r="BH5959" s="25"/>
      <c r="BI5959" s="25"/>
      <c r="BJ5959" s="25"/>
      <c r="BK5959" s="25"/>
    </row>
    <row r="5960" spans="60:63" ht="14.25" x14ac:dyDescent="0.2">
      <c r="BH5960" s="25"/>
      <c r="BI5960" s="25"/>
      <c r="BJ5960" s="25"/>
      <c r="BK5960" s="25"/>
    </row>
    <row r="5961" spans="60:63" ht="14.25" x14ac:dyDescent="0.2">
      <c r="BH5961" s="25"/>
      <c r="BI5961" s="25"/>
      <c r="BJ5961" s="25"/>
      <c r="BK5961" s="25"/>
    </row>
    <row r="5962" spans="60:63" ht="14.25" x14ac:dyDescent="0.2">
      <c r="BH5962" s="25"/>
      <c r="BI5962" s="25"/>
      <c r="BJ5962" s="25"/>
      <c r="BK5962" s="25"/>
    </row>
    <row r="5963" spans="60:63" ht="14.25" x14ac:dyDescent="0.2">
      <c r="BH5963" s="25"/>
      <c r="BI5963" s="25"/>
      <c r="BJ5963" s="25"/>
      <c r="BK5963" s="25"/>
    </row>
    <row r="5964" spans="60:63" ht="14.25" x14ac:dyDescent="0.2">
      <c r="BH5964" s="25"/>
      <c r="BI5964" s="25"/>
      <c r="BJ5964" s="25"/>
      <c r="BK5964" s="25"/>
    </row>
    <row r="5965" spans="60:63" ht="14.25" x14ac:dyDescent="0.2">
      <c r="BH5965" s="25"/>
      <c r="BI5965" s="25"/>
      <c r="BJ5965" s="25"/>
      <c r="BK5965" s="25"/>
    </row>
    <row r="5966" spans="60:63" ht="14.25" x14ac:dyDescent="0.2">
      <c r="BH5966" s="25"/>
      <c r="BI5966" s="25"/>
      <c r="BJ5966" s="25"/>
      <c r="BK5966" s="25"/>
    </row>
    <row r="5967" spans="60:63" ht="14.25" x14ac:dyDescent="0.2">
      <c r="BH5967" s="25"/>
      <c r="BI5967" s="25"/>
      <c r="BJ5967" s="25"/>
      <c r="BK5967" s="25"/>
    </row>
    <row r="5968" spans="60:63" ht="14.25" x14ac:dyDescent="0.2">
      <c r="BH5968" s="25"/>
      <c r="BI5968" s="25"/>
      <c r="BJ5968" s="25"/>
      <c r="BK5968" s="25"/>
    </row>
    <row r="5969" spans="60:63" ht="14.25" x14ac:dyDescent="0.2">
      <c r="BH5969" s="25"/>
      <c r="BI5969" s="25"/>
      <c r="BJ5969" s="25"/>
      <c r="BK5969" s="25"/>
    </row>
    <row r="5970" spans="60:63" ht="14.25" x14ac:dyDescent="0.2">
      <c r="BH5970" s="25"/>
      <c r="BI5970" s="25"/>
      <c r="BJ5970" s="25"/>
      <c r="BK5970" s="25"/>
    </row>
    <row r="5971" spans="60:63" ht="14.25" x14ac:dyDescent="0.2">
      <c r="BH5971" s="25"/>
      <c r="BI5971" s="25"/>
      <c r="BJ5971" s="25"/>
      <c r="BK5971" s="25"/>
    </row>
    <row r="5972" spans="60:63" ht="14.25" x14ac:dyDescent="0.2">
      <c r="BH5972" s="25"/>
      <c r="BI5972" s="25"/>
      <c r="BJ5972" s="25"/>
      <c r="BK5972" s="25"/>
    </row>
    <row r="5973" spans="60:63" ht="14.25" x14ac:dyDescent="0.2">
      <c r="BH5973" s="25"/>
      <c r="BI5973" s="25"/>
      <c r="BJ5973" s="25"/>
      <c r="BK5973" s="25"/>
    </row>
    <row r="5974" spans="60:63" ht="14.25" x14ac:dyDescent="0.2">
      <c r="BH5974" s="25"/>
      <c r="BI5974" s="25"/>
      <c r="BJ5974" s="25"/>
      <c r="BK5974" s="25"/>
    </row>
    <row r="5975" spans="60:63" ht="14.25" x14ac:dyDescent="0.2">
      <c r="BH5975" s="25"/>
      <c r="BI5975" s="25"/>
      <c r="BJ5975" s="25"/>
      <c r="BK5975" s="25"/>
    </row>
    <row r="5976" spans="60:63" ht="14.25" x14ac:dyDescent="0.2">
      <c r="BH5976" s="25"/>
      <c r="BI5976" s="25"/>
      <c r="BJ5976" s="25"/>
      <c r="BK5976" s="25"/>
    </row>
    <row r="5977" spans="60:63" ht="14.25" x14ac:dyDescent="0.2">
      <c r="BH5977" s="25"/>
      <c r="BI5977" s="25"/>
      <c r="BJ5977" s="25"/>
      <c r="BK5977" s="25"/>
    </row>
    <row r="5978" spans="60:63" ht="14.25" x14ac:dyDescent="0.2">
      <c r="BH5978" s="25"/>
      <c r="BI5978" s="25"/>
      <c r="BJ5978" s="25"/>
      <c r="BK5978" s="25"/>
    </row>
    <row r="5979" spans="60:63" ht="14.25" x14ac:dyDescent="0.2">
      <c r="BH5979" s="25"/>
      <c r="BI5979" s="25"/>
      <c r="BJ5979" s="25"/>
      <c r="BK5979" s="25"/>
    </row>
    <row r="5980" spans="60:63" ht="14.25" x14ac:dyDescent="0.2">
      <c r="BH5980" s="25"/>
      <c r="BI5980" s="25"/>
      <c r="BJ5980" s="25"/>
      <c r="BK5980" s="25"/>
    </row>
    <row r="5981" spans="60:63" ht="14.25" x14ac:dyDescent="0.2">
      <c r="BH5981" s="25"/>
      <c r="BI5981" s="25"/>
      <c r="BJ5981" s="25"/>
      <c r="BK5981" s="25"/>
    </row>
    <row r="5982" spans="60:63" ht="14.25" x14ac:dyDescent="0.2">
      <c r="BH5982" s="25"/>
      <c r="BI5982" s="25"/>
      <c r="BJ5982" s="25"/>
      <c r="BK5982" s="25"/>
    </row>
    <row r="5983" spans="60:63" ht="14.25" x14ac:dyDescent="0.2">
      <c r="BH5983" s="25"/>
      <c r="BI5983" s="25"/>
      <c r="BJ5983" s="25"/>
      <c r="BK5983" s="25"/>
    </row>
    <row r="5984" spans="60:63" ht="14.25" x14ac:dyDescent="0.2">
      <c r="BH5984" s="25"/>
      <c r="BI5984" s="25"/>
      <c r="BJ5984" s="25"/>
      <c r="BK5984" s="25"/>
    </row>
    <row r="5985" spans="60:63" ht="14.25" x14ac:dyDescent="0.2">
      <c r="BH5985" s="25"/>
      <c r="BI5985" s="25"/>
      <c r="BJ5985" s="25"/>
      <c r="BK5985" s="25"/>
    </row>
    <row r="5986" spans="60:63" ht="14.25" x14ac:dyDescent="0.2">
      <c r="BH5986" s="25"/>
      <c r="BI5986" s="25"/>
      <c r="BJ5986" s="25"/>
      <c r="BK5986" s="25"/>
    </row>
    <row r="5987" spans="60:63" ht="14.25" x14ac:dyDescent="0.2">
      <c r="BH5987" s="25"/>
      <c r="BI5987" s="25"/>
      <c r="BJ5987" s="25"/>
      <c r="BK5987" s="25"/>
    </row>
    <row r="5988" spans="60:63" ht="14.25" x14ac:dyDescent="0.2">
      <c r="BH5988" s="25"/>
      <c r="BI5988" s="25"/>
      <c r="BJ5988" s="25"/>
      <c r="BK5988" s="25"/>
    </row>
    <row r="5989" spans="60:63" ht="14.25" x14ac:dyDescent="0.2">
      <c r="BH5989" s="25"/>
      <c r="BI5989" s="25"/>
      <c r="BJ5989" s="25"/>
      <c r="BK5989" s="25"/>
    </row>
    <row r="5990" spans="60:63" ht="14.25" x14ac:dyDescent="0.2">
      <c r="BH5990" s="25"/>
      <c r="BI5990" s="25"/>
      <c r="BJ5990" s="25"/>
      <c r="BK5990" s="25"/>
    </row>
    <row r="5991" spans="60:63" ht="14.25" x14ac:dyDescent="0.2">
      <c r="BH5991" s="25"/>
      <c r="BI5991" s="25"/>
      <c r="BJ5991" s="25"/>
      <c r="BK5991" s="25"/>
    </row>
    <row r="5992" spans="60:63" ht="14.25" x14ac:dyDescent="0.2">
      <c r="BH5992" s="25"/>
      <c r="BI5992" s="25"/>
      <c r="BJ5992" s="25"/>
      <c r="BK5992" s="25"/>
    </row>
    <row r="5993" spans="60:63" ht="14.25" x14ac:dyDescent="0.2">
      <c r="BH5993" s="25"/>
      <c r="BI5993" s="25"/>
      <c r="BJ5993" s="25"/>
      <c r="BK5993" s="25"/>
    </row>
    <row r="5994" spans="60:63" ht="14.25" x14ac:dyDescent="0.2">
      <c r="BH5994" s="25"/>
      <c r="BI5994" s="25"/>
      <c r="BJ5994" s="25"/>
      <c r="BK5994" s="25"/>
    </row>
    <row r="5995" spans="60:63" ht="14.25" x14ac:dyDescent="0.2">
      <c r="BH5995" s="25"/>
      <c r="BI5995" s="25"/>
      <c r="BJ5995" s="25"/>
      <c r="BK5995" s="25"/>
    </row>
    <row r="5996" spans="60:63" ht="14.25" x14ac:dyDescent="0.2">
      <c r="BH5996" s="25"/>
      <c r="BI5996" s="25"/>
      <c r="BJ5996" s="25"/>
      <c r="BK5996" s="25"/>
    </row>
    <row r="5997" spans="60:63" ht="14.25" x14ac:dyDescent="0.2">
      <c r="BH5997" s="25"/>
      <c r="BI5997" s="25"/>
      <c r="BJ5997" s="25"/>
      <c r="BK5997" s="25"/>
    </row>
    <row r="5998" spans="60:63" ht="14.25" x14ac:dyDescent="0.2">
      <c r="BH5998" s="25"/>
      <c r="BI5998" s="25"/>
      <c r="BJ5998" s="25"/>
      <c r="BK5998" s="25"/>
    </row>
    <row r="5999" spans="60:63" ht="14.25" x14ac:dyDescent="0.2">
      <c r="BH5999" s="25"/>
      <c r="BI5999" s="25"/>
      <c r="BJ5999" s="25"/>
      <c r="BK5999" s="25"/>
    </row>
    <row r="6000" spans="60:63" ht="14.25" x14ac:dyDescent="0.2">
      <c r="BH6000" s="25"/>
      <c r="BI6000" s="25"/>
      <c r="BJ6000" s="25"/>
      <c r="BK6000" s="25"/>
    </row>
    <row r="6001" spans="60:63" ht="14.25" x14ac:dyDescent="0.2">
      <c r="BH6001" s="25"/>
      <c r="BI6001" s="25"/>
      <c r="BJ6001" s="25"/>
      <c r="BK6001" s="25"/>
    </row>
    <row r="6002" spans="60:63" ht="14.25" x14ac:dyDescent="0.2">
      <c r="BH6002" s="25"/>
      <c r="BI6002" s="25"/>
      <c r="BJ6002" s="25"/>
      <c r="BK6002" s="25"/>
    </row>
    <row r="6003" spans="60:63" ht="14.25" x14ac:dyDescent="0.2">
      <c r="BH6003" s="25"/>
      <c r="BI6003" s="25"/>
      <c r="BJ6003" s="25"/>
      <c r="BK6003" s="25"/>
    </row>
    <row r="6004" spans="60:63" ht="14.25" x14ac:dyDescent="0.2">
      <c r="BH6004" s="25"/>
      <c r="BI6004" s="25"/>
      <c r="BJ6004" s="25"/>
      <c r="BK6004" s="25"/>
    </row>
    <row r="6005" spans="60:63" ht="14.25" x14ac:dyDescent="0.2">
      <c r="BH6005" s="25"/>
      <c r="BI6005" s="25"/>
      <c r="BJ6005" s="25"/>
      <c r="BK6005" s="25"/>
    </row>
    <row r="6006" spans="60:63" ht="14.25" x14ac:dyDescent="0.2">
      <c r="BH6006" s="25"/>
      <c r="BI6006" s="25"/>
      <c r="BJ6006" s="25"/>
      <c r="BK6006" s="25"/>
    </row>
    <row r="6007" spans="60:63" ht="14.25" x14ac:dyDescent="0.2">
      <c r="BH6007" s="25"/>
      <c r="BI6007" s="25"/>
      <c r="BJ6007" s="25"/>
      <c r="BK6007" s="25"/>
    </row>
    <row r="6008" spans="60:63" ht="14.25" x14ac:dyDescent="0.2">
      <c r="BH6008" s="25"/>
      <c r="BI6008" s="25"/>
      <c r="BJ6008" s="25"/>
      <c r="BK6008" s="25"/>
    </row>
    <row r="6009" spans="60:63" ht="14.25" x14ac:dyDescent="0.2">
      <c r="BH6009" s="25"/>
      <c r="BI6009" s="25"/>
      <c r="BJ6009" s="25"/>
      <c r="BK6009" s="25"/>
    </row>
    <row r="6010" spans="60:63" ht="14.25" x14ac:dyDescent="0.2">
      <c r="BH6010" s="25"/>
      <c r="BI6010" s="25"/>
      <c r="BJ6010" s="25"/>
      <c r="BK6010" s="25"/>
    </row>
    <row r="6011" spans="60:63" ht="14.25" x14ac:dyDescent="0.2">
      <c r="BH6011" s="25"/>
      <c r="BI6011" s="25"/>
      <c r="BJ6011" s="25"/>
      <c r="BK6011" s="25"/>
    </row>
    <row r="6012" spans="60:63" ht="14.25" x14ac:dyDescent="0.2">
      <c r="BH6012" s="25"/>
      <c r="BI6012" s="25"/>
      <c r="BJ6012" s="25"/>
      <c r="BK6012" s="25"/>
    </row>
    <row r="6013" spans="60:63" ht="14.25" x14ac:dyDescent="0.2">
      <c r="BH6013" s="25"/>
      <c r="BI6013" s="25"/>
      <c r="BJ6013" s="25"/>
      <c r="BK6013" s="25"/>
    </row>
    <row r="6014" spans="60:63" ht="14.25" x14ac:dyDescent="0.2">
      <c r="BH6014" s="25"/>
      <c r="BI6014" s="25"/>
      <c r="BJ6014" s="25"/>
      <c r="BK6014" s="25"/>
    </row>
    <row r="6015" spans="60:63" ht="14.25" x14ac:dyDescent="0.2">
      <c r="BH6015" s="25"/>
      <c r="BI6015" s="25"/>
      <c r="BJ6015" s="25"/>
      <c r="BK6015" s="25"/>
    </row>
    <row r="6016" spans="60:63" ht="14.25" x14ac:dyDescent="0.2">
      <c r="BH6016" s="25"/>
      <c r="BI6016" s="25"/>
      <c r="BJ6016" s="25"/>
      <c r="BK6016" s="25"/>
    </row>
    <row r="6017" spans="60:63" ht="14.25" x14ac:dyDescent="0.2">
      <c r="BH6017" s="25"/>
      <c r="BI6017" s="25"/>
      <c r="BJ6017" s="25"/>
      <c r="BK6017" s="25"/>
    </row>
    <row r="6018" spans="60:63" ht="14.25" x14ac:dyDescent="0.2">
      <c r="BH6018" s="25"/>
      <c r="BI6018" s="25"/>
      <c r="BJ6018" s="25"/>
      <c r="BK6018" s="25"/>
    </row>
    <row r="6019" spans="60:63" ht="14.25" x14ac:dyDescent="0.2">
      <c r="BH6019" s="25"/>
      <c r="BI6019" s="25"/>
      <c r="BJ6019" s="25"/>
      <c r="BK6019" s="25"/>
    </row>
    <row r="6020" spans="60:63" ht="14.25" x14ac:dyDescent="0.2">
      <c r="BH6020" s="25"/>
      <c r="BI6020" s="25"/>
      <c r="BJ6020" s="25"/>
      <c r="BK6020" s="25"/>
    </row>
    <row r="6021" spans="60:63" ht="14.25" x14ac:dyDescent="0.2">
      <c r="BH6021" s="25"/>
      <c r="BI6021" s="25"/>
      <c r="BJ6021" s="25"/>
      <c r="BK6021" s="25"/>
    </row>
    <row r="6022" spans="60:63" ht="14.25" x14ac:dyDescent="0.2">
      <c r="BH6022" s="25"/>
      <c r="BI6022" s="25"/>
      <c r="BJ6022" s="25"/>
      <c r="BK6022" s="25"/>
    </row>
    <row r="6023" spans="60:63" ht="14.25" x14ac:dyDescent="0.2">
      <c r="BH6023" s="25"/>
      <c r="BI6023" s="25"/>
      <c r="BJ6023" s="25"/>
      <c r="BK6023" s="25"/>
    </row>
    <row r="6024" spans="60:63" ht="14.25" x14ac:dyDescent="0.2">
      <c r="BH6024" s="25"/>
      <c r="BI6024" s="25"/>
      <c r="BJ6024" s="25"/>
      <c r="BK6024" s="25"/>
    </row>
    <row r="6025" spans="60:63" ht="14.25" x14ac:dyDescent="0.2">
      <c r="BH6025" s="25"/>
      <c r="BI6025" s="25"/>
      <c r="BJ6025" s="25"/>
      <c r="BK6025" s="25"/>
    </row>
    <row r="6026" spans="60:63" ht="14.25" x14ac:dyDescent="0.2">
      <c r="BH6026" s="25"/>
      <c r="BI6026" s="25"/>
      <c r="BJ6026" s="25"/>
      <c r="BK6026" s="25"/>
    </row>
    <row r="6027" spans="60:63" ht="14.25" x14ac:dyDescent="0.2">
      <c r="BH6027" s="25"/>
      <c r="BI6027" s="25"/>
      <c r="BJ6027" s="25"/>
      <c r="BK6027" s="25"/>
    </row>
    <row r="6028" spans="60:63" ht="14.25" x14ac:dyDescent="0.2">
      <c r="BH6028" s="25"/>
      <c r="BI6028" s="25"/>
      <c r="BJ6028" s="25"/>
      <c r="BK6028" s="25"/>
    </row>
    <row r="6029" spans="60:63" ht="14.25" x14ac:dyDescent="0.2">
      <c r="BH6029" s="25"/>
      <c r="BI6029" s="25"/>
      <c r="BJ6029" s="25"/>
      <c r="BK6029" s="25"/>
    </row>
    <row r="6030" spans="60:63" ht="14.25" x14ac:dyDescent="0.2">
      <c r="BH6030" s="25"/>
      <c r="BI6030" s="25"/>
      <c r="BJ6030" s="25"/>
      <c r="BK6030" s="25"/>
    </row>
    <row r="6031" spans="60:63" ht="14.25" x14ac:dyDescent="0.2">
      <c r="BH6031" s="25"/>
      <c r="BI6031" s="25"/>
      <c r="BJ6031" s="25"/>
      <c r="BK6031" s="25"/>
    </row>
    <row r="6032" spans="60:63" ht="14.25" x14ac:dyDescent="0.2">
      <c r="BH6032" s="25"/>
      <c r="BI6032" s="25"/>
      <c r="BJ6032" s="25"/>
      <c r="BK6032" s="25"/>
    </row>
    <row r="6033" spans="60:63" ht="14.25" x14ac:dyDescent="0.2">
      <c r="BH6033" s="25"/>
      <c r="BI6033" s="25"/>
      <c r="BJ6033" s="25"/>
      <c r="BK6033" s="25"/>
    </row>
    <row r="6034" spans="60:63" ht="14.25" x14ac:dyDescent="0.2">
      <c r="BH6034" s="25"/>
      <c r="BI6034" s="25"/>
      <c r="BJ6034" s="25"/>
      <c r="BK6034" s="25"/>
    </row>
    <row r="6035" spans="60:63" ht="14.25" x14ac:dyDescent="0.2">
      <c r="BH6035" s="25"/>
      <c r="BI6035" s="25"/>
      <c r="BJ6035" s="25"/>
      <c r="BK6035" s="25"/>
    </row>
    <row r="6036" spans="60:63" ht="14.25" x14ac:dyDescent="0.2">
      <c r="BH6036" s="25"/>
      <c r="BI6036" s="25"/>
      <c r="BJ6036" s="25"/>
      <c r="BK6036" s="25"/>
    </row>
    <row r="6037" spans="60:63" ht="14.25" x14ac:dyDescent="0.2">
      <c r="BH6037" s="25"/>
      <c r="BI6037" s="25"/>
      <c r="BJ6037" s="25"/>
      <c r="BK6037" s="25"/>
    </row>
    <row r="6038" spans="60:63" ht="14.25" x14ac:dyDescent="0.2">
      <c r="BH6038" s="25"/>
      <c r="BI6038" s="25"/>
      <c r="BJ6038" s="25"/>
      <c r="BK6038" s="25"/>
    </row>
    <row r="6039" spans="60:63" ht="14.25" x14ac:dyDescent="0.2">
      <c r="BH6039" s="25"/>
      <c r="BI6039" s="25"/>
      <c r="BJ6039" s="25"/>
      <c r="BK6039" s="25"/>
    </row>
    <row r="6040" spans="60:63" ht="14.25" x14ac:dyDescent="0.2">
      <c r="BH6040" s="25"/>
      <c r="BI6040" s="25"/>
      <c r="BJ6040" s="25"/>
      <c r="BK6040" s="25"/>
    </row>
    <row r="6041" spans="60:63" ht="14.25" x14ac:dyDescent="0.2">
      <c r="BH6041" s="25"/>
      <c r="BI6041" s="25"/>
      <c r="BJ6041" s="25"/>
      <c r="BK6041" s="25"/>
    </row>
    <row r="6042" spans="60:63" ht="14.25" x14ac:dyDescent="0.2">
      <c r="BH6042" s="25"/>
      <c r="BI6042" s="25"/>
      <c r="BJ6042" s="25"/>
      <c r="BK6042" s="25"/>
    </row>
    <row r="6043" spans="60:63" ht="14.25" x14ac:dyDescent="0.2">
      <c r="BH6043" s="25"/>
      <c r="BI6043" s="25"/>
      <c r="BJ6043" s="25"/>
      <c r="BK6043" s="25"/>
    </row>
    <row r="6044" spans="60:63" ht="14.25" x14ac:dyDescent="0.2">
      <c r="BH6044" s="25"/>
      <c r="BI6044" s="25"/>
      <c r="BJ6044" s="25"/>
      <c r="BK6044" s="25"/>
    </row>
    <row r="6045" spans="60:63" ht="14.25" x14ac:dyDescent="0.2">
      <c r="BH6045" s="25"/>
      <c r="BI6045" s="25"/>
      <c r="BJ6045" s="25"/>
      <c r="BK6045" s="25"/>
    </row>
    <row r="6046" spans="60:63" ht="14.25" x14ac:dyDescent="0.2">
      <c r="BH6046" s="25"/>
      <c r="BI6046" s="25"/>
      <c r="BJ6046" s="25"/>
      <c r="BK6046" s="25"/>
    </row>
    <row r="6047" spans="60:63" ht="14.25" x14ac:dyDescent="0.2">
      <c r="BH6047" s="25"/>
      <c r="BI6047" s="25"/>
      <c r="BJ6047" s="25"/>
      <c r="BK6047" s="25"/>
    </row>
    <row r="6048" spans="60:63" ht="14.25" x14ac:dyDescent="0.2">
      <c r="BH6048" s="25"/>
      <c r="BI6048" s="25"/>
      <c r="BJ6048" s="25"/>
      <c r="BK6048" s="25"/>
    </row>
    <row r="6049" spans="60:63" ht="14.25" x14ac:dyDescent="0.2">
      <c r="BH6049" s="25"/>
      <c r="BI6049" s="25"/>
      <c r="BJ6049" s="25"/>
      <c r="BK6049" s="25"/>
    </row>
    <row r="6050" spans="60:63" ht="14.25" x14ac:dyDescent="0.2">
      <c r="BH6050" s="25"/>
      <c r="BI6050" s="25"/>
      <c r="BJ6050" s="25"/>
      <c r="BK6050" s="25"/>
    </row>
    <row r="6051" spans="60:63" ht="14.25" x14ac:dyDescent="0.2">
      <c r="BH6051" s="25"/>
      <c r="BI6051" s="25"/>
      <c r="BJ6051" s="25"/>
      <c r="BK6051" s="25"/>
    </row>
    <row r="6052" spans="60:63" ht="14.25" x14ac:dyDescent="0.2">
      <c r="BH6052" s="25"/>
      <c r="BI6052" s="25"/>
      <c r="BJ6052" s="25"/>
      <c r="BK6052" s="25"/>
    </row>
    <row r="6053" spans="60:63" ht="14.25" x14ac:dyDescent="0.2">
      <c r="BH6053" s="25"/>
      <c r="BI6053" s="25"/>
      <c r="BJ6053" s="25"/>
      <c r="BK6053" s="25"/>
    </row>
    <row r="6054" spans="60:63" ht="14.25" x14ac:dyDescent="0.2">
      <c r="BH6054" s="25"/>
      <c r="BI6054" s="25"/>
      <c r="BJ6054" s="25"/>
      <c r="BK6054" s="25"/>
    </row>
    <row r="6055" spans="60:63" ht="14.25" x14ac:dyDescent="0.2">
      <c r="BH6055" s="25"/>
      <c r="BI6055" s="25"/>
      <c r="BJ6055" s="25"/>
      <c r="BK6055" s="25"/>
    </row>
    <row r="6056" spans="60:63" ht="14.25" x14ac:dyDescent="0.2">
      <c r="BH6056" s="25"/>
      <c r="BI6056" s="25"/>
      <c r="BJ6056" s="25"/>
      <c r="BK6056" s="25"/>
    </row>
    <row r="6057" spans="60:63" ht="14.25" x14ac:dyDescent="0.2">
      <c r="BH6057" s="25"/>
      <c r="BI6057" s="25"/>
      <c r="BJ6057" s="25"/>
      <c r="BK6057" s="25"/>
    </row>
    <row r="6058" spans="60:63" ht="14.25" x14ac:dyDescent="0.2">
      <c r="BH6058" s="25"/>
      <c r="BI6058" s="25"/>
      <c r="BJ6058" s="25"/>
      <c r="BK6058" s="25"/>
    </row>
    <row r="6059" spans="60:63" ht="14.25" x14ac:dyDescent="0.2">
      <c r="BH6059" s="25"/>
      <c r="BI6059" s="25"/>
      <c r="BJ6059" s="25"/>
      <c r="BK6059" s="25"/>
    </row>
    <row r="6060" spans="60:63" ht="14.25" x14ac:dyDescent="0.2">
      <c r="BH6060" s="25"/>
      <c r="BI6060" s="25"/>
      <c r="BJ6060" s="25"/>
      <c r="BK6060" s="25"/>
    </row>
    <row r="6061" spans="60:63" ht="14.25" x14ac:dyDescent="0.2">
      <c r="BH6061" s="25"/>
      <c r="BI6061" s="25"/>
      <c r="BJ6061" s="25"/>
      <c r="BK6061" s="25"/>
    </row>
    <row r="6062" spans="60:63" ht="14.25" x14ac:dyDescent="0.2">
      <c r="BH6062" s="25"/>
      <c r="BI6062" s="25"/>
      <c r="BJ6062" s="25"/>
      <c r="BK6062" s="25"/>
    </row>
    <row r="6063" spans="60:63" ht="14.25" x14ac:dyDescent="0.2">
      <c r="BH6063" s="25"/>
      <c r="BI6063" s="25"/>
      <c r="BJ6063" s="25"/>
      <c r="BK6063" s="25"/>
    </row>
    <row r="6064" spans="60:63" ht="14.25" x14ac:dyDescent="0.2">
      <c r="BH6064" s="25"/>
      <c r="BI6064" s="25"/>
      <c r="BJ6064" s="25"/>
      <c r="BK6064" s="25"/>
    </row>
    <row r="6065" spans="60:63" ht="14.25" x14ac:dyDescent="0.2">
      <c r="BH6065" s="25"/>
      <c r="BI6065" s="25"/>
      <c r="BJ6065" s="25"/>
      <c r="BK6065" s="25"/>
    </row>
    <row r="6066" spans="60:63" ht="14.25" x14ac:dyDescent="0.2">
      <c r="BH6066" s="25"/>
      <c r="BI6066" s="25"/>
      <c r="BJ6066" s="25"/>
      <c r="BK6066" s="25"/>
    </row>
    <row r="6067" spans="60:63" ht="14.25" x14ac:dyDescent="0.2">
      <c r="BH6067" s="25"/>
      <c r="BI6067" s="25"/>
      <c r="BJ6067" s="25"/>
      <c r="BK6067" s="25"/>
    </row>
    <row r="6068" spans="60:63" ht="14.25" x14ac:dyDescent="0.2">
      <c r="BH6068" s="25"/>
      <c r="BI6068" s="25"/>
      <c r="BJ6068" s="25"/>
      <c r="BK6068" s="25"/>
    </row>
    <row r="6069" spans="60:63" ht="14.25" x14ac:dyDescent="0.2">
      <c r="BH6069" s="25"/>
      <c r="BI6069" s="25"/>
      <c r="BJ6069" s="25"/>
      <c r="BK6069" s="25"/>
    </row>
    <row r="6070" spans="60:63" ht="14.25" x14ac:dyDescent="0.2">
      <c r="BH6070" s="25"/>
      <c r="BI6070" s="25"/>
      <c r="BJ6070" s="25"/>
      <c r="BK6070" s="25"/>
    </row>
    <row r="6071" spans="60:63" ht="14.25" x14ac:dyDescent="0.2">
      <c r="BH6071" s="25"/>
      <c r="BI6071" s="25"/>
      <c r="BJ6071" s="25"/>
      <c r="BK6071" s="25"/>
    </row>
    <row r="6072" spans="60:63" ht="14.25" x14ac:dyDescent="0.2">
      <c r="BH6072" s="25"/>
      <c r="BI6072" s="25"/>
      <c r="BJ6072" s="25"/>
      <c r="BK6072" s="25"/>
    </row>
    <row r="6073" spans="60:63" ht="14.25" x14ac:dyDescent="0.2">
      <c r="BH6073" s="25"/>
      <c r="BI6073" s="25"/>
      <c r="BJ6073" s="25"/>
      <c r="BK6073" s="25"/>
    </row>
    <row r="6074" spans="60:63" ht="14.25" x14ac:dyDescent="0.2">
      <c r="BH6074" s="25"/>
      <c r="BI6074" s="25"/>
      <c r="BJ6074" s="25"/>
      <c r="BK6074" s="25"/>
    </row>
    <row r="6075" spans="60:63" ht="14.25" x14ac:dyDescent="0.2">
      <c r="BH6075" s="25"/>
      <c r="BI6075" s="25"/>
      <c r="BJ6075" s="25"/>
      <c r="BK6075" s="25"/>
    </row>
    <row r="6076" spans="60:63" ht="14.25" x14ac:dyDescent="0.2">
      <c r="BH6076" s="25"/>
      <c r="BI6076" s="25"/>
      <c r="BJ6076" s="25"/>
      <c r="BK6076" s="25"/>
    </row>
    <row r="6077" spans="60:63" ht="14.25" x14ac:dyDescent="0.2">
      <c r="BH6077" s="25"/>
      <c r="BI6077" s="25"/>
      <c r="BJ6077" s="25"/>
      <c r="BK6077" s="25"/>
    </row>
    <row r="6078" spans="60:63" ht="14.25" x14ac:dyDescent="0.2">
      <c r="BH6078" s="25"/>
      <c r="BI6078" s="25"/>
      <c r="BJ6078" s="25"/>
      <c r="BK6078" s="25"/>
    </row>
    <row r="6079" spans="60:63" ht="14.25" x14ac:dyDescent="0.2">
      <c r="BH6079" s="25"/>
      <c r="BI6079" s="25"/>
      <c r="BJ6079" s="25"/>
      <c r="BK6079" s="25"/>
    </row>
    <row r="6080" spans="60:63" ht="14.25" x14ac:dyDescent="0.2">
      <c r="BH6080" s="25"/>
      <c r="BI6080" s="25"/>
      <c r="BJ6080" s="25"/>
      <c r="BK6080" s="25"/>
    </row>
    <row r="6081" spans="60:63" ht="14.25" x14ac:dyDescent="0.2">
      <c r="BH6081" s="25"/>
      <c r="BI6081" s="25"/>
      <c r="BJ6081" s="25"/>
      <c r="BK6081" s="25"/>
    </row>
    <row r="6082" spans="60:63" ht="14.25" x14ac:dyDescent="0.2">
      <c r="BH6082" s="25"/>
      <c r="BI6082" s="25"/>
      <c r="BJ6082" s="25"/>
      <c r="BK6082" s="25"/>
    </row>
    <row r="6083" spans="60:63" ht="14.25" x14ac:dyDescent="0.2">
      <c r="BH6083" s="25"/>
      <c r="BI6083" s="25"/>
      <c r="BJ6083" s="25"/>
      <c r="BK6083" s="25"/>
    </row>
    <row r="6084" spans="60:63" ht="14.25" x14ac:dyDescent="0.2">
      <c r="BH6084" s="25"/>
      <c r="BI6084" s="25"/>
      <c r="BJ6084" s="25"/>
      <c r="BK6084" s="25"/>
    </row>
    <row r="6085" spans="60:63" ht="14.25" x14ac:dyDescent="0.2">
      <c r="BH6085" s="25"/>
      <c r="BI6085" s="25"/>
      <c r="BJ6085" s="25"/>
      <c r="BK6085" s="25"/>
    </row>
    <row r="6086" spans="60:63" ht="14.25" x14ac:dyDescent="0.2">
      <c r="BH6086" s="25"/>
      <c r="BI6086" s="25"/>
      <c r="BJ6086" s="25"/>
      <c r="BK6086" s="25"/>
    </row>
    <row r="6087" spans="60:63" ht="14.25" x14ac:dyDescent="0.2">
      <c r="BH6087" s="25"/>
      <c r="BI6087" s="25"/>
      <c r="BJ6087" s="25"/>
      <c r="BK6087" s="25"/>
    </row>
    <row r="6088" spans="60:63" ht="14.25" x14ac:dyDescent="0.2">
      <c r="BH6088" s="25"/>
      <c r="BI6088" s="25"/>
      <c r="BJ6088" s="25"/>
      <c r="BK6088" s="25"/>
    </row>
    <row r="6089" spans="60:63" ht="14.25" x14ac:dyDescent="0.2">
      <c r="BH6089" s="25"/>
      <c r="BI6089" s="25"/>
      <c r="BJ6089" s="25"/>
      <c r="BK6089" s="25"/>
    </row>
    <row r="6090" spans="60:63" ht="14.25" x14ac:dyDescent="0.2">
      <c r="BH6090" s="25"/>
      <c r="BI6090" s="25"/>
      <c r="BJ6090" s="25"/>
      <c r="BK6090" s="25"/>
    </row>
    <row r="6091" spans="60:63" ht="14.25" x14ac:dyDescent="0.2">
      <c r="BH6091" s="25"/>
      <c r="BI6091" s="25"/>
      <c r="BJ6091" s="25"/>
      <c r="BK6091" s="25"/>
    </row>
    <row r="6092" spans="60:63" ht="14.25" x14ac:dyDescent="0.2">
      <c r="BH6092" s="25"/>
      <c r="BI6092" s="25"/>
      <c r="BJ6092" s="25"/>
      <c r="BK6092" s="25"/>
    </row>
    <row r="6093" spans="60:63" ht="14.25" x14ac:dyDescent="0.2">
      <c r="BH6093" s="25"/>
      <c r="BI6093" s="25"/>
      <c r="BJ6093" s="25"/>
      <c r="BK6093" s="25"/>
    </row>
    <row r="6094" spans="60:63" ht="14.25" x14ac:dyDescent="0.2">
      <c r="BH6094" s="25"/>
      <c r="BI6094" s="25"/>
      <c r="BJ6094" s="25"/>
      <c r="BK6094" s="25"/>
    </row>
    <row r="6095" spans="60:63" ht="14.25" x14ac:dyDescent="0.2">
      <c r="BH6095" s="25"/>
      <c r="BI6095" s="25"/>
      <c r="BJ6095" s="25"/>
      <c r="BK6095" s="25"/>
    </row>
    <row r="6096" spans="60:63" ht="14.25" x14ac:dyDescent="0.2">
      <c r="BH6096" s="25"/>
      <c r="BI6096" s="25"/>
      <c r="BJ6096" s="25"/>
      <c r="BK6096" s="25"/>
    </row>
    <row r="6097" spans="60:63" ht="14.25" x14ac:dyDescent="0.2">
      <c r="BH6097" s="25"/>
      <c r="BI6097" s="25"/>
      <c r="BJ6097" s="25"/>
      <c r="BK6097" s="25"/>
    </row>
    <row r="6098" spans="60:63" ht="14.25" x14ac:dyDescent="0.2">
      <c r="BH6098" s="25"/>
      <c r="BI6098" s="25"/>
      <c r="BJ6098" s="25"/>
      <c r="BK6098" s="25"/>
    </row>
    <row r="6099" spans="60:63" ht="14.25" x14ac:dyDescent="0.2">
      <c r="BH6099" s="25"/>
      <c r="BI6099" s="25"/>
      <c r="BJ6099" s="25"/>
      <c r="BK6099" s="25"/>
    </row>
    <row r="6100" spans="60:63" ht="14.25" x14ac:dyDescent="0.2">
      <c r="BH6100" s="25"/>
      <c r="BI6100" s="25"/>
      <c r="BJ6100" s="25"/>
      <c r="BK6100" s="25"/>
    </row>
    <row r="6101" spans="60:63" ht="14.25" x14ac:dyDescent="0.2">
      <c r="BH6101" s="25"/>
      <c r="BI6101" s="25"/>
      <c r="BJ6101" s="25"/>
      <c r="BK6101" s="25"/>
    </row>
    <row r="6102" spans="60:63" ht="14.25" x14ac:dyDescent="0.2">
      <c r="BH6102" s="25"/>
      <c r="BI6102" s="25"/>
      <c r="BJ6102" s="25"/>
      <c r="BK6102" s="25"/>
    </row>
    <row r="6103" spans="60:63" ht="14.25" x14ac:dyDescent="0.2">
      <c r="BH6103" s="25"/>
      <c r="BI6103" s="25"/>
      <c r="BJ6103" s="25"/>
      <c r="BK6103" s="25"/>
    </row>
    <row r="6104" spans="60:63" ht="14.25" x14ac:dyDescent="0.2">
      <c r="BH6104" s="25"/>
      <c r="BI6104" s="25"/>
      <c r="BJ6104" s="25"/>
      <c r="BK6104" s="25"/>
    </row>
    <row r="6105" spans="60:63" ht="14.25" x14ac:dyDescent="0.2">
      <c r="BH6105" s="25"/>
      <c r="BI6105" s="25"/>
      <c r="BJ6105" s="25"/>
      <c r="BK6105" s="25"/>
    </row>
    <row r="6106" spans="60:63" ht="14.25" x14ac:dyDescent="0.2">
      <c r="BH6106" s="25"/>
      <c r="BI6106" s="25"/>
      <c r="BJ6106" s="25"/>
      <c r="BK6106" s="25"/>
    </row>
    <row r="6107" spans="60:63" ht="14.25" x14ac:dyDescent="0.2">
      <c r="BH6107" s="25"/>
      <c r="BI6107" s="25"/>
      <c r="BJ6107" s="25"/>
      <c r="BK6107" s="25"/>
    </row>
    <row r="6108" spans="60:63" ht="14.25" x14ac:dyDescent="0.2">
      <c r="BH6108" s="25"/>
      <c r="BI6108" s="25"/>
      <c r="BJ6108" s="25"/>
      <c r="BK6108" s="25"/>
    </row>
    <row r="6109" spans="60:63" ht="14.25" x14ac:dyDescent="0.2">
      <c r="BH6109" s="25"/>
      <c r="BI6109" s="25"/>
      <c r="BJ6109" s="25"/>
      <c r="BK6109" s="25"/>
    </row>
    <row r="6110" spans="60:63" ht="14.25" x14ac:dyDescent="0.2">
      <c r="BH6110" s="25"/>
      <c r="BI6110" s="25"/>
      <c r="BJ6110" s="25"/>
      <c r="BK6110" s="25"/>
    </row>
    <row r="6111" spans="60:63" ht="14.25" x14ac:dyDescent="0.2">
      <c r="BH6111" s="25"/>
      <c r="BI6111" s="25"/>
      <c r="BJ6111" s="25"/>
      <c r="BK6111" s="25"/>
    </row>
    <row r="6112" spans="60:63" ht="14.25" x14ac:dyDescent="0.2">
      <c r="BH6112" s="25"/>
      <c r="BI6112" s="25"/>
      <c r="BJ6112" s="25"/>
      <c r="BK6112" s="25"/>
    </row>
    <row r="6113" spans="60:63" ht="14.25" x14ac:dyDescent="0.2">
      <c r="BH6113" s="25"/>
      <c r="BI6113" s="25"/>
      <c r="BJ6113" s="25"/>
      <c r="BK6113" s="25"/>
    </row>
    <row r="6114" spans="60:63" ht="14.25" x14ac:dyDescent="0.2">
      <c r="BH6114" s="25"/>
      <c r="BI6114" s="25"/>
      <c r="BJ6114" s="25"/>
      <c r="BK6114" s="25"/>
    </row>
    <row r="6115" spans="60:63" ht="14.25" x14ac:dyDescent="0.2">
      <c r="BH6115" s="25"/>
      <c r="BI6115" s="25"/>
      <c r="BJ6115" s="25"/>
      <c r="BK6115" s="25"/>
    </row>
    <row r="6116" spans="60:63" ht="14.25" x14ac:dyDescent="0.2">
      <c r="BH6116" s="25"/>
      <c r="BI6116" s="25"/>
      <c r="BJ6116" s="25"/>
      <c r="BK6116" s="25"/>
    </row>
    <row r="6117" spans="60:63" ht="14.25" x14ac:dyDescent="0.2">
      <c r="BH6117" s="25"/>
      <c r="BI6117" s="25"/>
      <c r="BJ6117" s="25"/>
      <c r="BK6117" s="25"/>
    </row>
    <row r="6118" spans="60:63" ht="14.25" x14ac:dyDescent="0.2">
      <c r="BH6118" s="25"/>
      <c r="BI6118" s="25"/>
      <c r="BJ6118" s="25"/>
      <c r="BK6118" s="25"/>
    </row>
    <row r="6119" spans="60:63" ht="14.25" x14ac:dyDescent="0.2">
      <c r="BH6119" s="25"/>
      <c r="BI6119" s="25"/>
      <c r="BJ6119" s="25"/>
      <c r="BK6119" s="25"/>
    </row>
    <row r="6120" spans="60:63" ht="14.25" x14ac:dyDescent="0.2">
      <c r="BH6120" s="25"/>
      <c r="BI6120" s="25"/>
      <c r="BJ6120" s="25"/>
      <c r="BK6120" s="25"/>
    </row>
    <row r="6121" spans="60:63" ht="14.25" x14ac:dyDescent="0.2">
      <c r="BH6121" s="25"/>
      <c r="BI6121" s="25"/>
      <c r="BJ6121" s="25"/>
      <c r="BK6121" s="25"/>
    </row>
    <row r="6122" spans="60:63" ht="14.25" x14ac:dyDescent="0.2">
      <c r="BH6122" s="25"/>
      <c r="BI6122" s="25"/>
      <c r="BJ6122" s="25"/>
      <c r="BK6122" s="25"/>
    </row>
    <row r="6123" spans="60:63" ht="14.25" x14ac:dyDescent="0.2">
      <c r="BH6123" s="25"/>
      <c r="BI6123" s="25"/>
      <c r="BJ6123" s="25"/>
      <c r="BK6123" s="25"/>
    </row>
    <row r="6124" spans="60:63" ht="14.25" x14ac:dyDescent="0.2">
      <c r="BH6124" s="25"/>
      <c r="BI6124" s="25"/>
      <c r="BJ6124" s="25"/>
      <c r="BK6124" s="25"/>
    </row>
    <row r="6125" spans="60:63" ht="14.25" x14ac:dyDescent="0.2">
      <c r="BH6125" s="25"/>
      <c r="BI6125" s="25"/>
      <c r="BJ6125" s="25"/>
      <c r="BK6125" s="25"/>
    </row>
    <row r="6126" spans="60:63" ht="14.25" x14ac:dyDescent="0.2">
      <c r="BH6126" s="25"/>
      <c r="BI6126" s="25"/>
      <c r="BJ6126" s="25"/>
      <c r="BK6126" s="25"/>
    </row>
    <row r="6127" spans="60:63" ht="14.25" x14ac:dyDescent="0.2">
      <c r="BH6127" s="25"/>
      <c r="BI6127" s="25"/>
      <c r="BJ6127" s="25"/>
      <c r="BK6127" s="25"/>
    </row>
    <row r="6128" spans="60:63" ht="14.25" x14ac:dyDescent="0.2">
      <c r="BH6128" s="25"/>
      <c r="BI6128" s="25"/>
      <c r="BJ6128" s="25"/>
      <c r="BK6128" s="25"/>
    </row>
    <row r="6129" spans="60:63" ht="14.25" x14ac:dyDescent="0.2">
      <c r="BH6129" s="25"/>
      <c r="BI6129" s="25"/>
      <c r="BJ6129" s="25"/>
      <c r="BK6129" s="25"/>
    </row>
    <row r="6130" spans="60:63" ht="14.25" x14ac:dyDescent="0.2">
      <c r="BH6130" s="25"/>
      <c r="BI6130" s="25"/>
      <c r="BJ6130" s="25"/>
      <c r="BK6130" s="25"/>
    </row>
    <row r="6131" spans="60:63" ht="14.25" x14ac:dyDescent="0.2">
      <c r="BH6131" s="25"/>
      <c r="BI6131" s="25"/>
      <c r="BJ6131" s="25"/>
      <c r="BK6131" s="25"/>
    </row>
    <row r="6132" spans="60:63" ht="14.25" x14ac:dyDescent="0.2">
      <c r="BH6132" s="25"/>
      <c r="BI6132" s="25"/>
      <c r="BJ6132" s="25"/>
      <c r="BK6132" s="25"/>
    </row>
    <row r="6133" spans="60:63" ht="14.25" x14ac:dyDescent="0.2">
      <c r="BH6133" s="25"/>
      <c r="BI6133" s="25"/>
      <c r="BJ6133" s="25"/>
      <c r="BK6133" s="25"/>
    </row>
    <row r="6134" spans="60:63" ht="14.25" x14ac:dyDescent="0.2">
      <c r="BH6134" s="25"/>
      <c r="BI6134" s="25"/>
      <c r="BJ6134" s="25"/>
      <c r="BK6134" s="25"/>
    </row>
    <row r="6135" spans="60:63" ht="14.25" x14ac:dyDescent="0.2">
      <c r="BH6135" s="25"/>
      <c r="BI6135" s="25"/>
      <c r="BJ6135" s="25"/>
      <c r="BK6135" s="25"/>
    </row>
    <row r="6136" spans="60:63" ht="14.25" x14ac:dyDescent="0.2">
      <c r="BH6136" s="25"/>
      <c r="BI6136" s="25"/>
      <c r="BJ6136" s="25"/>
      <c r="BK6136" s="25"/>
    </row>
    <row r="6137" spans="60:63" ht="14.25" x14ac:dyDescent="0.2">
      <c r="BH6137" s="25"/>
      <c r="BI6137" s="25"/>
      <c r="BJ6137" s="25"/>
      <c r="BK6137" s="25"/>
    </row>
    <row r="6138" spans="60:63" ht="14.25" x14ac:dyDescent="0.2">
      <c r="BH6138" s="25"/>
      <c r="BI6138" s="25"/>
      <c r="BJ6138" s="25"/>
      <c r="BK6138" s="25"/>
    </row>
    <row r="6139" spans="60:63" ht="14.25" x14ac:dyDescent="0.2">
      <c r="BH6139" s="25"/>
      <c r="BI6139" s="25"/>
      <c r="BJ6139" s="25"/>
      <c r="BK6139" s="25"/>
    </row>
    <row r="6140" spans="60:63" ht="14.25" x14ac:dyDescent="0.2">
      <c r="BH6140" s="25"/>
      <c r="BI6140" s="25"/>
      <c r="BJ6140" s="25"/>
      <c r="BK6140" s="25"/>
    </row>
    <row r="6141" spans="60:63" ht="14.25" x14ac:dyDescent="0.2">
      <c r="BH6141" s="25"/>
      <c r="BI6141" s="25"/>
      <c r="BJ6141" s="25"/>
      <c r="BK6141" s="25"/>
    </row>
    <row r="6142" spans="60:63" ht="14.25" x14ac:dyDescent="0.2">
      <c r="BH6142" s="25"/>
      <c r="BI6142" s="25"/>
      <c r="BJ6142" s="25"/>
      <c r="BK6142" s="25"/>
    </row>
    <row r="6143" spans="60:63" ht="14.25" x14ac:dyDescent="0.2">
      <c r="BH6143" s="25"/>
      <c r="BI6143" s="25"/>
      <c r="BJ6143" s="25"/>
      <c r="BK6143" s="25"/>
    </row>
    <row r="6144" spans="60:63" ht="14.25" x14ac:dyDescent="0.2">
      <c r="BH6144" s="25"/>
      <c r="BI6144" s="25"/>
      <c r="BJ6144" s="25"/>
      <c r="BK6144" s="25"/>
    </row>
    <row r="6145" spans="60:63" ht="14.25" x14ac:dyDescent="0.2">
      <c r="BH6145" s="25"/>
      <c r="BI6145" s="25"/>
      <c r="BJ6145" s="25"/>
      <c r="BK6145" s="25"/>
    </row>
    <row r="6146" spans="60:63" ht="14.25" x14ac:dyDescent="0.2">
      <c r="BH6146" s="25"/>
      <c r="BI6146" s="25"/>
      <c r="BJ6146" s="25"/>
      <c r="BK6146" s="25"/>
    </row>
    <row r="6147" spans="60:63" ht="14.25" x14ac:dyDescent="0.2">
      <c r="BH6147" s="25"/>
      <c r="BI6147" s="25"/>
      <c r="BJ6147" s="25"/>
      <c r="BK6147" s="25"/>
    </row>
    <row r="6148" spans="60:63" ht="14.25" x14ac:dyDescent="0.2">
      <c r="BH6148" s="25"/>
      <c r="BI6148" s="25"/>
      <c r="BJ6148" s="25"/>
      <c r="BK6148" s="25"/>
    </row>
    <row r="6149" spans="60:63" ht="14.25" x14ac:dyDescent="0.2">
      <c r="BH6149" s="25"/>
      <c r="BI6149" s="25"/>
      <c r="BJ6149" s="25"/>
      <c r="BK6149" s="25"/>
    </row>
    <row r="6150" spans="60:63" ht="14.25" x14ac:dyDescent="0.2">
      <c r="BH6150" s="25"/>
      <c r="BI6150" s="25"/>
      <c r="BJ6150" s="25"/>
      <c r="BK6150" s="25"/>
    </row>
    <row r="6151" spans="60:63" ht="14.25" x14ac:dyDescent="0.2">
      <c r="BH6151" s="25"/>
      <c r="BI6151" s="25"/>
      <c r="BJ6151" s="25"/>
      <c r="BK6151" s="25"/>
    </row>
    <row r="6152" spans="60:63" ht="14.25" x14ac:dyDescent="0.2">
      <c r="BH6152" s="25"/>
      <c r="BI6152" s="25"/>
      <c r="BJ6152" s="25"/>
      <c r="BK6152" s="25"/>
    </row>
    <row r="6153" spans="60:63" ht="14.25" x14ac:dyDescent="0.2">
      <c r="BH6153" s="25"/>
      <c r="BI6153" s="25"/>
      <c r="BJ6153" s="25"/>
      <c r="BK6153" s="25"/>
    </row>
    <row r="6154" spans="60:63" ht="14.25" x14ac:dyDescent="0.2">
      <c r="BH6154" s="25"/>
      <c r="BI6154" s="25"/>
      <c r="BJ6154" s="25"/>
      <c r="BK6154" s="25"/>
    </row>
    <row r="6155" spans="60:63" ht="14.25" x14ac:dyDescent="0.2">
      <c r="BH6155" s="25"/>
      <c r="BI6155" s="25"/>
      <c r="BJ6155" s="25"/>
      <c r="BK6155" s="25"/>
    </row>
    <row r="6156" spans="60:63" ht="14.25" x14ac:dyDescent="0.2">
      <c r="BH6156" s="25"/>
      <c r="BI6156" s="25"/>
      <c r="BJ6156" s="25"/>
      <c r="BK6156" s="25"/>
    </row>
    <row r="6157" spans="60:63" ht="14.25" x14ac:dyDescent="0.2">
      <c r="BH6157" s="25"/>
      <c r="BI6157" s="25"/>
      <c r="BJ6157" s="25"/>
      <c r="BK6157" s="25"/>
    </row>
    <row r="6158" spans="60:63" ht="14.25" x14ac:dyDescent="0.2">
      <c r="BH6158" s="25"/>
      <c r="BI6158" s="25"/>
      <c r="BJ6158" s="25"/>
      <c r="BK6158" s="25"/>
    </row>
    <row r="6159" spans="60:63" ht="14.25" x14ac:dyDescent="0.2">
      <c r="BH6159" s="25"/>
      <c r="BI6159" s="25"/>
      <c r="BJ6159" s="25"/>
      <c r="BK6159" s="25"/>
    </row>
    <row r="6160" spans="60:63" ht="14.25" x14ac:dyDescent="0.2">
      <c r="BH6160" s="25"/>
      <c r="BI6160" s="25"/>
      <c r="BJ6160" s="25"/>
      <c r="BK6160" s="25"/>
    </row>
    <row r="6161" spans="60:63" ht="14.25" x14ac:dyDescent="0.2">
      <c r="BH6161" s="25"/>
      <c r="BI6161" s="25"/>
      <c r="BJ6161" s="25"/>
      <c r="BK6161" s="25"/>
    </row>
    <row r="6162" spans="60:63" ht="14.25" x14ac:dyDescent="0.2">
      <c r="BH6162" s="25"/>
      <c r="BI6162" s="25"/>
      <c r="BJ6162" s="25"/>
      <c r="BK6162" s="25"/>
    </row>
    <row r="6163" spans="60:63" ht="14.25" x14ac:dyDescent="0.2">
      <c r="BH6163" s="25"/>
      <c r="BI6163" s="25"/>
      <c r="BJ6163" s="25"/>
      <c r="BK6163" s="25"/>
    </row>
    <row r="6164" spans="60:63" ht="14.25" x14ac:dyDescent="0.2">
      <c r="BH6164" s="25"/>
      <c r="BI6164" s="25"/>
      <c r="BJ6164" s="25"/>
      <c r="BK6164" s="25"/>
    </row>
    <row r="6165" spans="60:63" ht="14.25" x14ac:dyDescent="0.2">
      <c r="BH6165" s="25"/>
      <c r="BI6165" s="25"/>
      <c r="BJ6165" s="25"/>
      <c r="BK6165" s="25"/>
    </row>
    <row r="6166" spans="60:63" ht="14.25" x14ac:dyDescent="0.2">
      <c r="BH6166" s="25"/>
      <c r="BI6166" s="25"/>
      <c r="BJ6166" s="25"/>
      <c r="BK6166" s="25"/>
    </row>
    <row r="6167" spans="60:63" ht="14.25" x14ac:dyDescent="0.2">
      <c r="BH6167" s="25"/>
      <c r="BI6167" s="25"/>
      <c r="BJ6167" s="25"/>
      <c r="BK6167" s="25"/>
    </row>
    <row r="6168" spans="60:63" ht="14.25" x14ac:dyDescent="0.2">
      <c r="BH6168" s="25"/>
      <c r="BI6168" s="25"/>
      <c r="BJ6168" s="25"/>
      <c r="BK6168" s="25"/>
    </row>
    <row r="6169" spans="60:63" ht="14.25" x14ac:dyDescent="0.2">
      <c r="BH6169" s="25"/>
      <c r="BI6169" s="25"/>
      <c r="BJ6169" s="25"/>
      <c r="BK6169" s="25"/>
    </row>
    <row r="6170" spans="60:63" ht="14.25" x14ac:dyDescent="0.2">
      <c r="BH6170" s="25"/>
      <c r="BI6170" s="25"/>
      <c r="BJ6170" s="25"/>
      <c r="BK6170" s="25"/>
    </row>
    <row r="6171" spans="60:63" ht="14.25" x14ac:dyDescent="0.2">
      <c r="BH6171" s="25"/>
      <c r="BI6171" s="25"/>
      <c r="BJ6171" s="25"/>
      <c r="BK6171" s="25"/>
    </row>
    <row r="6172" spans="60:63" ht="14.25" x14ac:dyDescent="0.2">
      <c r="BH6172" s="25"/>
      <c r="BI6172" s="25"/>
      <c r="BJ6172" s="25"/>
      <c r="BK6172" s="25"/>
    </row>
    <row r="6173" spans="60:63" ht="14.25" x14ac:dyDescent="0.2">
      <c r="BH6173" s="25"/>
      <c r="BI6173" s="25"/>
      <c r="BJ6173" s="25"/>
      <c r="BK6173" s="25"/>
    </row>
    <row r="6174" spans="60:63" ht="14.25" x14ac:dyDescent="0.2">
      <c r="BH6174" s="25"/>
      <c r="BI6174" s="25"/>
      <c r="BJ6174" s="25"/>
      <c r="BK6174" s="25"/>
    </row>
    <row r="6175" spans="60:63" ht="14.25" x14ac:dyDescent="0.2">
      <c r="BH6175" s="25"/>
      <c r="BI6175" s="25"/>
      <c r="BJ6175" s="25"/>
      <c r="BK6175" s="25"/>
    </row>
    <row r="6176" spans="60:63" ht="14.25" x14ac:dyDescent="0.2">
      <c r="BH6176" s="25"/>
      <c r="BI6176" s="25"/>
      <c r="BJ6176" s="25"/>
      <c r="BK6176" s="25"/>
    </row>
    <row r="6177" spans="60:63" ht="14.25" x14ac:dyDescent="0.2">
      <c r="BH6177" s="25"/>
      <c r="BI6177" s="25"/>
      <c r="BJ6177" s="25"/>
      <c r="BK6177" s="25"/>
    </row>
    <row r="6178" spans="60:63" ht="14.25" x14ac:dyDescent="0.2">
      <c r="BH6178" s="25"/>
      <c r="BI6178" s="25"/>
      <c r="BJ6178" s="25"/>
      <c r="BK6178" s="25"/>
    </row>
    <row r="6179" spans="60:63" ht="14.25" x14ac:dyDescent="0.2">
      <c r="BH6179" s="25"/>
      <c r="BI6179" s="25"/>
      <c r="BJ6179" s="25"/>
      <c r="BK6179" s="25"/>
    </row>
    <row r="6180" spans="60:63" ht="14.25" x14ac:dyDescent="0.2">
      <c r="BH6180" s="25"/>
      <c r="BI6180" s="25"/>
      <c r="BJ6180" s="25"/>
      <c r="BK6180" s="25"/>
    </row>
    <row r="6181" spans="60:63" ht="14.25" x14ac:dyDescent="0.2">
      <c r="BH6181" s="25"/>
      <c r="BI6181" s="25"/>
      <c r="BJ6181" s="25"/>
      <c r="BK6181" s="25"/>
    </row>
    <row r="6182" spans="60:63" ht="14.25" x14ac:dyDescent="0.2">
      <c r="BH6182" s="25"/>
      <c r="BI6182" s="25"/>
      <c r="BJ6182" s="25"/>
      <c r="BK6182" s="25"/>
    </row>
    <row r="6183" spans="60:63" ht="14.25" x14ac:dyDescent="0.2">
      <c r="BH6183" s="25"/>
      <c r="BI6183" s="25"/>
      <c r="BJ6183" s="25"/>
      <c r="BK6183" s="25"/>
    </row>
    <row r="6184" spans="60:63" ht="14.25" x14ac:dyDescent="0.2">
      <c r="BH6184" s="25"/>
      <c r="BI6184" s="25"/>
      <c r="BJ6184" s="25"/>
      <c r="BK6184" s="25"/>
    </row>
    <row r="6185" spans="60:63" ht="14.25" x14ac:dyDescent="0.2">
      <c r="BH6185" s="25"/>
      <c r="BI6185" s="25"/>
      <c r="BJ6185" s="25"/>
      <c r="BK6185" s="25"/>
    </row>
    <row r="6186" spans="60:63" ht="14.25" x14ac:dyDescent="0.2">
      <c r="BH6186" s="25"/>
      <c r="BI6186" s="25"/>
      <c r="BJ6186" s="25"/>
      <c r="BK6186" s="25"/>
    </row>
    <row r="6187" spans="60:63" ht="14.25" x14ac:dyDescent="0.2">
      <c r="BH6187" s="25"/>
      <c r="BI6187" s="25"/>
      <c r="BJ6187" s="25"/>
      <c r="BK6187" s="25"/>
    </row>
    <row r="6188" spans="60:63" ht="14.25" x14ac:dyDescent="0.2">
      <c r="BH6188" s="25"/>
      <c r="BI6188" s="25"/>
      <c r="BJ6188" s="25"/>
      <c r="BK6188" s="25"/>
    </row>
    <row r="6189" spans="60:63" ht="14.25" x14ac:dyDescent="0.2">
      <c r="BH6189" s="25"/>
      <c r="BI6189" s="25"/>
      <c r="BJ6189" s="25"/>
      <c r="BK6189" s="25"/>
    </row>
    <row r="6190" spans="60:63" ht="14.25" x14ac:dyDescent="0.2">
      <c r="BH6190" s="25"/>
      <c r="BI6190" s="25"/>
      <c r="BJ6190" s="25"/>
      <c r="BK6190" s="25"/>
    </row>
    <row r="6191" spans="60:63" ht="14.25" x14ac:dyDescent="0.2">
      <c r="BH6191" s="25"/>
      <c r="BI6191" s="25"/>
      <c r="BJ6191" s="25"/>
      <c r="BK6191" s="25"/>
    </row>
    <row r="6192" spans="60:63" ht="14.25" x14ac:dyDescent="0.2">
      <c r="BH6192" s="25"/>
      <c r="BI6192" s="25"/>
      <c r="BJ6192" s="25"/>
      <c r="BK6192" s="25"/>
    </row>
    <row r="6193" spans="60:63" ht="14.25" x14ac:dyDescent="0.2">
      <c r="BH6193" s="25"/>
      <c r="BI6193" s="25"/>
      <c r="BJ6193" s="25"/>
      <c r="BK6193" s="25"/>
    </row>
    <row r="6194" spans="60:63" ht="14.25" x14ac:dyDescent="0.2">
      <c r="BH6194" s="25"/>
      <c r="BI6194" s="25"/>
      <c r="BJ6194" s="25"/>
      <c r="BK6194" s="25"/>
    </row>
    <row r="6195" spans="60:63" ht="14.25" x14ac:dyDescent="0.2">
      <c r="BH6195" s="25"/>
      <c r="BI6195" s="25"/>
      <c r="BJ6195" s="25"/>
      <c r="BK6195" s="25"/>
    </row>
    <row r="6196" spans="60:63" ht="14.25" x14ac:dyDescent="0.2">
      <c r="BH6196" s="25"/>
      <c r="BI6196" s="25"/>
      <c r="BJ6196" s="25"/>
      <c r="BK6196" s="25"/>
    </row>
    <row r="6197" spans="60:63" ht="14.25" x14ac:dyDescent="0.2">
      <c r="BH6197" s="25"/>
      <c r="BI6197" s="25"/>
      <c r="BJ6197" s="25"/>
      <c r="BK6197" s="25"/>
    </row>
    <row r="6198" spans="60:63" ht="14.25" x14ac:dyDescent="0.2">
      <c r="BH6198" s="25"/>
      <c r="BI6198" s="25"/>
      <c r="BJ6198" s="25"/>
      <c r="BK6198" s="25"/>
    </row>
    <row r="6199" spans="60:63" ht="14.25" x14ac:dyDescent="0.2">
      <c r="BH6199" s="25"/>
      <c r="BI6199" s="25"/>
      <c r="BJ6199" s="25"/>
      <c r="BK6199" s="25"/>
    </row>
    <row r="6200" spans="60:63" ht="14.25" x14ac:dyDescent="0.2">
      <c r="BH6200" s="25"/>
      <c r="BI6200" s="25"/>
      <c r="BJ6200" s="25"/>
      <c r="BK6200" s="25"/>
    </row>
    <row r="6201" spans="60:63" ht="14.25" x14ac:dyDescent="0.2">
      <c r="BH6201" s="25"/>
      <c r="BI6201" s="25"/>
      <c r="BJ6201" s="25"/>
      <c r="BK6201" s="25"/>
    </row>
    <row r="6202" spans="60:63" ht="14.25" x14ac:dyDescent="0.2">
      <c r="BH6202" s="25"/>
      <c r="BI6202" s="25"/>
      <c r="BJ6202" s="25"/>
      <c r="BK6202" s="25"/>
    </row>
    <row r="6203" spans="60:63" ht="14.25" x14ac:dyDescent="0.2">
      <c r="BH6203" s="25"/>
      <c r="BI6203" s="25"/>
      <c r="BJ6203" s="25"/>
      <c r="BK6203" s="25"/>
    </row>
    <row r="6204" spans="60:63" ht="14.25" x14ac:dyDescent="0.2">
      <c r="BH6204" s="25"/>
      <c r="BI6204" s="25"/>
      <c r="BJ6204" s="25"/>
      <c r="BK6204" s="25"/>
    </row>
    <row r="6205" spans="60:63" ht="14.25" x14ac:dyDescent="0.2">
      <c r="BH6205" s="25"/>
      <c r="BI6205" s="25"/>
      <c r="BJ6205" s="25"/>
      <c r="BK6205" s="25"/>
    </row>
    <row r="6206" spans="60:63" ht="14.25" x14ac:dyDescent="0.2">
      <c r="BH6206" s="25"/>
      <c r="BI6206" s="25"/>
      <c r="BJ6206" s="25"/>
      <c r="BK6206" s="25"/>
    </row>
    <row r="6207" spans="60:63" ht="14.25" x14ac:dyDescent="0.2">
      <c r="BH6207" s="25"/>
      <c r="BI6207" s="25"/>
      <c r="BJ6207" s="25"/>
      <c r="BK6207" s="25"/>
    </row>
    <row r="6208" spans="60:63" ht="14.25" x14ac:dyDescent="0.2">
      <c r="BH6208" s="25"/>
      <c r="BI6208" s="25"/>
      <c r="BJ6208" s="25"/>
      <c r="BK6208" s="25"/>
    </row>
    <row r="6209" spans="60:63" ht="14.25" x14ac:dyDescent="0.2">
      <c r="BH6209" s="25"/>
      <c r="BI6209" s="25"/>
      <c r="BJ6209" s="25"/>
      <c r="BK6209" s="25"/>
    </row>
    <row r="6210" spans="60:63" ht="14.25" x14ac:dyDescent="0.2">
      <c r="BH6210" s="25"/>
      <c r="BI6210" s="25"/>
      <c r="BJ6210" s="25"/>
      <c r="BK6210" s="25"/>
    </row>
    <row r="6211" spans="60:63" ht="14.25" x14ac:dyDescent="0.2">
      <c r="BH6211" s="25"/>
      <c r="BI6211" s="25"/>
      <c r="BJ6211" s="25"/>
      <c r="BK6211" s="25"/>
    </row>
    <row r="6212" spans="60:63" ht="14.25" x14ac:dyDescent="0.2">
      <c r="BH6212" s="25"/>
      <c r="BI6212" s="25"/>
      <c r="BJ6212" s="25"/>
      <c r="BK6212" s="25"/>
    </row>
    <row r="6213" spans="60:63" ht="14.25" x14ac:dyDescent="0.2">
      <c r="BH6213" s="25"/>
      <c r="BI6213" s="25"/>
      <c r="BJ6213" s="25"/>
      <c r="BK6213" s="25"/>
    </row>
    <row r="6214" spans="60:63" ht="14.25" x14ac:dyDescent="0.2">
      <c r="BH6214" s="25"/>
      <c r="BI6214" s="25"/>
      <c r="BJ6214" s="25"/>
      <c r="BK6214" s="25"/>
    </row>
    <row r="6215" spans="60:63" ht="14.25" x14ac:dyDescent="0.2">
      <c r="BH6215" s="25"/>
      <c r="BI6215" s="25"/>
      <c r="BJ6215" s="25"/>
      <c r="BK6215" s="25"/>
    </row>
    <row r="6216" spans="60:63" ht="14.25" x14ac:dyDescent="0.2">
      <c r="BH6216" s="25"/>
      <c r="BI6216" s="25"/>
      <c r="BJ6216" s="25"/>
      <c r="BK6216" s="25"/>
    </row>
    <row r="6217" spans="60:63" ht="14.25" x14ac:dyDescent="0.2">
      <c r="BH6217" s="25"/>
      <c r="BI6217" s="25"/>
      <c r="BJ6217" s="25"/>
      <c r="BK6217" s="25"/>
    </row>
    <row r="6218" spans="60:63" ht="14.25" x14ac:dyDescent="0.2">
      <c r="BH6218" s="25"/>
      <c r="BI6218" s="25"/>
      <c r="BJ6218" s="25"/>
      <c r="BK6218" s="25"/>
    </row>
    <row r="6219" spans="60:63" ht="14.25" x14ac:dyDescent="0.2">
      <c r="BH6219" s="25"/>
      <c r="BI6219" s="25"/>
      <c r="BJ6219" s="25"/>
      <c r="BK6219" s="25"/>
    </row>
    <row r="6220" spans="60:63" ht="14.25" x14ac:dyDescent="0.2">
      <c r="BH6220" s="25"/>
      <c r="BI6220" s="25"/>
      <c r="BJ6220" s="25"/>
      <c r="BK6220" s="25"/>
    </row>
    <row r="6221" spans="60:63" ht="14.25" x14ac:dyDescent="0.2">
      <c r="BH6221" s="25"/>
      <c r="BI6221" s="25"/>
      <c r="BJ6221" s="25"/>
      <c r="BK6221" s="25"/>
    </row>
    <row r="6222" spans="60:63" ht="14.25" x14ac:dyDescent="0.2">
      <c r="BH6222" s="25"/>
      <c r="BI6222" s="25"/>
      <c r="BJ6222" s="25"/>
      <c r="BK6222" s="25"/>
    </row>
    <row r="6223" spans="60:63" ht="14.25" x14ac:dyDescent="0.2">
      <c r="BH6223" s="25"/>
      <c r="BI6223" s="25"/>
      <c r="BJ6223" s="25"/>
      <c r="BK6223" s="25"/>
    </row>
    <row r="6224" spans="60:63" ht="14.25" x14ac:dyDescent="0.2">
      <c r="BH6224" s="25"/>
      <c r="BI6224" s="25"/>
      <c r="BJ6224" s="25"/>
      <c r="BK6224" s="25"/>
    </row>
    <row r="6225" spans="60:63" ht="14.25" x14ac:dyDescent="0.2">
      <c r="BH6225" s="25"/>
      <c r="BI6225" s="25"/>
      <c r="BJ6225" s="25"/>
      <c r="BK6225" s="25"/>
    </row>
    <row r="6226" spans="60:63" ht="14.25" x14ac:dyDescent="0.2">
      <c r="BH6226" s="25"/>
      <c r="BI6226" s="25"/>
      <c r="BJ6226" s="25"/>
      <c r="BK6226" s="25"/>
    </row>
    <row r="6227" spans="60:63" ht="14.25" x14ac:dyDescent="0.2">
      <c r="BH6227" s="25"/>
      <c r="BI6227" s="25"/>
      <c r="BJ6227" s="25"/>
      <c r="BK6227" s="25"/>
    </row>
    <row r="6228" spans="60:63" ht="14.25" x14ac:dyDescent="0.2">
      <c r="BH6228" s="25"/>
      <c r="BI6228" s="25"/>
      <c r="BJ6228" s="25"/>
      <c r="BK6228" s="25"/>
    </row>
    <row r="6229" spans="60:63" ht="14.25" x14ac:dyDescent="0.2">
      <c r="BH6229" s="25"/>
      <c r="BI6229" s="25"/>
      <c r="BJ6229" s="25"/>
      <c r="BK6229" s="25"/>
    </row>
    <row r="6230" spans="60:63" ht="14.25" x14ac:dyDescent="0.2">
      <c r="BH6230" s="25"/>
      <c r="BI6230" s="25"/>
      <c r="BJ6230" s="25"/>
      <c r="BK6230" s="25"/>
    </row>
    <row r="6231" spans="60:63" ht="14.25" x14ac:dyDescent="0.2">
      <c r="BH6231" s="25"/>
      <c r="BI6231" s="25"/>
      <c r="BJ6231" s="25"/>
      <c r="BK6231" s="25"/>
    </row>
    <row r="6232" spans="60:63" ht="14.25" x14ac:dyDescent="0.2">
      <c r="BH6232" s="25"/>
      <c r="BI6232" s="25"/>
      <c r="BJ6232" s="25"/>
      <c r="BK6232" s="25"/>
    </row>
    <row r="6233" spans="60:63" ht="14.25" x14ac:dyDescent="0.2">
      <c r="BH6233" s="25"/>
      <c r="BI6233" s="25"/>
      <c r="BJ6233" s="25"/>
      <c r="BK6233" s="25"/>
    </row>
    <row r="6234" spans="60:63" ht="14.25" x14ac:dyDescent="0.2">
      <c r="BH6234" s="25"/>
      <c r="BI6234" s="25"/>
      <c r="BJ6234" s="25"/>
      <c r="BK6234" s="25"/>
    </row>
    <row r="6235" spans="60:63" ht="14.25" x14ac:dyDescent="0.2">
      <c r="BH6235" s="25"/>
      <c r="BI6235" s="25"/>
      <c r="BJ6235" s="25"/>
      <c r="BK6235" s="25"/>
    </row>
    <row r="6236" spans="60:63" ht="14.25" x14ac:dyDescent="0.2">
      <c r="BH6236" s="25"/>
      <c r="BI6236" s="25"/>
      <c r="BJ6236" s="25"/>
      <c r="BK6236" s="25"/>
    </row>
    <row r="6237" spans="60:63" ht="14.25" x14ac:dyDescent="0.2">
      <c r="BH6237" s="25"/>
      <c r="BI6237" s="25"/>
      <c r="BJ6237" s="25"/>
      <c r="BK6237" s="25"/>
    </row>
    <row r="6238" spans="60:63" ht="14.25" x14ac:dyDescent="0.2">
      <c r="BH6238" s="25"/>
      <c r="BI6238" s="25"/>
      <c r="BJ6238" s="25"/>
      <c r="BK6238" s="25"/>
    </row>
    <row r="6239" spans="60:63" ht="14.25" x14ac:dyDescent="0.2">
      <c r="BH6239" s="25"/>
      <c r="BI6239" s="25"/>
      <c r="BJ6239" s="25"/>
      <c r="BK6239" s="25"/>
    </row>
    <row r="6240" spans="60:63" ht="14.25" x14ac:dyDescent="0.2">
      <c r="BH6240" s="25"/>
      <c r="BI6240" s="25"/>
      <c r="BJ6240" s="25"/>
      <c r="BK6240" s="25"/>
    </row>
    <row r="6241" spans="60:63" ht="14.25" x14ac:dyDescent="0.2">
      <c r="BH6241" s="25"/>
      <c r="BI6241" s="25"/>
      <c r="BJ6241" s="25"/>
      <c r="BK6241" s="25"/>
    </row>
    <row r="6242" spans="60:63" ht="14.25" x14ac:dyDescent="0.2">
      <c r="BH6242" s="25"/>
      <c r="BI6242" s="25"/>
      <c r="BJ6242" s="25"/>
      <c r="BK6242" s="25"/>
    </row>
    <row r="6243" spans="60:63" ht="14.25" x14ac:dyDescent="0.2">
      <c r="BH6243" s="25"/>
      <c r="BI6243" s="25"/>
      <c r="BJ6243" s="25"/>
      <c r="BK6243" s="25"/>
    </row>
    <row r="6244" spans="60:63" ht="14.25" x14ac:dyDescent="0.2">
      <c r="BH6244" s="25"/>
      <c r="BI6244" s="25"/>
      <c r="BJ6244" s="25"/>
      <c r="BK6244" s="25"/>
    </row>
    <row r="6245" spans="60:63" ht="14.25" x14ac:dyDescent="0.2">
      <c r="BH6245" s="25"/>
      <c r="BI6245" s="25"/>
      <c r="BJ6245" s="25"/>
      <c r="BK6245" s="25"/>
    </row>
    <row r="6246" spans="60:63" ht="14.25" x14ac:dyDescent="0.2">
      <c r="BH6246" s="25"/>
      <c r="BI6246" s="25"/>
      <c r="BJ6246" s="25"/>
      <c r="BK6246" s="25"/>
    </row>
    <row r="6247" spans="60:63" ht="14.25" x14ac:dyDescent="0.2">
      <c r="BH6247" s="25"/>
      <c r="BI6247" s="25"/>
      <c r="BJ6247" s="25"/>
      <c r="BK6247" s="25"/>
    </row>
    <row r="6248" spans="60:63" ht="14.25" x14ac:dyDescent="0.2">
      <c r="BH6248" s="25"/>
      <c r="BI6248" s="25"/>
      <c r="BJ6248" s="25"/>
      <c r="BK6248" s="25"/>
    </row>
    <row r="6249" spans="60:63" ht="14.25" x14ac:dyDescent="0.2">
      <c r="BH6249" s="25"/>
      <c r="BI6249" s="25"/>
      <c r="BJ6249" s="25"/>
      <c r="BK6249" s="25"/>
    </row>
    <row r="6250" spans="60:63" ht="14.25" x14ac:dyDescent="0.2">
      <c r="BH6250" s="25"/>
      <c r="BI6250" s="25"/>
      <c r="BJ6250" s="25"/>
      <c r="BK6250" s="25"/>
    </row>
    <row r="6251" spans="60:63" ht="14.25" x14ac:dyDescent="0.2">
      <c r="BH6251" s="25"/>
      <c r="BI6251" s="25"/>
      <c r="BJ6251" s="25"/>
      <c r="BK6251" s="25"/>
    </row>
    <row r="6252" spans="60:63" ht="14.25" x14ac:dyDescent="0.2">
      <c r="BH6252" s="25"/>
      <c r="BI6252" s="25"/>
      <c r="BJ6252" s="25"/>
      <c r="BK6252" s="25"/>
    </row>
    <row r="6253" spans="60:63" ht="14.25" x14ac:dyDescent="0.2">
      <c r="BH6253" s="25"/>
      <c r="BI6253" s="25"/>
      <c r="BJ6253" s="25"/>
      <c r="BK6253" s="25"/>
    </row>
    <row r="6254" spans="60:63" ht="14.25" x14ac:dyDescent="0.2">
      <c r="BH6254" s="25"/>
      <c r="BI6254" s="25"/>
      <c r="BJ6254" s="25"/>
      <c r="BK6254" s="25"/>
    </row>
    <row r="6255" spans="60:63" ht="14.25" x14ac:dyDescent="0.2">
      <c r="BH6255" s="25"/>
      <c r="BI6255" s="25"/>
      <c r="BJ6255" s="25"/>
      <c r="BK6255" s="25"/>
    </row>
    <row r="6256" spans="60:63" ht="14.25" x14ac:dyDescent="0.2">
      <c r="BH6256" s="25"/>
      <c r="BI6256" s="25"/>
      <c r="BJ6256" s="25"/>
      <c r="BK6256" s="25"/>
    </row>
    <row r="6257" spans="60:63" ht="14.25" x14ac:dyDescent="0.2">
      <c r="BH6257" s="25"/>
      <c r="BI6257" s="25"/>
      <c r="BJ6257" s="25"/>
      <c r="BK6257" s="25"/>
    </row>
    <row r="6258" spans="60:63" ht="14.25" x14ac:dyDescent="0.2">
      <c r="BH6258" s="25"/>
      <c r="BI6258" s="25"/>
      <c r="BJ6258" s="25"/>
      <c r="BK6258" s="25"/>
    </row>
    <row r="6259" spans="60:63" ht="14.25" x14ac:dyDescent="0.2">
      <c r="BH6259" s="25"/>
      <c r="BI6259" s="25"/>
      <c r="BJ6259" s="25"/>
      <c r="BK6259" s="25"/>
    </row>
    <row r="6260" spans="60:63" ht="14.25" x14ac:dyDescent="0.2">
      <c r="BH6260" s="25"/>
      <c r="BI6260" s="25"/>
      <c r="BJ6260" s="25"/>
      <c r="BK6260" s="25"/>
    </row>
    <row r="6261" spans="60:63" ht="14.25" x14ac:dyDescent="0.2">
      <c r="BH6261" s="25"/>
      <c r="BI6261" s="25"/>
      <c r="BJ6261" s="25"/>
      <c r="BK6261" s="25"/>
    </row>
    <row r="6262" spans="60:63" ht="14.25" x14ac:dyDescent="0.2">
      <c r="BH6262" s="25"/>
      <c r="BI6262" s="25"/>
      <c r="BJ6262" s="25"/>
      <c r="BK6262" s="25"/>
    </row>
    <row r="6263" spans="60:63" ht="14.25" x14ac:dyDescent="0.2">
      <c r="BH6263" s="25"/>
      <c r="BI6263" s="25"/>
      <c r="BJ6263" s="25"/>
      <c r="BK6263" s="25"/>
    </row>
    <row r="6264" spans="60:63" ht="14.25" x14ac:dyDescent="0.2">
      <c r="BH6264" s="25"/>
      <c r="BI6264" s="25"/>
      <c r="BJ6264" s="25"/>
      <c r="BK6264" s="25"/>
    </row>
    <row r="6265" spans="60:63" ht="14.25" x14ac:dyDescent="0.2">
      <c r="BH6265" s="25"/>
      <c r="BI6265" s="25"/>
      <c r="BJ6265" s="25"/>
      <c r="BK6265" s="25"/>
    </row>
    <row r="6266" spans="60:63" ht="14.25" x14ac:dyDescent="0.2">
      <c r="BH6266" s="25"/>
      <c r="BI6266" s="25"/>
      <c r="BJ6266" s="25"/>
      <c r="BK6266" s="25"/>
    </row>
    <row r="6267" spans="60:63" ht="14.25" x14ac:dyDescent="0.2">
      <c r="BH6267" s="25"/>
      <c r="BI6267" s="25"/>
      <c r="BJ6267" s="25"/>
      <c r="BK6267" s="25"/>
    </row>
    <row r="6268" spans="60:63" ht="14.25" x14ac:dyDescent="0.2">
      <c r="BH6268" s="25"/>
      <c r="BI6268" s="25"/>
      <c r="BJ6268" s="25"/>
      <c r="BK6268" s="25"/>
    </row>
    <row r="6269" spans="60:63" ht="14.25" x14ac:dyDescent="0.2">
      <c r="BH6269" s="25"/>
      <c r="BI6269" s="25"/>
      <c r="BJ6269" s="25"/>
      <c r="BK6269" s="25"/>
    </row>
    <row r="6270" spans="60:63" ht="14.25" x14ac:dyDescent="0.2">
      <c r="BH6270" s="25"/>
      <c r="BI6270" s="25"/>
      <c r="BJ6270" s="25"/>
      <c r="BK6270" s="25"/>
    </row>
    <row r="6271" spans="60:63" ht="14.25" x14ac:dyDescent="0.2">
      <c r="BH6271" s="25"/>
      <c r="BI6271" s="25"/>
      <c r="BJ6271" s="25"/>
      <c r="BK6271" s="25"/>
    </row>
    <row r="6272" spans="60:63" ht="14.25" x14ac:dyDescent="0.2">
      <c r="BH6272" s="25"/>
      <c r="BI6272" s="25"/>
      <c r="BJ6272" s="25"/>
      <c r="BK6272" s="25"/>
    </row>
    <row r="6273" spans="60:63" ht="14.25" x14ac:dyDescent="0.2">
      <c r="BH6273" s="25"/>
      <c r="BI6273" s="25"/>
      <c r="BJ6273" s="25"/>
      <c r="BK6273" s="25"/>
    </row>
    <row r="6274" spans="60:63" ht="14.25" x14ac:dyDescent="0.2">
      <c r="BH6274" s="25"/>
      <c r="BI6274" s="25"/>
      <c r="BJ6274" s="25"/>
      <c r="BK6274" s="25"/>
    </row>
    <row r="6275" spans="60:63" ht="14.25" x14ac:dyDescent="0.2">
      <c r="BH6275" s="25"/>
      <c r="BI6275" s="25"/>
      <c r="BJ6275" s="25"/>
      <c r="BK6275" s="25"/>
    </row>
    <row r="6276" spans="60:63" ht="14.25" x14ac:dyDescent="0.2">
      <c r="BH6276" s="25"/>
      <c r="BI6276" s="25"/>
      <c r="BJ6276" s="25"/>
      <c r="BK6276" s="25"/>
    </row>
    <row r="6277" spans="60:63" ht="14.25" x14ac:dyDescent="0.2">
      <c r="BH6277" s="25"/>
      <c r="BI6277" s="25"/>
      <c r="BJ6277" s="25"/>
      <c r="BK6277" s="25"/>
    </row>
    <row r="6278" spans="60:63" ht="14.25" x14ac:dyDescent="0.2">
      <c r="BH6278" s="25"/>
      <c r="BI6278" s="25"/>
      <c r="BJ6278" s="25"/>
      <c r="BK6278" s="25"/>
    </row>
    <row r="6279" spans="60:63" ht="14.25" x14ac:dyDescent="0.2">
      <c r="BH6279" s="25"/>
      <c r="BI6279" s="25"/>
      <c r="BJ6279" s="25"/>
      <c r="BK6279" s="25"/>
    </row>
    <row r="6280" spans="60:63" ht="14.25" x14ac:dyDescent="0.2">
      <c r="BH6280" s="25"/>
      <c r="BI6280" s="25"/>
      <c r="BJ6280" s="25"/>
      <c r="BK6280" s="25"/>
    </row>
    <row r="6281" spans="60:63" ht="14.25" x14ac:dyDescent="0.2">
      <c r="BH6281" s="25"/>
      <c r="BI6281" s="25"/>
      <c r="BJ6281" s="25"/>
      <c r="BK6281" s="25"/>
    </row>
    <row r="6282" spans="60:63" ht="14.25" x14ac:dyDescent="0.2">
      <c r="BH6282" s="25"/>
      <c r="BI6282" s="25"/>
      <c r="BJ6282" s="25"/>
      <c r="BK6282" s="25"/>
    </row>
    <row r="6283" spans="60:63" ht="14.25" x14ac:dyDescent="0.2">
      <c r="BH6283" s="25"/>
      <c r="BI6283" s="25"/>
      <c r="BJ6283" s="25"/>
      <c r="BK6283" s="25"/>
    </row>
    <row r="6284" spans="60:63" ht="14.25" x14ac:dyDescent="0.2">
      <c r="BH6284" s="25"/>
      <c r="BI6284" s="25"/>
      <c r="BJ6284" s="25"/>
      <c r="BK6284" s="25"/>
    </row>
    <row r="6285" spans="60:63" ht="14.25" x14ac:dyDescent="0.2">
      <c r="BH6285" s="25"/>
      <c r="BI6285" s="25"/>
      <c r="BJ6285" s="25"/>
      <c r="BK6285" s="25"/>
    </row>
    <row r="6286" spans="60:63" ht="14.25" x14ac:dyDescent="0.2">
      <c r="BH6286" s="25"/>
      <c r="BI6286" s="25"/>
      <c r="BJ6286" s="25"/>
      <c r="BK6286" s="25"/>
    </row>
    <row r="6287" spans="60:63" ht="14.25" x14ac:dyDescent="0.2">
      <c r="BH6287" s="25"/>
      <c r="BI6287" s="25"/>
      <c r="BJ6287" s="25"/>
      <c r="BK6287" s="25"/>
    </row>
    <row r="6288" spans="60:63" ht="14.25" x14ac:dyDescent="0.2">
      <c r="BH6288" s="25"/>
      <c r="BI6288" s="25"/>
      <c r="BJ6288" s="25"/>
      <c r="BK6288" s="25"/>
    </row>
    <row r="6289" spans="60:63" ht="14.25" x14ac:dyDescent="0.2">
      <c r="BH6289" s="25"/>
      <c r="BI6289" s="25"/>
      <c r="BJ6289" s="25"/>
      <c r="BK6289" s="25"/>
    </row>
    <row r="6290" spans="60:63" ht="14.25" x14ac:dyDescent="0.2">
      <c r="BH6290" s="25"/>
      <c r="BI6290" s="25"/>
      <c r="BJ6290" s="25"/>
      <c r="BK6290" s="25"/>
    </row>
    <row r="6291" spans="60:63" ht="14.25" x14ac:dyDescent="0.2">
      <c r="BH6291" s="25"/>
      <c r="BI6291" s="25"/>
      <c r="BJ6291" s="25"/>
      <c r="BK6291" s="25"/>
    </row>
    <row r="6292" spans="60:63" ht="14.25" x14ac:dyDescent="0.2">
      <c r="BH6292" s="25"/>
      <c r="BI6292" s="25"/>
      <c r="BJ6292" s="25"/>
      <c r="BK6292" s="25"/>
    </row>
    <row r="6293" spans="60:63" ht="14.25" x14ac:dyDescent="0.2">
      <c r="BH6293" s="25"/>
      <c r="BI6293" s="25"/>
      <c r="BJ6293" s="25"/>
      <c r="BK6293" s="25"/>
    </row>
    <row r="6294" spans="60:63" ht="14.25" x14ac:dyDescent="0.2">
      <c r="BH6294" s="25"/>
      <c r="BI6294" s="25"/>
      <c r="BJ6294" s="25"/>
      <c r="BK6294" s="25"/>
    </row>
    <row r="6295" spans="60:63" ht="14.25" x14ac:dyDescent="0.2">
      <c r="BH6295" s="25"/>
      <c r="BI6295" s="25"/>
      <c r="BJ6295" s="25"/>
      <c r="BK6295" s="25"/>
    </row>
    <row r="6296" spans="60:63" ht="14.25" x14ac:dyDescent="0.2">
      <c r="BH6296" s="25"/>
      <c r="BI6296" s="25"/>
      <c r="BJ6296" s="25"/>
      <c r="BK6296" s="25"/>
    </row>
    <row r="6297" spans="60:63" ht="14.25" x14ac:dyDescent="0.2">
      <c r="BH6297" s="25"/>
      <c r="BI6297" s="25"/>
      <c r="BJ6297" s="25"/>
      <c r="BK6297" s="25"/>
    </row>
    <row r="6298" spans="60:63" ht="14.25" x14ac:dyDescent="0.2">
      <c r="BH6298" s="25"/>
      <c r="BI6298" s="25"/>
      <c r="BJ6298" s="25"/>
      <c r="BK6298" s="25"/>
    </row>
    <row r="6299" spans="60:63" ht="14.25" x14ac:dyDescent="0.2">
      <c r="BH6299" s="25"/>
      <c r="BI6299" s="25"/>
      <c r="BJ6299" s="25"/>
      <c r="BK6299" s="25"/>
    </row>
    <row r="6300" spans="60:63" ht="14.25" x14ac:dyDescent="0.2">
      <c r="BH6300" s="25"/>
      <c r="BI6300" s="25"/>
      <c r="BJ6300" s="25"/>
      <c r="BK6300" s="25"/>
    </row>
    <row r="6301" spans="60:63" ht="14.25" x14ac:dyDescent="0.2">
      <c r="BH6301" s="25"/>
      <c r="BI6301" s="25"/>
      <c r="BJ6301" s="25"/>
      <c r="BK6301" s="25"/>
    </row>
    <row r="6302" spans="60:63" ht="14.25" x14ac:dyDescent="0.2">
      <c r="BH6302" s="25"/>
      <c r="BI6302" s="25"/>
      <c r="BJ6302" s="25"/>
      <c r="BK6302" s="25"/>
    </row>
    <row r="6303" spans="60:63" ht="14.25" x14ac:dyDescent="0.2">
      <c r="BH6303" s="25"/>
      <c r="BI6303" s="25"/>
      <c r="BJ6303" s="25"/>
      <c r="BK6303" s="25"/>
    </row>
    <row r="6304" spans="60:63" ht="14.25" x14ac:dyDescent="0.2">
      <c r="BH6304" s="25"/>
      <c r="BI6304" s="25"/>
      <c r="BJ6304" s="25"/>
      <c r="BK6304" s="25"/>
    </row>
    <row r="6305" spans="60:63" ht="14.25" x14ac:dyDescent="0.2">
      <c r="BH6305" s="25"/>
      <c r="BI6305" s="25"/>
      <c r="BJ6305" s="25"/>
      <c r="BK6305" s="25"/>
    </row>
    <row r="6306" spans="60:63" ht="14.25" x14ac:dyDescent="0.2">
      <c r="BH6306" s="25"/>
      <c r="BI6306" s="25"/>
      <c r="BJ6306" s="25"/>
      <c r="BK6306" s="25"/>
    </row>
    <row r="6307" spans="60:63" ht="14.25" x14ac:dyDescent="0.2">
      <c r="BH6307" s="25"/>
      <c r="BI6307" s="25"/>
      <c r="BJ6307" s="25"/>
      <c r="BK6307" s="25"/>
    </row>
    <row r="6308" spans="60:63" ht="14.25" x14ac:dyDescent="0.2">
      <c r="BH6308" s="25"/>
      <c r="BI6308" s="25"/>
      <c r="BJ6308" s="25"/>
      <c r="BK6308" s="25"/>
    </row>
    <row r="6309" spans="60:63" ht="14.25" x14ac:dyDescent="0.2">
      <c r="BH6309" s="25"/>
      <c r="BI6309" s="25"/>
      <c r="BJ6309" s="25"/>
      <c r="BK6309" s="25"/>
    </row>
    <row r="6310" spans="60:63" ht="14.25" x14ac:dyDescent="0.2">
      <c r="BH6310" s="25"/>
      <c r="BI6310" s="25"/>
      <c r="BJ6310" s="25"/>
      <c r="BK6310" s="25"/>
    </row>
    <row r="6311" spans="60:63" ht="14.25" x14ac:dyDescent="0.2">
      <c r="BH6311" s="25"/>
      <c r="BI6311" s="25"/>
      <c r="BJ6311" s="25"/>
      <c r="BK6311" s="25"/>
    </row>
    <row r="6312" spans="60:63" ht="14.25" x14ac:dyDescent="0.2">
      <c r="BH6312" s="25"/>
      <c r="BI6312" s="25"/>
      <c r="BJ6312" s="25"/>
      <c r="BK6312" s="25"/>
    </row>
    <row r="6313" spans="60:63" ht="14.25" x14ac:dyDescent="0.2">
      <c r="BH6313" s="25"/>
      <c r="BI6313" s="25"/>
      <c r="BJ6313" s="25"/>
      <c r="BK6313" s="25"/>
    </row>
    <row r="6314" spans="60:63" ht="14.25" x14ac:dyDescent="0.2">
      <c r="BH6314" s="25"/>
      <c r="BI6314" s="25"/>
      <c r="BJ6314" s="25"/>
      <c r="BK6314" s="25"/>
    </row>
    <row r="6315" spans="60:63" ht="14.25" x14ac:dyDescent="0.2">
      <c r="BH6315" s="25"/>
      <c r="BI6315" s="25"/>
      <c r="BJ6315" s="25"/>
      <c r="BK6315" s="25"/>
    </row>
    <row r="6316" spans="60:63" ht="14.25" x14ac:dyDescent="0.2">
      <c r="BH6316" s="25"/>
      <c r="BI6316" s="25"/>
      <c r="BJ6316" s="25"/>
      <c r="BK6316" s="25"/>
    </row>
    <row r="6317" spans="60:63" ht="14.25" x14ac:dyDescent="0.2">
      <c r="BH6317" s="25"/>
      <c r="BI6317" s="25"/>
      <c r="BJ6317" s="25"/>
      <c r="BK6317" s="25"/>
    </row>
    <row r="6318" spans="60:63" ht="14.25" x14ac:dyDescent="0.2">
      <c r="BH6318" s="25"/>
      <c r="BI6318" s="25"/>
      <c r="BJ6318" s="25"/>
      <c r="BK6318" s="25"/>
    </row>
    <row r="6319" spans="60:63" ht="14.25" x14ac:dyDescent="0.2">
      <c r="BH6319" s="25"/>
      <c r="BI6319" s="25"/>
      <c r="BJ6319" s="25"/>
      <c r="BK6319" s="25"/>
    </row>
    <row r="6320" spans="60:63" ht="14.25" x14ac:dyDescent="0.2">
      <c r="BH6320" s="25"/>
      <c r="BI6320" s="25"/>
      <c r="BJ6320" s="25"/>
      <c r="BK6320" s="25"/>
    </row>
    <row r="6321" spans="60:63" ht="14.25" x14ac:dyDescent="0.2">
      <c r="BH6321" s="25"/>
      <c r="BI6321" s="25"/>
      <c r="BJ6321" s="25"/>
      <c r="BK6321" s="25"/>
    </row>
    <row r="6322" spans="60:63" ht="14.25" x14ac:dyDescent="0.2">
      <c r="BH6322" s="25"/>
      <c r="BI6322" s="25"/>
      <c r="BJ6322" s="25"/>
      <c r="BK6322" s="25"/>
    </row>
    <row r="6323" spans="60:63" ht="14.25" x14ac:dyDescent="0.2">
      <c r="BH6323" s="25"/>
      <c r="BI6323" s="25"/>
      <c r="BJ6323" s="25"/>
      <c r="BK6323" s="25"/>
    </row>
    <row r="6324" spans="60:63" ht="14.25" x14ac:dyDescent="0.2">
      <c r="BH6324" s="25"/>
      <c r="BI6324" s="25"/>
      <c r="BJ6324" s="25"/>
      <c r="BK6324" s="25"/>
    </row>
    <row r="6325" spans="60:63" ht="14.25" x14ac:dyDescent="0.2">
      <c r="BH6325" s="25"/>
      <c r="BI6325" s="25"/>
      <c r="BJ6325" s="25"/>
      <c r="BK6325" s="25"/>
    </row>
    <row r="6326" spans="60:63" ht="14.25" x14ac:dyDescent="0.2">
      <c r="BH6326" s="25"/>
      <c r="BI6326" s="25"/>
      <c r="BJ6326" s="25"/>
      <c r="BK6326" s="25"/>
    </row>
    <row r="6327" spans="60:63" ht="14.25" x14ac:dyDescent="0.2">
      <c r="BH6327" s="25"/>
      <c r="BI6327" s="25"/>
      <c r="BJ6327" s="25"/>
      <c r="BK6327" s="25"/>
    </row>
    <row r="6328" spans="60:63" ht="14.25" x14ac:dyDescent="0.2">
      <c r="BH6328" s="25"/>
      <c r="BI6328" s="25"/>
      <c r="BJ6328" s="25"/>
      <c r="BK6328" s="25"/>
    </row>
    <row r="6329" spans="60:63" ht="14.25" x14ac:dyDescent="0.2">
      <c r="BH6329" s="25"/>
      <c r="BI6329" s="25"/>
      <c r="BJ6329" s="25"/>
      <c r="BK6329" s="25"/>
    </row>
    <row r="6330" spans="60:63" ht="14.25" x14ac:dyDescent="0.2">
      <c r="BH6330" s="25"/>
      <c r="BI6330" s="25"/>
      <c r="BJ6330" s="25"/>
      <c r="BK6330" s="25"/>
    </row>
    <row r="6331" spans="60:63" ht="14.25" x14ac:dyDescent="0.2">
      <c r="BH6331" s="25"/>
      <c r="BI6331" s="25"/>
      <c r="BJ6331" s="25"/>
      <c r="BK6331" s="25"/>
    </row>
    <row r="6332" spans="60:63" ht="14.25" x14ac:dyDescent="0.2">
      <c r="BH6332" s="25"/>
      <c r="BI6332" s="25"/>
      <c r="BJ6332" s="25"/>
      <c r="BK6332" s="25"/>
    </row>
    <row r="6333" spans="60:63" ht="14.25" x14ac:dyDescent="0.2">
      <c r="BH6333" s="25"/>
      <c r="BI6333" s="25"/>
      <c r="BJ6333" s="25"/>
      <c r="BK6333" s="25"/>
    </row>
    <row r="6334" spans="60:63" ht="14.25" x14ac:dyDescent="0.2">
      <c r="BH6334" s="25"/>
      <c r="BI6334" s="25"/>
      <c r="BJ6334" s="25"/>
      <c r="BK6334" s="25"/>
    </row>
    <row r="6335" spans="60:63" ht="14.25" x14ac:dyDescent="0.2">
      <c r="BH6335" s="25"/>
      <c r="BI6335" s="25"/>
      <c r="BJ6335" s="25"/>
      <c r="BK6335" s="25"/>
    </row>
    <row r="6336" spans="60:63" ht="14.25" x14ac:dyDescent="0.2">
      <c r="BH6336" s="25"/>
      <c r="BI6336" s="25"/>
      <c r="BJ6336" s="25"/>
      <c r="BK6336" s="25"/>
    </row>
    <row r="6337" spans="60:63" ht="14.25" x14ac:dyDescent="0.2">
      <c r="BH6337" s="25"/>
      <c r="BI6337" s="25"/>
      <c r="BJ6337" s="25"/>
      <c r="BK6337" s="25"/>
    </row>
    <row r="6338" spans="60:63" ht="14.25" x14ac:dyDescent="0.2">
      <c r="BH6338" s="25"/>
      <c r="BI6338" s="25"/>
      <c r="BJ6338" s="25"/>
      <c r="BK6338" s="25"/>
    </row>
    <row r="6339" spans="60:63" ht="14.25" x14ac:dyDescent="0.2">
      <c r="BH6339" s="25"/>
      <c r="BI6339" s="25"/>
      <c r="BJ6339" s="25"/>
      <c r="BK6339" s="25"/>
    </row>
    <row r="6340" spans="60:63" ht="14.25" x14ac:dyDescent="0.2">
      <c r="BH6340" s="25"/>
      <c r="BI6340" s="25"/>
      <c r="BJ6340" s="25"/>
      <c r="BK6340" s="25"/>
    </row>
    <row r="6341" spans="60:63" ht="14.25" x14ac:dyDescent="0.2">
      <c r="BH6341" s="25"/>
      <c r="BI6341" s="25"/>
      <c r="BJ6341" s="25"/>
      <c r="BK6341" s="25"/>
    </row>
    <row r="6342" spans="60:63" ht="14.25" x14ac:dyDescent="0.2">
      <c r="BH6342" s="25"/>
      <c r="BI6342" s="25"/>
      <c r="BJ6342" s="25"/>
      <c r="BK6342" s="25"/>
    </row>
    <row r="6343" spans="60:63" ht="14.25" x14ac:dyDescent="0.2">
      <c r="BH6343" s="25"/>
      <c r="BI6343" s="25"/>
      <c r="BJ6343" s="25"/>
      <c r="BK6343" s="25"/>
    </row>
    <row r="6344" spans="60:63" ht="14.25" x14ac:dyDescent="0.2">
      <c r="BH6344" s="25"/>
      <c r="BI6344" s="25"/>
      <c r="BJ6344" s="25"/>
      <c r="BK6344" s="25"/>
    </row>
    <row r="6345" spans="60:63" ht="14.25" x14ac:dyDescent="0.2">
      <c r="BH6345" s="25"/>
      <c r="BI6345" s="25"/>
      <c r="BJ6345" s="25"/>
      <c r="BK6345" s="25"/>
    </row>
    <row r="6346" spans="60:63" ht="14.25" x14ac:dyDescent="0.2">
      <c r="BH6346" s="25"/>
      <c r="BI6346" s="25"/>
      <c r="BJ6346" s="25"/>
      <c r="BK6346" s="25"/>
    </row>
    <row r="6347" spans="60:63" ht="14.25" x14ac:dyDescent="0.2">
      <c r="BH6347" s="25"/>
      <c r="BI6347" s="25"/>
      <c r="BJ6347" s="25"/>
      <c r="BK6347" s="25"/>
    </row>
    <row r="6348" spans="60:63" ht="14.25" x14ac:dyDescent="0.2">
      <c r="BH6348" s="25"/>
      <c r="BI6348" s="25"/>
      <c r="BJ6348" s="25"/>
      <c r="BK6348" s="25"/>
    </row>
    <row r="6349" spans="60:63" ht="14.25" x14ac:dyDescent="0.2">
      <c r="BH6349" s="25"/>
      <c r="BI6349" s="25"/>
      <c r="BJ6349" s="25"/>
      <c r="BK6349" s="25"/>
    </row>
    <row r="6350" spans="60:63" ht="14.25" x14ac:dyDescent="0.2">
      <c r="BH6350" s="25"/>
      <c r="BI6350" s="25"/>
      <c r="BJ6350" s="25"/>
      <c r="BK6350" s="25"/>
    </row>
    <row r="6351" spans="60:63" ht="14.25" x14ac:dyDescent="0.2">
      <c r="BH6351" s="25"/>
      <c r="BI6351" s="25"/>
      <c r="BJ6351" s="25"/>
      <c r="BK6351" s="25"/>
    </row>
    <row r="6352" spans="60:63" ht="14.25" x14ac:dyDescent="0.2">
      <c r="BH6352" s="25"/>
      <c r="BI6352" s="25"/>
      <c r="BJ6352" s="25"/>
      <c r="BK6352" s="25"/>
    </row>
    <row r="6353" spans="60:63" ht="14.25" x14ac:dyDescent="0.2">
      <c r="BH6353" s="25"/>
      <c r="BI6353" s="25"/>
      <c r="BJ6353" s="25"/>
      <c r="BK6353" s="25"/>
    </row>
    <row r="6354" spans="60:63" ht="14.25" x14ac:dyDescent="0.2">
      <c r="BH6354" s="25"/>
      <c r="BI6354" s="25"/>
      <c r="BJ6354" s="25"/>
      <c r="BK6354" s="25"/>
    </row>
    <row r="6355" spans="60:63" ht="14.25" x14ac:dyDescent="0.2">
      <c r="BH6355" s="25"/>
      <c r="BI6355" s="25"/>
      <c r="BJ6355" s="25"/>
      <c r="BK6355" s="25"/>
    </row>
    <row r="6356" spans="60:63" ht="14.25" x14ac:dyDescent="0.2">
      <c r="BH6356" s="25"/>
      <c r="BI6356" s="25"/>
      <c r="BJ6356" s="25"/>
      <c r="BK6356" s="25"/>
    </row>
    <row r="6357" spans="60:63" ht="14.25" x14ac:dyDescent="0.2">
      <c r="BH6357" s="25"/>
      <c r="BI6357" s="25"/>
      <c r="BJ6357" s="25"/>
      <c r="BK6357" s="25"/>
    </row>
    <row r="6358" spans="60:63" ht="14.25" x14ac:dyDescent="0.2">
      <c r="BH6358" s="25"/>
      <c r="BI6358" s="25"/>
      <c r="BJ6358" s="25"/>
      <c r="BK6358" s="25"/>
    </row>
    <row r="6359" spans="60:63" ht="14.25" x14ac:dyDescent="0.2">
      <c r="BH6359" s="25"/>
      <c r="BI6359" s="25"/>
      <c r="BJ6359" s="25"/>
      <c r="BK6359" s="25"/>
    </row>
    <row r="6360" spans="60:63" ht="14.25" x14ac:dyDescent="0.2">
      <c r="BH6360" s="25"/>
      <c r="BI6360" s="25"/>
      <c r="BJ6360" s="25"/>
      <c r="BK6360" s="25"/>
    </row>
    <row r="6361" spans="60:63" ht="14.25" x14ac:dyDescent="0.2">
      <c r="BH6361" s="25"/>
      <c r="BI6361" s="25"/>
      <c r="BJ6361" s="25"/>
      <c r="BK6361" s="25"/>
    </row>
    <row r="6362" spans="60:63" ht="14.25" x14ac:dyDescent="0.2">
      <c r="BH6362" s="25"/>
      <c r="BI6362" s="25"/>
      <c r="BJ6362" s="25"/>
      <c r="BK6362" s="25"/>
    </row>
    <row r="6363" spans="60:63" ht="14.25" x14ac:dyDescent="0.2">
      <c r="BH6363" s="25"/>
      <c r="BI6363" s="25"/>
      <c r="BJ6363" s="25"/>
      <c r="BK6363" s="25"/>
    </row>
    <row r="6364" spans="60:63" ht="14.25" x14ac:dyDescent="0.2">
      <c r="BH6364" s="25"/>
      <c r="BI6364" s="25"/>
      <c r="BJ6364" s="25"/>
      <c r="BK6364" s="25"/>
    </row>
    <row r="6365" spans="60:63" ht="14.25" x14ac:dyDescent="0.2">
      <c r="BH6365" s="25"/>
      <c r="BI6365" s="25"/>
      <c r="BJ6365" s="25"/>
      <c r="BK6365" s="25"/>
    </row>
    <row r="6366" spans="60:63" ht="14.25" x14ac:dyDescent="0.2">
      <c r="BH6366" s="25"/>
      <c r="BI6366" s="25"/>
      <c r="BJ6366" s="25"/>
      <c r="BK6366" s="25"/>
    </row>
    <row r="6367" spans="60:63" ht="14.25" x14ac:dyDescent="0.2">
      <c r="BH6367" s="25"/>
      <c r="BI6367" s="25"/>
      <c r="BJ6367" s="25"/>
      <c r="BK6367" s="25"/>
    </row>
    <row r="6368" spans="60:63" ht="14.25" x14ac:dyDescent="0.2">
      <c r="BH6368" s="25"/>
      <c r="BI6368" s="25"/>
      <c r="BJ6368" s="25"/>
      <c r="BK6368" s="25"/>
    </row>
    <row r="6369" spans="60:63" ht="14.25" x14ac:dyDescent="0.2">
      <c r="BH6369" s="25"/>
      <c r="BI6369" s="25"/>
      <c r="BJ6369" s="25"/>
      <c r="BK6369" s="25"/>
    </row>
    <row r="6370" spans="60:63" ht="14.25" x14ac:dyDescent="0.2">
      <c r="BH6370" s="25"/>
      <c r="BI6370" s="25"/>
      <c r="BJ6370" s="25"/>
      <c r="BK6370" s="25"/>
    </row>
    <row r="6371" spans="60:63" ht="14.25" x14ac:dyDescent="0.2">
      <c r="BH6371" s="25"/>
      <c r="BI6371" s="25"/>
      <c r="BJ6371" s="25"/>
      <c r="BK6371" s="25"/>
    </row>
    <row r="6372" spans="60:63" ht="14.25" x14ac:dyDescent="0.2">
      <c r="BH6372" s="25"/>
      <c r="BI6372" s="25"/>
      <c r="BJ6372" s="25"/>
      <c r="BK6372" s="25"/>
    </row>
    <row r="6373" spans="60:63" ht="14.25" x14ac:dyDescent="0.2">
      <c r="BH6373" s="25"/>
      <c r="BI6373" s="25"/>
      <c r="BJ6373" s="25"/>
      <c r="BK6373" s="25"/>
    </row>
    <row r="6374" spans="60:63" ht="14.25" x14ac:dyDescent="0.2">
      <c r="BH6374" s="25"/>
      <c r="BI6374" s="25"/>
      <c r="BJ6374" s="25"/>
      <c r="BK6374" s="25"/>
    </row>
    <row r="6375" spans="60:63" ht="14.25" x14ac:dyDescent="0.2">
      <c r="BH6375" s="25"/>
      <c r="BI6375" s="25"/>
      <c r="BJ6375" s="25"/>
      <c r="BK6375" s="25"/>
    </row>
    <row r="6376" spans="60:63" ht="14.25" x14ac:dyDescent="0.2">
      <c r="BH6376" s="25"/>
      <c r="BI6376" s="25"/>
      <c r="BJ6376" s="25"/>
      <c r="BK6376" s="25"/>
    </row>
    <row r="6377" spans="60:63" ht="14.25" x14ac:dyDescent="0.2">
      <c r="BH6377" s="25"/>
      <c r="BI6377" s="25"/>
      <c r="BJ6377" s="25"/>
      <c r="BK6377" s="25"/>
    </row>
    <row r="6378" spans="60:63" ht="14.25" x14ac:dyDescent="0.2">
      <c r="BH6378" s="25"/>
      <c r="BI6378" s="25"/>
      <c r="BJ6378" s="25"/>
      <c r="BK6378" s="25"/>
    </row>
    <row r="6379" spans="60:63" ht="14.25" x14ac:dyDescent="0.2">
      <c r="BH6379" s="25"/>
      <c r="BI6379" s="25"/>
      <c r="BJ6379" s="25"/>
      <c r="BK6379" s="25"/>
    </row>
    <row r="6380" spans="60:63" ht="14.25" x14ac:dyDescent="0.2">
      <c r="BH6380" s="25"/>
      <c r="BI6380" s="25"/>
      <c r="BJ6380" s="25"/>
      <c r="BK6380" s="25"/>
    </row>
    <row r="6381" spans="60:63" ht="14.25" x14ac:dyDescent="0.2">
      <c r="BH6381" s="25"/>
      <c r="BI6381" s="25"/>
      <c r="BJ6381" s="25"/>
      <c r="BK6381" s="25"/>
    </row>
    <row r="6382" spans="60:63" ht="14.25" x14ac:dyDescent="0.2">
      <c r="BH6382" s="25"/>
      <c r="BI6382" s="25"/>
      <c r="BJ6382" s="25"/>
      <c r="BK6382" s="25"/>
    </row>
    <row r="6383" spans="60:63" ht="14.25" x14ac:dyDescent="0.2">
      <c r="BH6383" s="25"/>
      <c r="BI6383" s="25"/>
      <c r="BJ6383" s="25"/>
      <c r="BK6383" s="25"/>
    </row>
    <row r="6384" spans="60:63" ht="14.25" x14ac:dyDescent="0.2">
      <c r="BH6384" s="25"/>
      <c r="BI6384" s="25"/>
      <c r="BJ6384" s="25"/>
      <c r="BK6384" s="25"/>
    </row>
    <row r="6385" spans="60:63" ht="14.25" x14ac:dyDescent="0.2">
      <c r="BH6385" s="25"/>
      <c r="BI6385" s="25"/>
      <c r="BJ6385" s="25"/>
      <c r="BK6385" s="25"/>
    </row>
    <row r="6386" spans="60:63" ht="14.25" x14ac:dyDescent="0.2">
      <c r="BH6386" s="25"/>
      <c r="BI6386" s="25"/>
      <c r="BJ6386" s="25"/>
      <c r="BK6386" s="25"/>
    </row>
    <row r="6387" spans="60:63" ht="14.25" x14ac:dyDescent="0.2">
      <c r="BH6387" s="25"/>
      <c r="BI6387" s="25"/>
      <c r="BJ6387" s="25"/>
      <c r="BK6387" s="25"/>
    </row>
    <row r="6388" spans="60:63" ht="14.25" x14ac:dyDescent="0.2">
      <c r="BH6388" s="25"/>
      <c r="BI6388" s="25"/>
      <c r="BJ6388" s="25"/>
      <c r="BK6388" s="25"/>
    </row>
    <row r="6389" spans="60:63" ht="14.25" x14ac:dyDescent="0.2">
      <c r="BH6389" s="25"/>
      <c r="BI6389" s="25"/>
      <c r="BJ6389" s="25"/>
      <c r="BK6389" s="25"/>
    </row>
    <row r="6390" spans="60:63" ht="14.25" x14ac:dyDescent="0.2">
      <c r="BH6390" s="25"/>
      <c r="BI6390" s="25"/>
      <c r="BJ6390" s="25"/>
      <c r="BK6390" s="25"/>
    </row>
    <row r="6391" spans="60:63" ht="14.25" x14ac:dyDescent="0.2">
      <c r="BH6391" s="25"/>
      <c r="BI6391" s="25"/>
      <c r="BJ6391" s="25"/>
      <c r="BK6391" s="25"/>
    </row>
    <row r="6392" spans="60:63" ht="14.25" x14ac:dyDescent="0.2">
      <c r="BH6392" s="25"/>
      <c r="BI6392" s="25"/>
      <c r="BJ6392" s="25"/>
      <c r="BK6392" s="25"/>
    </row>
    <row r="6393" spans="60:63" ht="14.25" x14ac:dyDescent="0.2">
      <c r="BH6393" s="25"/>
      <c r="BI6393" s="25"/>
      <c r="BJ6393" s="25"/>
      <c r="BK6393" s="25"/>
    </row>
    <row r="6394" spans="60:63" ht="14.25" x14ac:dyDescent="0.2">
      <c r="BH6394" s="25"/>
      <c r="BI6394" s="25"/>
      <c r="BJ6394" s="25"/>
      <c r="BK6394" s="25"/>
    </row>
    <row r="6395" spans="60:63" ht="14.25" x14ac:dyDescent="0.2">
      <c r="BH6395" s="25"/>
      <c r="BI6395" s="25"/>
      <c r="BJ6395" s="25"/>
      <c r="BK6395" s="25"/>
    </row>
    <row r="6396" spans="60:63" ht="14.25" x14ac:dyDescent="0.2">
      <c r="BH6396" s="25"/>
      <c r="BI6396" s="25"/>
      <c r="BJ6396" s="25"/>
      <c r="BK6396" s="25"/>
    </row>
    <row r="6397" spans="60:63" ht="14.25" x14ac:dyDescent="0.2">
      <c r="BH6397" s="25"/>
      <c r="BI6397" s="25"/>
      <c r="BJ6397" s="25"/>
      <c r="BK6397" s="25"/>
    </row>
    <row r="6398" spans="60:63" ht="14.25" x14ac:dyDescent="0.2">
      <c r="BH6398" s="25"/>
      <c r="BI6398" s="25"/>
      <c r="BJ6398" s="25"/>
      <c r="BK6398" s="25"/>
    </row>
    <row r="6399" spans="60:63" ht="14.25" x14ac:dyDescent="0.2">
      <c r="BH6399" s="25"/>
      <c r="BI6399" s="25"/>
      <c r="BJ6399" s="25"/>
      <c r="BK6399" s="25"/>
    </row>
    <row r="6400" spans="60:63" ht="14.25" x14ac:dyDescent="0.2">
      <c r="BH6400" s="25"/>
      <c r="BI6400" s="25"/>
      <c r="BJ6400" s="25"/>
      <c r="BK6400" s="25"/>
    </row>
    <row r="6401" spans="60:63" ht="14.25" x14ac:dyDescent="0.2">
      <c r="BH6401" s="25"/>
      <c r="BI6401" s="25"/>
      <c r="BJ6401" s="25"/>
      <c r="BK6401" s="25"/>
    </row>
    <row r="6402" spans="60:63" ht="14.25" x14ac:dyDescent="0.2">
      <c r="BH6402" s="25"/>
      <c r="BI6402" s="25"/>
      <c r="BJ6402" s="25"/>
      <c r="BK6402" s="25"/>
    </row>
    <row r="6403" spans="60:63" ht="14.25" x14ac:dyDescent="0.2">
      <c r="BH6403" s="25"/>
      <c r="BI6403" s="25"/>
      <c r="BJ6403" s="25"/>
      <c r="BK6403" s="25"/>
    </row>
    <row r="6404" spans="60:63" ht="14.25" x14ac:dyDescent="0.2">
      <c r="BH6404" s="25"/>
      <c r="BI6404" s="25"/>
      <c r="BJ6404" s="25"/>
      <c r="BK6404" s="25"/>
    </row>
    <row r="6405" spans="60:63" ht="14.25" x14ac:dyDescent="0.2">
      <c r="BH6405" s="25"/>
      <c r="BI6405" s="25"/>
      <c r="BJ6405" s="25"/>
      <c r="BK6405" s="25"/>
    </row>
    <row r="6406" spans="60:63" ht="14.25" x14ac:dyDescent="0.2">
      <c r="BH6406" s="25"/>
      <c r="BI6406" s="25"/>
      <c r="BJ6406" s="25"/>
      <c r="BK6406" s="25"/>
    </row>
    <row r="6407" spans="60:63" ht="14.25" x14ac:dyDescent="0.2">
      <c r="BH6407" s="25"/>
      <c r="BI6407" s="25"/>
      <c r="BJ6407" s="25"/>
      <c r="BK6407" s="25"/>
    </row>
    <row r="6408" spans="60:63" ht="14.25" x14ac:dyDescent="0.2">
      <c r="BH6408" s="25"/>
      <c r="BI6408" s="25"/>
      <c r="BJ6408" s="25"/>
      <c r="BK6408" s="25"/>
    </row>
    <row r="6409" spans="60:63" ht="14.25" x14ac:dyDescent="0.2">
      <c r="BH6409" s="25"/>
      <c r="BI6409" s="25"/>
      <c r="BJ6409" s="25"/>
      <c r="BK6409" s="25"/>
    </row>
    <row r="6410" spans="60:63" ht="14.25" x14ac:dyDescent="0.2">
      <c r="BH6410" s="25"/>
      <c r="BI6410" s="25"/>
      <c r="BJ6410" s="25"/>
      <c r="BK6410" s="25"/>
    </row>
    <row r="6411" spans="60:63" ht="14.25" x14ac:dyDescent="0.2">
      <c r="BH6411" s="25"/>
      <c r="BI6411" s="25"/>
      <c r="BJ6411" s="25"/>
      <c r="BK6411" s="25"/>
    </row>
    <row r="6412" spans="60:63" ht="14.25" x14ac:dyDescent="0.2">
      <c r="BH6412" s="25"/>
      <c r="BI6412" s="25"/>
      <c r="BJ6412" s="25"/>
      <c r="BK6412" s="25"/>
    </row>
    <row r="6413" spans="60:63" ht="14.25" x14ac:dyDescent="0.2">
      <c r="BH6413" s="25"/>
      <c r="BI6413" s="25"/>
      <c r="BJ6413" s="25"/>
      <c r="BK6413" s="25"/>
    </row>
    <row r="6414" spans="60:63" ht="14.25" x14ac:dyDescent="0.2">
      <c r="BH6414" s="25"/>
      <c r="BI6414" s="25"/>
      <c r="BJ6414" s="25"/>
      <c r="BK6414" s="25"/>
    </row>
    <row r="6415" spans="60:63" ht="14.25" x14ac:dyDescent="0.2">
      <c r="BH6415" s="25"/>
      <c r="BI6415" s="25"/>
      <c r="BJ6415" s="25"/>
      <c r="BK6415" s="25"/>
    </row>
    <row r="6416" spans="60:63" ht="14.25" x14ac:dyDescent="0.2">
      <c r="BH6416" s="25"/>
      <c r="BI6416" s="25"/>
      <c r="BJ6416" s="25"/>
      <c r="BK6416" s="25"/>
    </row>
    <row r="6417" spans="60:63" ht="14.25" x14ac:dyDescent="0.2">
      <c r="BH6417" s="25"/>
      <c r="BI6417" s="25"/>
      <c r="BJ6417" s="25"/>
      <c r="BK6417" s="25"/>
    </row>
    <row r="6418" spans="60:63" ht="14.25" x14ac:dyDescent="0.2">
      <c r="BH6418" s="25"/>
      <c r="BI6418" s="25"/>
      <c r="BJ6418" s="25"/>
      <c r="BK6418" s="25"/>
    </row>
    <row r="6419" spans="60:63" ht="14.25" x14ac:dyDescent="0.2">
      <c r="BH6419" s="25"/>
      <c r="BI6419" s="25"/>
      <c r="BJ6419" s="25"/>
      <c r="BK6419" s="25"/>
    </row>
    <row r="6420" spans="60:63" ht="14.25" x14ac:dyDescent="0.2">
      <c r="BH6420" s="25"/>
      <c r="BI6420" s="25"/>
      <c r="BJ6420" s="25"/>
      <c r="BK6420" s="25"/>
    </row>
    <row r="6421" spans="60:63" ht="14.25" x14ac:dyDescent="0.2">
      <c r="BH6421" s="25"/>
      <c r="BI6421" s="25"/>
      <c r="BJ6421" s="25"/>
      <c r="BK6421" s="25"/>
    </row>
    <row r="6422" spans="60:63" ht="14.25" x14ac:dyDescent="0.2">
      <c r="BH6422" s="25"/>
      <c r="BI6422" s="25"/>
      <c r="BJ6422" s="25"/>
      <c r="BK6422" s="25"/>
    </row>
    <row r="6423" spans="60:63" ht="14.25" x14ac:dyDescent="0.2">
      <c r="BH6423" s="25"/>
      <c r="BI6423" s="25"/>
      <c r="BJ6423" s="25"/>
      <c r="BK6423" s="25"/>
    </row>
    <row r="6424" spans="60:63" ht="14.25" x14ac:dyDescent="0.2">
      <c r="BH6424" s="25"/>
      <c r="BI6424" s="25"/>
      <c r="BJ6424" s="25"/>
      <c r="BK6424" s="25"/>
    </row>
    <row r="6425" spans="60:63" ht="14.25" x14ac:dyDescent="0.2">
      <c r="BH6425" s="25"/>
      <c r="BI6425" s="25"/>
      <c r="BJ6425" s="25"/>
      <c r="BK6425" s="25"/>
    </row>
    <row r="6426" spans="60:63" ht="14.25" x14ac:dyDescent="0.2">
      <c r="BH6426" s="25"/>
      <c r="BI6426" s="25"/>
      <c r="BJ6426" s="25"/>
      <c r="BK6426" s="25"/>
    </row>
    <row r="6427" spans="60:63" ht="14.25" x14ac:dyDescent="0.2">
      <c r="BH6427" s="25"/>
      <c r="BI6427" s="25"/>
      <c r="BJ6427" s="25"/>
      <c r="BK6427" s="25"/>
    </row>
    <row r="6428" spans="60:63" ht="14.25" x14ac:dyDescent="0.2">
      <c r="BH6428" s="25"/>
      <c r="BI6428" s="25"/>
      <c r="BJ6428" s="25"/>
      <c r="BK6428" s="25"/>
    </row>
    <row r="6429" spans="60:63" ht="14.25" x14ac:dyDescent="0.2">
      <c r="BH6429" s="25"/>
      <c r="BI6429" s="25"/>
      <c r="BJ6429" s="25"/>
      <c r="BK6429" s="25"/>
    </row>
    <row r="6430" spans="60:63" ht="14.25" x14ac:dyDescent="0.2">
      <c r="BH6430" s="25"/>
      <c r="BI6430" s="25"/>
      <c r="BJ6430" s="25"/>
      <c r="BK6430" s="25"/>
    </row>
    <row r="6431" spans="60:63" ht="14.25" x14ac:dyDescent="0.2">
      <c r="BH6431" s="25"/>
      <c r="BI6431" s="25"/>
      <c r="BJ6431" s="25"/>
      <c r="BK6431" s="25"/>
    </row>
    <row r="6432" spans="60:63" ht="14.25" x14ac:dyDescent="0.2">
      <c r="BH6432" s="25"/>
      <c r="BI6432" s="25"/>
      <c r="BJ6432" s="25"/>
      <c r="BK6432" s="25"/>
    </row>
    <row r="6433" spans="60:63" ht="14.25" x14ac:dyDescent="0.2">
      <c r="BH6433" s="25"/>
      <c r="BI6433" s="25"/>
      <c r="BJ6433" s="25"/>
      <c r="BK6433" s="25"/>
    </row>
    <row r="6434" spans="60:63" ht="14.25" x14ac:dyDescent="0.2">
      <c r="BH6434" s="25"/>
      <c r="BI6434" s="25"/>
      <c r="BJ6434" s="25"/>
      <c r="BK6434" s="25"/>
    </row>
    <row r="6435" spans="60:63" ht="14.25" x14ac:dyDescent="0.2">
      <c r="BH6435" s="25"/>
      <c r="BI6435" s="25"/>
      <c r="BJ6435" s="25"/>
      <c r="BK6435" s="25"/>
    </row>
    <row r="6436" spans="60:63" ht="14.25" x14ac:dyDescent="0.2">
      <c r="BH6436" s="25"/>
      <c r="BI6436" s="25"/>
      <c r="BJ6436" s="25"/>
      <c r="BK6436" s="25"/>
    </row>
    <row r="6437" spans="60:63" ht="14.25" x14ac:dyDescent="0.2">
      <c r="BH6437" s="25"/>
      <c r="BI6437" s="25"/>
      <c r="BJ6437" s="25"/>
      <c r="BK6437" s="25"/>
    </row>
    <row r="6438" spans="60:63" ht="14.25" x14ac:dyDescent="0.2">
      <c r="BH6438" s="25"/>
      <c r="BI6438" s="25"/>
      <c r="BJ6438" s="25"/>
      <c r="BK6438" s="25"/>
    </row>
    <row r="6439" spans="60:63" ht="14.25" x14ac:dyDescent="0.2">
      <c r="BH6439" s="25"/>
      <c r="BI6439" s="25"/>
      <c r="BJ6439" s="25"/>
      <c r="BK6439" s="25"/>
    </row>
    <row r="6440" spans="60:63" ht="14.25" x14ac:dyDescent="0.2">
      <c r="BH6440" s="25"/>
      <c r="BI6440" s="25"/>
      <c r="BJ6440" s="25"/>
      <c r="BK6440" s="25"/>
    </row>
    <row r="6441" spans="60:63" ht="14.25" x14ac:dyDescent="0.2">
      <c r="BH6441" s="25"/>
      <c r="BI6441" s="25"/>
      <c r="BJ6441" s="25"/>
      <c r="BK6441" s="25"/>
    </row>
    <row r="6442" spans="60:63" ht="14.25" x14ac:dyDescent="0.2">
      <c r="BH6442" s="25"/>
      <c r="BI6442" s="25"/>
      <c r="BJ6442" s="25"/>
      <c r="BK6442" s="25"/>
    </row>
    <row r="6443" spans="60:63" ht="14.25" x14ac:dyDescent="0.2">
      <c r="BH6443" s="25"/>
      <c r="BI6443" s="25"/>
      <c r="BJ6443" s="25"/>
      <c r="BK6443" s="25"/>
    </row>
    <row r="6444" spans="60:63" ht="14.25" x14ac:dyDescent="0.2">
      <c r="BH6444" s="25"/>
      <c r="BI6444" s="25"/>
      <c r="BJ6444" s="25"/>
      <c r="BK6444" s="25"/>
    </row>
    <row r="6445" spans="60:63" ht="14.25" x14ac:dyDescent="0.2">
      <c r="BH6445" s="25"/>
      <c r="BI6445" s="25"/>
      <c r="BJ6445" s="25"/>
      <c r="BK6445" s="25"/>
    </row>
    <row r="6446" spans="60:63" ht="14.25" x14ac:dyDescent="0.2">
      <c r="BH6446" s="25"/>
      <c r="BI6446" s="25"/>
      <c r="BJ6446" s="25"/>
      <c r="BK6446" s="25"/>
    </row>
    <row r="6447" spans="60:63" ht="14.25" x14ac:dyDescent="0.2">
      <c r="BH6447" s="25"/>
      <c r="BI6447" s="25"/>
      <c r="BJ6447" s="25"/>
      <c r="BK6447" s="25"/>
    </row>
    <row r="6448" spans="60:63" ht="14.25" x14ac:dyDescent="0.2">
      <c r="BH6448" s="25"/>
      <c r="BI6448" s="25"/>
      <c r="BJ6448" s="25"/>
      <c r="BK6448" s="25"/>
    </row>
    <row r="6449" spans="60:63" ht="14.25" x14ac:dyDescent="0.2">
      <c r="BH6449" s="25"/>
      <c r="BI6449" s="25"/>
      <c r="BJ6449" s="25"/>
      <c r="BK6449" s="25"/>
    </row>
    <row r="6450" spans="60:63" ht="14.25" x14ac:dyDescent="0.2">
      <c r="BH6450" s="25"/>
      <c r="BI6450" s="25"/>
      <c r="BJ6450" s="25"/>
      <c r="BK6450" s="25"/>
    </row>
    <row r="6451" spans="60:63" ht="14.25" x14ac:dyDescent="0.2">
      <c r="BH6451" s="25"/>
      <c r="BI6451" s="25"/>
      <c r="BJ6451" s="25"/>
      <c r="BK6451" s="25"/>
    </row>
    <row r="6452" spans="60:63" ht="14.25" x14ac:dyDescent="0.2">
      <c r="BH6452" s="25"/>
      <c r="BI6452" s="25"/>
      <c r="BJ6452" s="25"/>
      <c r="BK6452" s="25"/>
    </row>
    <row r="6453" spans="60:63" ht="14.25" x14ac:dyDescent="0.2">
      <c r="BH6453" s="25"/>
      <c r="BI6453" s="25"/>
      <c r="BJ6453" s="25"/>
      <c r="BK6453" s="25"/>
    </row>
    <row r="6454" spans="60:63" ht="14.25" x14ac:dyDescent="0.2">
      <c r="BH6454" s="25"/>
      <c r="BI6454" s="25"/>
      <c r="BJ6454" s="25"/>
      <c r="BK6454" s="25"/>
    </row>
    <row r="6455" spans="60:63" ht="14.25" x14ac:dyDescent="0.2">
      <c r="BH6455" s="25"/>
      <c r="BI6455" s="25"/>
      <c r="BJ6455" s="25"/>
      <c r="BK6455" s="25"/>
    </row>
    <row r="6456" spans="60:63" ht="14.25" x14ac:dyDescent="0.2">
      <c r="BH6456" s="25"/>
      <c r="BI6456" s="25"/>
      <c r="BJ6456" s="25"/>
      <c r="BK6456" s="25"/>
    </row>
    <row r="6457" spans="60:63" ht="14.25" x14ac:dyDescent="0.2">
      <c r="BH6457" s="25"/>
      <c r="BI6457" s="25"/>
      <c r="BJ6457" s="25"/>
      <c r="BK6457" s="25"/>
    </row>
    <row r="6458" spans="60:63" ht="14.25" x14ac:dyDescent="0.2">
      <c r="BH6458" s="25"/>
      <c r="BI6458" s="25"/>
      <c r="BJ6458" s="25"/>
      <c r="BK6458" s="25"/>
    </row>
    <row r="6459" spans="60:63" ht="14.25" x14ac:dyDescent="0.2">
      <c r="BH6459" s="25"/>
      <c r="BI6459" s="25"/>
      <c r="BJ6459" s="25"/>
      <c r="BK6459" s="25"/>
    </row>
    <row r="6460" spans="60:63" ht="14.25" x14ac:dyDescent="0.2">
      <c r="BH6460" s="25"/>
      <c r="BI6460" s="25"/>
      <c r="BJ6460" s="25"/>
      <c r="BK6460" s="25"/>
    </row>
    <row r="6461" spans="60:63" ht="14.25" x14ac:dyDescent="0.2">
      <c r="BH6461" s="25"/>
      <c r="BI6461" s="25"/>
      <c r="BJ6461" s="25"/>
      <c r="BK6461" s="25"/>
    </row>
    <row r="6462" spans="60:63" ht="14.25" x14ac:dyDescent="0.2">
      <c r="BH6462" s="25"/>
      <c r="BI6462" s="25"/>
      <c r="BJ6462" s="25"/>
      <c r="BK6462" s="25"/>
    </row>
    <row r="6463" spans="60:63" ht="14.25" x14ac:dyDescent="0.2">
      <c r="BH6463" s="25"/>
      <c r="BI6463" s="25"/>
      <c r="BJ6463" s="25"/>
      <c r="BK6463" s="25"/>
    </row>
    <row r="6464" spans="60:63" ht="14.25" x14ac:dyDescent="0.2">
      <c r="BH6464" s="25"/>
      <c r="BI6464" s="25"/>
      <c r="BJ6464" s="25"/>
      <c r="BK6464" s="25"/>
    </row>
    <row r="6465" spans="60:63" ht="14.25" x14ac:dyDescent="0.2">
      <c r="BH6465" s="25"/>
      <c r="BI6465" s="25"/>
      <c r="BJ6465" s="25"/>
      <c r="BK6465" s="25"/>
    </row>
    <row r="6466" spans="60:63" ht="14.25" x14ac:dyDescent="0.2">
      <c r="BH6466" s="25"/>
      <c r="BI6466" s="25"/>
      <c r="BJ6466" s="25"/>
      <c r="BK6466" s="25"/>
    </row>
    <row r="6467" spans="60:63" ht="14.25" x14ac:dyDescent="0.2">
      <c r="BH6467" s="25"/>
      <c r="BI6467" s="25"/>
      <c r="BJ6467" s="25"/>
      <c r="BK6467" s="25"/>
    </row>
    <row r="6468" spans="60:63" ht="14.25" x14ac:dyDescent="0.2">
      <c r="BH6468" s="25"/>
      <c r="BI6468" s="25"/>
      <c r="BJ6468" s="25"/>
      <c r="BK6468" s="25"/>
    </row>
    <row r="6469" spans="60:63" ht="14.25" x14ac:dyDescent="0.2">
      <c r="BH6469" s="25"/>
      <c r="BI6469" s="25"/>
      <c r="BJ6469" s="25"/>
      <c r="BK6469" s="25"/>
    </row>
    <row r="6470" spans="60:63" ht="14.25" x14ac:dyDescent="0.2">
      <c r="BH6470" s="25"/>
      <c r="BI6470" s="25"/>
      <c r="BJ6470" s="25"/>
      <c r="BK6470" s="25"/>
    </row>
    <row r="6471" spans="60:63" ht="14.25" x14ac:dyDescent="0.2">
      <c r="BH6471" s="25"/>
      <c r="BI6471" s="25"/>
      <c r="BJ6471" s="25"/>
      <c r="BK6471" s="25"/>
    </row>
    <row r="6472" spans="60:63" ht="14.25" x14ac:dyDescent="0.2">
      <c r="BH6472" s="25"/>
      <c r="BI6472" s="25"/>
      <c r="BJ6472" s="25"/>
      <c r="BK6472" s="25"/>
    </row>
    <row r="6473" spans="60:63" ht="14.25" x14ac:dyDescent="0.2">
      <c r="BH6473" s="25"/>
      <c r="BI6473" s="25"/>
      <c r="BJ6473" s="25"/>
      <c r="BK6473" s="25"/>
    </row>
    <row r="6474" spans="60:63" ht="14.25" x14ac:dyDescent="0.2">
      <c r="BH6474" s="25"/>
      <c r="BI6474" s="25"/>
      <c r="BJ6474" s="25"/>
      <c r="BK6474" s="25"/>
    </row>
    <row r="6475" spans="60:63" ht="14.25" x14ac:dyDescent="0.2">
      <c r="BH6475" s="25"/>
      <c r="BI6475" s="25"/>
      <c r="BJ6475" s="25"/>
      <c r="BK6475" s="25"/>
    </row>
    <row r="6476" spans="60:63" ht="14.25" x14ac:dyDescent="0.2">
      <c r="BH6476" s="25"/>
      <c r="BI6476" s="25"/>
      <c r="BJ6476" s="25"/>
      <c r="BK6476" s="25"/>
    </row>
    <row r="6477" spans="60:63" ht="14.25" x14ac:dyDescent="0.2">
      <c r="BH6477" s="25"/>
      <c r="BI6477" s="25"/>
      <c r="BJ6477" s="25"/>
      <c r="BK6477" s="25"/>
    </row>
    <row r="6478" spans="60:63" ht="14.25" x14ac:dyDescent="0.2">
      <c r="BH6478" s="25"/>
      <c r="BI6478" s="25"/>
      <c r="BJ6478" s="25"/>
      <c r="BK6478" s="25"/>
    </row>
    <row r="6479" spans="60:63" ht="14.25" x14ac:dyDescent="0.2">
      <c r="BH6479" s="25"/>
      <c r="BI6479" s="25"/>
      <c r="BJ6479" s="25"/>
      <c r="BK6479" s="25"/>
    </row>
    <row r="6480" spans="60:63" ht="14.25" x14ac:dyDescent="0.2">
      <c r="BH6480" s="25"/>
      <c r="BI6480" s="25"/>
      <c r="BJ6480" s="25"/>
      <c r="BK6480" s="25"/>
    </row>
    <row r="6481" spans="60:63" ht="14.25" x14ac:dyDescent="0.2">
      <c r="BH6481" s="25"/>
      <c r="BI6481" s="25"/>
      <c r="BJ6481" s="25"/>
      <c r="BK6481" s="25"/>
    </row>
    <row r="6482" spans="60:63" ht="14.25" x14ac:dyDescent="0.2">
      <c r="BH6482" s="25"/>
      <c r="BI6482" s="25"/>
      <c r="BJ6482" s="25"/>
      <c r="BK6482" s="25"/>
    </row>
    <row r="6483" spans="60:63" ht="14.25" x14ac:dyDescent="0.2">
      <c r="BH6483" s="25"/>
      <c r="BI6483" s="25"/>
      <c r="BJ6483" s="25"/>
      <c r="BK6483" s="25"/>
    </row>
    <row r="6484" spans="60:63" ht="14.25" x14ac:dyDescent="0.2">
      <c r="BH6484" s="25"/>
      <c r="BI6484" s="25"/>
      <c r="BJ6484" s="25"/>
      <c r="BK6484" s="25"/>
    </row>
    <row r="6485" spans="60:63" ht="14.25" x14ac:dyDescent="0.2">
      <c r="BH6485" s="25"/>
      <c r="BI6485" s="25"/>
      <c r="BJ6485" s="25"/>
      <c r="BK6485" s="25"/>
    </row>
    <row r="6486" spans="60:63" ht="14.25" x14ac:dyDescent="0.2">
      <c r="BH6486" s="25"/>
      <c r="BI6486" s="25"/>
      <c r="BJ6486" s="25"/>
      <c r="BK6486" s="25"/>
    </row>
    <row r="6487" spans="60:63" ht="14.25" x14ac:dyDescent="0.2">
      <c r="BH6487" s="25"/>
      <c r="BI6487" s="25"/>
      <c r="BJ6487" s="25"/>
      <c r="BK6487" s="25"/>
    </row>
    <row r="6488" spans="60:63" ht="14.25" x14ac:dyDescent="0.2">
      <c r="BH6488" s="25"/>
      <c r="BI6488" s="25"/>
      <c r="BJ6488" s="25"/>
      <c r="BK6488" s="25"/>
    </row>
    <row r="6489" spans="60:63" ht="14.25" x14ac:dyDescent="0.2">
      <c r="BH6489" s="25"/>
      <c r="BI6489" s="25"/>
      <c r="BJ6489" s="25"/>
      <c r="BK6489" s="25"/>
    </row>
    <row r="6490" spans="60:63" ht="14.25" x14ac:dyDescent="0.2">
      <c r="BH6490" s="25"/>
      <c r="BI6490" s="25"/>
      <c r="BJ6490" s="25"/>
      <c r="BK6490" s="25"/>
    </row>
    <row r="6491" spans="60:63" ht="14.25" x14ac:dyDescent="0.2">
      <c r="BH6491" s="25"/>
      <c r="BI6491" s="25"/>
      <c r="BJ6491" s="25"/>
      <c r="BK6491" s="25"/>
    </row>
    <row r="6492" spans="60:63" ht="14.25" x14ac:dyDescent="0.2">
      <c r="BH6492" s="25"/>
      <c r="BI6492" s="25"/>
      <c r="BJ6492" s="25"/>
      <c r="BK6492" s="25"/>
    </row>
    <row r="6493" spans="60:63" ht="14.25" x14ac:dyDescent="0.2">
      <c r="BH6493" s="25"/>
      <c r="BI6493" s="25"/>
      <c r="BJ6493" s="25"/>
      <c r="BK6493" s="25"/>
    </row>
    <row r="6494" spans="60:63" ht="14.25" x14ac:dyDescent="0.2">
      <c r="BH6494" s="25"/>
      <c r="BI6494" s="25"/>
      <c r="BJ6494" s="25"/>
      <c r="BK6494" s="25"/>
    </row>
    <row r="6495" spans="60:63" ht="14.25" x14ac:dyDescent="0.2">
      <c r="BH6495" s="25"/>
      <c r="BI6495" s="25"/>
      <c r="BJ6495" s="25"/>
      <c r="BK6495" s="25"/>
    </row>
    <row r="6496" spans="60:63" ht="14.25" x14ac:dyDescent="0.2">
      <c r="BH6496" s="25"/>
      <c r="BI6496" s="25"/>
      <c r="BJ6496" s="25"/>
      <c r="BK6496" s="25"/>
    </row>
    <row r="6497" spans="60:63" ht="14.25" x14ac:dyDescent="0.2">
      <c r="BH6497" s="25"/>
      <c r="BI6497" s="25"/>
      <c r="BJ6497" s="25"/>
      <c r="BK6497" s="25"/>
    </row>
    <row r="6498" spans="60:63" ht="14.25" x14ac:dyDescent="0.2">
      <c r="BH6498" s="25"/>
      <c r="BI6498" s="25"/>
      <c r="BJ6498" s="25"/>
      <c r="BK6498" s="25"/>
    </row>
    <row r="6499" spans="60:63" ht="14.25" x14ac:dyDescent="0.2">
      <c r="BH6499" s="25"/>
      <c r="BI6499" s="25"/>
      <c r="BJ6499" s="25"/>
      <c r="BK6499" s="25"/>
    </row>
    <row r="6500" spans="60:63" ht="14.25" x14ac:dyDescent="0.2">
      <c r="BH6500" s="25"/>
      <c r="BI6500" s="25"/>
      <c r="BJ6500" s="25"/>
      <c r="BK6500" s="25"/>
    </row>
    <row r="6501" spans="60:63" ht="14.25" x14ac:dyDescent="0.2">
      <c r="BH6501" s="25"/>
      <c r="BI6501" s="25"/>
      <c r="BJ6501" s="25"/>
      <c r="BK6501" s="25"/>
    </row>
    <row r="6502" spans="60:63" ht="14.25" x14ac:dyDescent="0.2">
      <c r="BH6502" s="25"/>
      <c r="BI6502" s="25"/>
      <c r="BJ6502" s="25"/>
      <c r="BK6502" s="25"/>
    </row>
    <row r="6503" spans="60:63" ht="14.25" x14ac:dyDescent="0.2">
      <c r="BH6503" s="25"/>
      <c r="BI6503" s="25"/>
      <c r="BJ6503" s="25"/>
      <c r="BK6503" s="25"/>
    </row>
    <row r="6504" spans="60:63" ht="14.25" x14ac:dyDescent="0.2">
      <c r="BH6504" s="25"/>
      <c r="BI6504" s="25"/>
      <c r="BJ6504" s="25"/>
      <c r="BK6504" s="25"/>
    </row>
    <row r="6505" spans="60:63" ht="14.25" x14ac:dyDescent="0.2">
      <c r="BH6505" s="25"/>
      <c r="BI6505" s="25"/>
      <c r="BJ6505" s="25"/>
      <c r="BK6505" s="25"/>
    </row>
    <row r="6506" spans="60:63" ht="14.25" x14ac:dyDescent="0.2">
      <c r="BH6506" s="25"/>
      <c r="BI6506" s="25"/>
      <c r="BJ6506" s="25"/>
      <c r="BK6506" s="25"/>
    </row>
    <row r="6507" spans="60:63" ht="14.25" x14ac:dyDescent="0.2">
      <c r="BH6507" s="25"/>
      <c r="BI6507" s="25"/>
      <c r="BJ6507" s="25"/>
      <c r="BK6507" s="25"/>
    </row>
    <row r="6508" spans="60:63" ht="14.25" x14ac:dyDescent="0.2">
      <c r="BH6508" s="25"/>
      <c r="BI6508" s="25"/>
      <c r="BJ6508" s="25"/>
      <c r="BK6508" s="25"/>
    </row>
    <row r="6509" spans="60:63" ht="14.25" x14ac:dyDescent="0.2">
      <c r="BH6509" s="25"/>
      <c r="BI6509" s="25"/>
      <c r="BJ6509" s="25"/>
      <c r="BK6509" s="25"/>
    </row>
    <row r="6510" spans="60:63" ht="14.25" x14ac:dyDescent="0.2">
      <c r="BH6510" s="25"/>
      <c r="BI6510" s="25"/>
      <c r="BJ6510" s="25"/>
      <c r="BK6510" s="25"/>
    </row>
    <row r="6511" spans="60:63" ht="14.25" x14ac:dyDescent="0.2">
      <c r="BH6511" s="25"/>
      <c r="BI6511" s="25"/>
      <c r="BJ6511" s="25"/>
      <c r="BK6511" s="25"/>
    </row>
    <row r="6512" spans="60:63" ht="14.25" x14ac:dyDescent="0.2">
      <c r="BH6512" s="25"/>
      <c r="BI6512" s="25"/>
      <c r="BJ6512" s="25"/>
      <c r="BK6512" s="25"/>
    </row>
    <row r="6513" spans="60:63" ht="14.25" x14ac:dyDescent="0.2">
      <c r="BH6513" s="25"/>
      <c r="BI6513" s="25"/>
      <c r="BJ6513" s="25"/>
      <c r="BK6513" s="25"/>
    </row>
    <row r="6514" spans="60:63" ht="14.25" x14ac:dyDescent="0.2">
      <c r="BH6514" s="25"/>
      <c r="BI6514" s="25"/>
      <c r="BJ6514" s="25"/>
      <c r="BK6514" s="25"/>
    </row>
    <row r="6515" spans="60:63" ht="14.25" x14ac:dyDescent="0.2">
      <c r="BH6515" s="25"/>
      <c r="BI6515" s="25"/>
      <c r="BJ6515" s="25"/>
      <c r="BK6515" s="25"/>
    </row>
    <row r="6516" spans="60:63" ht="14.25" x14ac:dyDescent="0.2">
      <c r="BH6516" s="25"/>
      <c r="BI6516" s="25"/>
      <c r="BJ6516" s="25"/>
      <c r="BK6516" s="25"/>
    </row>
    <row r="6517" spans="60:63" ht="14.25" x14ac:dyDescent="0.2">
      <c r="BH6517" s="25"/>
      <c r="BI6517" s="25"/>
      <c r="BJ6517" s="25"/>
      <c r="BK6517" s="25"/>
    </row>
    <row r="6518" spans="60:63" ht="14.25" x14ac:dyDescent="0.2">
      <c r="BH6518" s="25"/>
      <c r="BI6518" s="25"/>
      <c r="BJ6518" s="25"/>
      <c r="BK6518" s="25"/>
    </row>
    <row r="6519" spans="60:63" ht="14.25" x14ac:dyDescent="0.2">
      <c r="BH6519" s="25"/>
      <c r="BI6519" s="25"/>
      <c r="BJ6519" s="25"/>
      <c r="BK6519" s="25"/>
    </row>
    <row r="6520" spans="60:63" ht="14.25" x14ac:dyDescent="0.2">
      <c r="BH6520" s="25"/>
      <c r="BI6520" s="25"/>
      <c r="BJ6520" s="25"/>
      <c r="BK6520" s="25"/>
    </row>
    <row r="6521" spans="60:63" ht="14.25" x14ac:dyDescent="0.2">
      <c r="BH6521" s="25"/>
      <c r="BI6521" s="25"/>
      <c r="BJ6521" s="25"/>
      <c r="BK6521" s="25"/>
    </row>
    <row r="6522" spans="60:63" ht="14.25" x14ac:dyDescent="0.2">
      <c r="BH6522" s="25"/>
      <c r="BI6522" s="25"/>
      <c r="BJ6522" s="25"/>
      <c r="BK6522" s="25"/>
    </row>
    <row r="6523" spans="60:63" ht="14.25" x14ac:dyDescent="0.2">
      <c r="BH6523" s="25"/>
      <c r="BI6523" s="25"/>
      <c r="BJ6523" s="25"/>
      <c r="BK6523" s="25"/>
    </row>
    <row r="6524" spans="60:63" ht="14.25" x14ac:dyDescent="0.2">
      <c r="BH6524" s="25"/>
      <c r="BI6524" s="25"/>
      <c r="BJ6524" s="25"/>
      <c r="BK6524" s="25"/>
    </row>
    <row r="6525" spans="60:63" ht="14.25" x14ac:dyDescent="0.2">
      <c r="BH6525" s="25"/>
      <c r="BI6525" s="25"/>
      <c r="BJ6525" s="25"/>
      <c r="BK6525" s="25"/>
    </row>
    <row r="6526" spans="60:63" ht="14.25" x14ac:dyDescent="0.2">
      <c r="BH6526" s="25"/>
      <c r="BI6526" s="25"/>
      <c r="BJ6526" s="25"/>
      <c r="BK6526" s="25"/>
    </row>
    <row r="6527" spans="60:63" ht="14.25" x14ac:dyDescent="0.2">
      <c r="BH6527" s="25"/>
      <c r="BI6527" s="25"/>
      <c r="BJ6527" s="25"/>
      <c r="BK6527" s="25"/>
    </row>
    <row r="6528" spans="60:63" ht="14.25" x14ac:dyDescent="0.2">
      <c r="BH6528" s="25"/>
      <c r="BI6528" s="25"/>
      <c r="BJ6528" s="25"/>
      <c r="BK6528" s="25"/>
    </row>
    <row r="6529" spans="60:63" ht="14.25" x14ac:dyDescent="0.2">
      <c r="BH6529" s="25"/>
      <c r="BI6529" s="25"/>
      <c r="BJ6529" s="25"/>
      <c r="BK6529" s="25"/>
    </row>
    <row r="6530" spans="60:63" ht="14.25" x14ac:dyDescent="0.2">
      <c r="BH6530" s="25"/>
      <c r="BI6530" s="25"/>
      <c r="BJ6530" s="25"/>
      <c r="BK6530" s="25"/>
    </row>
    <row r="6531" spans="60:63" ht="14.25" x14ac:dyDescent="0.2">
      <c r="BH6531" s="25"/>
      <c r="BI6531" s="25"/>
      <c r="BJ6531" s="25"/>
      <c r="BK6531" s="25"/>
    </row>
    <row r="6532" spans="60:63" ht="14.25" x14ac:dyDescent="0.2">
      <c r="BH6532" s="25"/>
      <c r="BI6532" s="25"/>
      <c r="BJ6532" s="25"/>
      <c r="BK6532" s="25"/>
    </row>
    <row r="6533" spans="60:63" ht="14.25" x14ac:dyDescent="0.2">
      <c r="BH6533" s="25"/>
      <c r="BI6533" s="25"/>
      <c r="BJ6533" s="25"/>
      <c r="BK6533" s="25"/>
    </row>
    <row r="6534" spans="60:63" ht="14.25" x14ac:dyDescent="0.2">
      <c r="BH6534" s="25"/>
      <c r="BI6534" s="25"/>
      <c r="BJ6534" s="25"/>
      <c r="BK6534" s="25"/>
    </row>
    <row r="6535" spans="60:63" ht="14.25" x14ac:dyDescent="0.2">
      <c r="BH6535" s="25"/>
      <c r="BI6535" s="25"/>
      <c r="BJ6535" s="25"/>
      <c r="BK6535" s="25"/>
    </row>
    <row r="6536" spans="60:63" ht="14.25" x14ac:dyDescent="0.2">
      <c r="BH6536" s="25"/>
      <c r="BI6536" s="25"/>
      <c r="BJ6536" s="25"/>
      <c r="BK6536" s="25"/>
    </row>
    <row r="6537" spans="60:63" ht="14.25" x14ac:dyDescent="0.2">
      <c r="BH6537" s="25"/>
      <c r="BI6537" s="25"/>
      <c r="BJ6537" s="25"/>
      <c r="BK6537" s="25"/>
    </row>
    <row r="6538" spans="60:63" ht="14.25" x14ac:dyDescent="0.2">
      <c r="BH6538" s="25"/>
      <c r="BI6538" s="25"/>
      <c r="BJ6538" s="25"/>
      <c r="BK6538" s="25"/>
    </row>
    <row r="6539" spans="60:63" ht="14.25" x14ac:dyDescent="0.2">
      <c r="BH6539" s="25"/>
      <c r="BI6539" s="25"/>
      <c r="BJ6539" s="25"/>
      <c r="BK6539" s="25"/>
    </row>
    <row r="6540" spans="60:63" ht="14.25" x14ac:dyDescent="0.2">
      <c r="BH6540" s="25"/>
      <c r="BI6540" s="25"/>
      <c r="BJ6540" s="25"/>
      <c r="BK6540" s="25"/>
    </row>
    <row r="6541" spans="60:63" ht="14.25" x14ac:dyDescent="0.2">
      <c r="BH6541" s="25"/>
      <c r="BI6541" s="25"/>
      <c r="BJ6541" s="25"/>
      <c r="BK6541" s="25"/>
    </row>
    <row r="6542" spans="60:63" ht="14.25" x14ac:dyDescent="0.2">
      <c r="BH6542" s="25"/>
      <c r="BI6542" s="25"/>
      <c r="BJ6542" s="25"/>
      <c r="BK6542" s="25"/>
    </row>
    <row r="6543" spans="60:63" ht="14.25" x14ac:dyDescent="0.2">
      <c r="BH6543" s="25"/>
      <c r="BI6543" s="25"/>
      <c r="BJ6543" s="25"/>
      <c r="BK6543" s="25"/>
    </row>
    <row r="6544" spans="60:63" ht="14.25" x14ac:dyDescent="0.2">
      <c r="BH6544" s="25"/>
      <c r="BI6544" s="25"/>
      <c r="BJ6544" s="25"/>
      <c r="BK6544" s="25"/>
    </row>
    <row r="6545" spans="60:63" ht="14.25" x14ac:dyDescent="0.2">
      <c r="BH6545" s="25"/>
      <c r="BI6545" s="25"/>
      <c r="BJ6545" s="25"/>
      <c r="BK6545" s="25"/>
    </row>
    <row r="6546" spans="60:63" ht="14.25" x14ac:dyDescent="0.2">
      <c r="BH6546" s="25"/>
      <c r="BI6546" s="25"/>
      <c r="BJ6546" s="25"/>
      <c r="BK6546" s="25"/>
    </row>
    <row r="6547" spans="60:63" ht="14.25" x14ac:dyDescent="0.2">
      <c r="BH6547" s="25"/>
      <c r="BI6547" s="25"/>
      <c r="BJ6547" s="25"/>
      <c r="BK6547" s="25"/>
    </row>
    <row r="6548" spans="60:63" ht="14.25" x14ac:dyDescent="0.2">
      <c r="BH6548" s="25"/>
      <c r="BI6548" s="25"/>
      <c r="BJ6548" s="25"/>
      <c r="BK6548" s="25"/>
    </row>
    <row r="6549" spans="60:63" ht="14.25" x14ac:dyDescent="0.2">
      <c r="BH6549" s="25"/>
      <c r="BI6549" s="25"/>
      <c r="BJ6549" s="25"/>
      <c r="BK6549" s="25"/>
    </row>
    <row r="6550" spans="60:63" ht="14.25" x14ac:dyDescent="0.2">
      <c r="BH6550" s="25"/>
      <c r="BI6550" s="25"/>
      <c r="BJ6550" s="25"/>
      <c r="BK6550" s="25"/>
    </row>
    <row r="6551" spans="60:63" ht="14.25" x14ac:dyDescent="0.2">
      <c r="BH6551" s="25"/>
      <c r="BI6551" s="25"/>
      <c r="BJ6551" s="25"/>
      <c r="BK6551" s="25"/>
    </row>
    <row r="6552" spans="60:63" ht="14.25" x14ac:dyDescent="0.2">
      <c r="BH6552" s="25"/>
      <c r="BI6552" s="25"/>
      <c r="BJ6552" s="25"/>
      <c r="BK6552" s="25"/>
    </row>
    <row r="6553" spans="60:63" ht="14.25" x14ac:dyDescent="0.2">
      <c r="BH6553" s="25"/>
      <c r="BI6553" s="25"/>
      <c r="BJ6553" s="25"/>
      <c r="BK6553" s="25"/>
    </row>
    <row r="6554" spans="60:63" ht="14.25" x14ac:dyDescent="0.2">
      <c r="BH6554" s="25"/>
      <c r="BI6554" s="25"/>
      <c r="BJ6554" s="25"/>
      <c r="BK6554" s="25"/>
    </row>
    <row r="6555" spans="60:63" ht="14.25" x14ac:dyDescent="0.2">
      <c r="BH6555" s="25"/>
      <c r="BI6555" s="25"/>
      <c r="BJ6555" s="25"/>
      <c r="BK6555" s="25"/>
    </row>
    <row r="6556" spans="60:63" ht="14.25" x14ac:dyDescent="0.2">
      <c r="BH6556" s="25"/>
      <c r="BI6556" s="25"/>
      <c r="BJ6556" s="25"/>
      <c r="BK6556" s="25"/>
    </row>
    <row r="6557" spans="60:63" ht="14.25" x14ac:dyDescent="0.2">
      <c r="BH6557" s="25"/>
      <c r="BI6557" s="25"/>
      <c r="BJ6557" s="25"/>
      <c r="BK6557" s="25"/>
    </row>
    <row r="6558" spans="60:63" ht="14.25" x14ac:dyDescent="0.2">
      <c r="BH6558" s="25"/>
      <c r="BI6558" s="25"/>
      <c r="BJ6558" s="25"/>
      <c r="BK6558" s="25"/>
    </row>
    <row r="6559" spans="60:63" ht="14.25" x14ac:dyDescent="0.2">
      <c r="BH6559" s="25"/>
      <c r="BI6559" s="25"/>
      <c r="BJ6559" s="25"/>
      <c r="BK6559" s="25"/>
    </row>
    <row r="6560" spans="60:63" ht="14.25" x14ac:dyDescent="0.2">
      <c r="BH6560" s="25"/>
      <c r="BI6560" s="25"/>
      <c r="BJ6560" s="25"/>
      <c r="BK6560" s="25"/>
    </row>
    <row r="6561" spans="60:63" ht="14.25" x14ac:dyDescent="0.2">
      <c r="BH6561" s="25"/>
      <c r="BI6561" s="25"/>
      <c r="BJ6561" s="25"/>
      <c r="BK6561" s="25"/>
    </row>
    <row r="6562" spans="60:63" ht="14.25" x14ac:dyDescent="0.2">
      <c r="BH6562" s="25"/>
      <c r="BI6562" s="25"/>
      <c r="BJ6562" s="25"/>
      <c r="BK6562" s="25"/>
    </row>
    <row r="6563" spans="60:63" ht="14.25" x14ac:dyDescent="0.2">
      <c r="BH6563" s="25"/>
      <c r="BI6563" s="25"/>
      <c r="BJ6563" s="25"/>
      <c r="BK6563" s="25"/>
    </row>
    <row r="6564" spans="60:63" ht="14.25" x14ac:dyDescent="0.2">
      <c r="BH6564" s="25"/>
      <c r="BI6564" s="25"/>
      <c r="BJ6564" s="25"/>
      <c r="BK6564" s="25"/>
    </row>
    <row r="6565" spans="60:63" ht="14.25" x14ac:dyDescent="0.2">
      <c r="BH6565" s="25"/>
      <c r="BI6565" s="25"/>
      <c r="BJ6565" s="25"/>
      <c r="BK6565" s="25"/>
    </row>
    <row r="6566" spans="60:63" ht="14.25" x14ac:dyDescent="0.2">
      <c r="BH6566" s="25"/>
      <c r="BI6566" s="25"/>
      <c r="BJ6566" s="25"/>
      <c r="BK6566" s="25"/>
    </row>
    <row r="6567" spans="60:63" ht="14.25" x14ac:dyDescent="0.2">
      <c r="BH6567" s="25"/>
      <c r="BI6567" s="25"/>
      <c r="BJ6567" s="25"/>
      <c r="BK6567" s="25"/>
    </row>
    <row r="6568" spans="60:63" ht="14.25" x14ac:dyDescent="0.2">
      <c r="BH6568" s="25"/>
      <c r="BI6568" s="25"/>
      <c r="BJ6568" s="25"/>
      <c r="BK6568" s="25"/>
    </row>
    <row r="6569" spans="60:63" ht="14.25" x14ac:dyDescent="0.2">
      <c r="BH6569" s="25"/>
      <c r="BI6569" s="25"/>
      <c r="BJ6569" s="25"/>
      <c r="BK6569" s="25"/>
    </row>
    <row r="6570" spans="60:63" ht="14.25" x14ac:dyDescent="0.2">
      <c r="BH6570" s="25"/>
      <c r="BI6570" s="25"/>
      <c r="BJ6570" s="25"/>
      <c r="BK6570" s="25"/>
    </row>
    <row r="6571" spans="60:63" ht="14.25" x14ac:dyDescent="0.2">
      <c r="BH6571" s="25"/>
      <c r="BI6571" s="25"/>
      <c r="BJ6571" s="25"/>
      <c r="BK6571" s="25"/>
    </row>
    <row r="6572" spans="60:63" ht="14.25" x14ac:dyDescent="0.2">
      <c r="BH6572" s="25"/>
      <c r="BI6572" s="25"/>
      <c r="BJ6572" s="25"/>
      <c r="BK6572" s="25"/>
    </row>
    <row r="6573" spans="60:63" ht="14.25" x14ac:dyDescent="0.2">
      <c r="BH6573" s="25"/>
      <c r="BI6573" s="25"/>
      <c r="BJ6573" s="25"/>
      <c r="BK6573" s="25"/>
    </row>
    <row r="6574" spans="60:63" ht="14.25" x14ac:dyDescent="0.2">
      <c r="BH6574" s="25"/>
      <c r="BI6574" s="25"/>
      <c r="BJ6574" s="25"/>
      <c r="BK6574" s="25"/>
    </row>
    <row r="6575" spans="60:63" ht="14.25" x14ac:dyDescent="0.2">
      <c r="BH6575" s="25"/>
      <c r="BI6575" s="25"/>
      <c r="BJ6575" s="25"/>
      <c r="BK6575" s="25"/>
    </row>
    <row r="6576" spans="60:63" ht="14.25" x14ac:dyDescent="0.2">
      <c r="BH6576" s="25"/>
      <c r="BI6576" s="25"/>
      <c r="BJ6576" s="25"/>
      <c r="BK6576" s="25"/>
    </row>
    <row r="6577" spans="60:63" ht="14.25" x14ac:dyDescent="0.2">
      <c r="BH6577" s="25"/>
      <c r="BI6577" s="25"/>
      <c r="BJ6577" s="25"/>
      <c r="BK6577" s="25"/>
    </row>
    <row r="6578" spans="60:63" ht="14.25" x14ac:dyDescent="0.2">
      <c r="BH6578" s="25"/>
      <c r="BI6578" s="25"/>
      <c r="BJ6578" s="25"/>
      <c r="BK6578" s="25"/>
    </row>
    <row r="6579" spans="60:63" ht="14.25" x14ac:dyDescent="0.2">
      <c r="BH6579" s="25"/>
      <c r="BI6579" s="25"/>
      <c r="BJ6579" s="25"/>
      <c r="BK6579" s="25"/>
    </row>
    <row r="6580" spans="60:63" ht="14.25" x14ac:dyDescent="0.2">
      <c r="BH6580" s="25"/>
      <c r="BI6580" s="25"/>
      <c r="BJ6580" s="25"/>
      <c r="BK6580" s="25"/>
    </row>
    <row r="6581" spans="60:63" ht="14.25" x14ac:dyDescent="0.2">
      <c r="BH6581" s="25"/>
      <c r="BI6581" s="25"/>
      <c r="BJ6581" s="25"/>
      <c r="BK6581" s="25"/>
    </row>
    <row r="6582" spans="60:63" ht="14.25" x14ac:dyDescent="0.2">
      <c r="BH6582" s="25"/>
      <c r="BI6582" s="25"/>
      <c r="BJ6582" s="25"/>
      <c r="BK6582" s="25"/>
    </row>
    <row r="6583" spans="60:63" ht="14.25" x14ac:dyDescent="0.2">
      <c r="BH6583" s="25"/>
      <c r="BI6583" s="25"/>
      <c r="BJ6583" s="25"/>
      <c r="BK6583" s="25"/>
    </row>
    <row r="6584" spans="60:63" ht="14.25" x14ac:dyDescent="0.2">
      <c r="BH6584" s="25"/>
      <c r="BI6584" s="25"/>
      <c r="BJ6584" s="25"/>
      <c r="BK6584" s="25"/>
    </row>
    <row r="6585" spans="60:63" ht="14.25" x14ac:dyDescent="0.2">
      <c r="BH6585" s="25"/>
      <c r="BI6585" s="25"/>
      <c r="BJ6585" s="25"/>
      <c r="BK6585" s="25"/>
    </row>
    <row r="6586" spans="60:63" ht="14.25" x14ac:dyDescent="0.2">
      <c r="BH6586" s="25"/>
      <c r="BI6586" s="25"/>
      <c r="BJ6586" s="25"/>
      <c r="BK6586" s="25"/>
    </row>
    <row r="6587" spans="60:63" ht="14.25" x14ac:dyDescent="0.2">
      <c r="BH6587" s="25"/>
      <c r="BI6587" s="25"/>
      <c r="BJ6587" s="25"/>
      <c r="BK6587" s="25"/>
    </row>
    <row r="6588" spans="60:63" ht="14.25" x14ac:dyDescent="0.2">
      <c r="BH6588" s="25"/>
      <c r="BI6588" s="25"/>
      <c r="BJ6588" s="25"/>
      <c r="BK6588" s="25"/>
    </row>
    <row r="6589" spans="60:63" ht="14.25" x14ac:dyDescent="0.2">
      <c r="BH6589" s="25"/>
      <c r="BI6589" s="25"/>
      <c r="BJ6589" s="25"/>
      <c r="BK6589" s="25"/>
    </row>
    <row r="6590" spans="60:63" ht="14.25" x14ac:dyDescent="0.2">
      <c r="BH6590" s="25"/>
      <c r="BI6590" s="25"/>
      <c r="BJ6590" s="25"/>
      <c r="BK6590" s="25"/>
    </row>
    <row r="6591" spans="60:63" ht="14.25" x14ac:dyDescent="0.2">
      <c r="BH6591" s="25"/>
      <c r="BI6591" s="25"/>
      <c r="BJ6591" s="25"/>
      <c r="BK6591" s="25"/>
    </row>
    <row r="6592" spans="60:63" ht="14.25" x14ac:dyDescent="0.2">
      <c r="BH6592" s="25"/>
      <c r="BI6592" s="25"/>
      <c r="BJ6592" s="25"/>
      <c r="BK6592" s="25"/>
    </row>
    <row r="6593" spans="60:63" ht="14.25" x14ac:dyDescent="0.2">
      <c r="BH6593" s="25"/>
      <c r="BI6593" s="25"/>
      <c r="BJ6593" s="25"/>
      <c r="BK6593" s="25"/>
    </row>
    <row r="6594" spans="60:63" ht="14.25" x14ac:dyDescent="0.2">
      <c r="BH6594" s="25"/>
      <c r="BI6594" s="25"/>
      <c r="BJ6594" s="25"/>
      <c r="BK6594" s="25"/>
    </row>
    <row r="6595" spans="60:63" ht="14.25" x14ac:dyDescent="0.2">
      <c r="BH6595" s="25"/>
      <c r="BI6595" s="25"/>
      <c r="BJ6595" s="25"/>
      <c r="BK6595" s="25"/>
    </row>
    <row r="6596" spans="60:63" ht="14.25" x14ac:dyDescent="0.2">
      <c r="BH6596" s="25"/>
      <c r="BI6596" s="25"/>
      <c r="BJ6596" s="25"/>
      <c r="BK6596" s="25"/>
    </row>
    <row r="6597" spans="60:63" ht="14.25" x14ac:dyDescent="0.2">
      <c r="BH6597" s="25"/>
      <c r="BI6597" s="25"/>
      <c r="BJ6597" s="25"/>
      <c r="BK6597" s="25"/>
    </row>
    <row r="6598" spans="60:63" ht="14.25" x14ac:dyDescent="0.2">
      <c r="BH6598" s="25"/>
      <c r="BI6598" s="25"/>
      <c r="BJ6598" s="25"/>
      <c r="BK6598" s="25"/>
    </row>
    <row r="6599" spans="60:63" ht="14.25" x14ac:dyDescent="0.2">
      <c r="BH6599" s="25"/>
      <c r="BI6599" s="25"/>
      <c r="BJ6599" s="25"/>
      <c r="BK6599" s="25"/>
    </row>
    <row r="6600" spans="60:63" ht="14.25" x14ac:dyDescent="0.2">
      <c r="BH6600" s="25"/>
      <c r="BI6600" s="25"/>
      <c r="BJ6600" s="25"/>
      <c r="BK6600" s="25"/>
    </row>
    <row r="6601" spans="60:63" ht="14.25" x14ac:dyDescent="0.2">
      <c r="BH6601" s="25"/>
      <c r="BI6601" s="25"/>
      <c r="BJ6601" s="25"/>
      <c r="BK6601" s="25"/>
    </row>
    <row r="6602" spans="60:63" ht="14.25" x14ac:dyDescent="0.2">
      <c r="BH6602" s="25"/>
      <c r="BI6602" s="25"/>
      <c r="BJ6602" s="25"/>
      <c r="BK6602" s="25"/>
    </row>
    <row r="6603" spans="60:63" ht="14.25" x14ac:dyDescent="0.2">
      <c r="BH6603" s="25"/>
      <c r="BI6603" s="25"/>
      <c r="BJ6603" s="25"/>
      <c r="BK6603" s="25"/>
    </row>
    <row r="6604" spans="60:63" ht="14.25" x14ac:dyDescent="0.2">
      <c r="BH6604" s="25"/>
      <c r="BI6604" s="25"/>
      <c r="BJ6604" s="25"/>
      <c r="BK6604" s="25"/>
    </row>
    <row r="6605" spans="60:63" ht="14.25" x14ac:dyDescent="0.2">
      <c r="BH6605" s="25"/>
      <c r="BI6605" s="25"/>
      <c r="BJ6605" s="25"/>
      <c r="BK6605" s="25"/>
    </row>
    <row r="6606" spans="60:63" ht="14.25" x14ac:dyDescent="0.2">
      <c r="BH6606" s="25"/>
      <c r="BI6606" s="25"/>
      <c r="BJ6606" s="25"/>
      <c r="BK6606" s="25"/>
    </row>
    <row r="6607" spans="60:63" ht="14.25" x14ac:dyDescent="0.2">
      <c r="BH6607" s="25"/>
      <c r="BI6607" s="25"/>
      <c r="BJ6607" s="25"/>
      <c r="BK6607" s="25"/>
    </row>
    <row r="6608" spans="60:63" ht="14.25" x14ac:dyDescent="0.2">
      <c r="BH6608" s="25"/>
      <c r="BI6608" s="25"/>
      <c r="BJ6608" s="25"/>
      <c r="BK6608" s="25"/>
    </row>
    <row r="6609" spans="60:63" ht="14.25" x14ac:dyDescent="0.2">
      <c r="BH6609" s="25"/>
      <c r="BI6609" s="25"/>
      <c r="BJ6609" s="25"/>
      <c r="BK6609" s="25"/>
    </row>
    <row r="6610" spans="60:63" ht="14.25" x14ac:dyDescent="0.2">
      <c r="BH6610" s="25"/>
      <c r="BI6610" s="25"/>
      <c r="BJ6610" s="25"/>
      <c r="BK6610" s="25"/>
    </row>
    <row r="6611" spans="60:63" ht="14.25" x14ac:dyDescent="0.2">
      <c r="BH6611" s="25"/>
      <c r="BI6611" s="25"/>
      <c r="BJ6611" s="25"/>
      <c r="BK6611" s="25"/>
    </row>
    <row r="6612" spans="60:63" ht="14.25" x14ac:dyDescent="0.2">
      <c r="BH6612" s="25"/>
      <c r="BI6612" s="25"/>
      <c r="BJ6612" s="25"/>
      <c r="BK6612" s="25"/>
    </row>
    <row r="6613" spans="60:63" ht="14.25" x14ac:dyDescent="0.2">
      <c r="BH6613" s="25"/>
      <c r="BI6613" s="25"/>
      <c r="BJ6613" s="25"/>
      <c r="BK6613" s="25"/>
    </row>
    <row r="6614" spans="60:63" ht="14.25" x14ac:dyDescent="0.2">
      <c r="BH6614" s="25"/>
      <c r="BI6614" s="25"/>
      <c r="BJ6614" s="25"/>
      <c r="BK6614" s="25"/>
    </row>
    <row r="6615" spans="60:63" ht="14.25" x14ac:dyDescent="0.2">
      <c r="BH6615" s="25"/>
      <c r="BI6615" s="25"/>
      <c r="BJ6615" s="25"/>
      <c r="BK6615" s="25"/>
    </row>
    <row r="6616" spans="60:63" ht="14.25" x14ac:dyDescent="0.2">
      <c r="BH6616" s="25"/>
      <c r="BI6616" s="25"/>
      <c r="BJ6616" s="25"/>
      <c r="BK6616" s="25"/>
    </row>
    <row r="6617" spans="60:63" ht="14.25" x14ac:dyDescent="0.2">
      <c r="BH6617" s="25"/>
      <c r="BI6617" s="25"/>
      <c r="BJ6617" s="25"/>
      <c r="BK6617" s="25"/>
    </row>
    <row r="6618" spans="60:63" ht="14.25" x14ac:dyDescent="0.2">
      <c r="BH6618" s="25"/>
      <c r="BI6618" s="25"/>
      <c r="BJ6618" s="25"/>
      <c r="BK6618" s="25"/>
    </row>
    <row r="6619" spans="60:63" ht="14.25" x14ac:dyDescent="0.2">
      <c r="BH6619" s="25"/>
      <c r="BI6619" s="25"/>
      <c r="BJ6619" s="25"/>
      <c r="BK6619" s="25"/>
    </row>
    <row r="6620" spans="60:63" ht="14.25" x14ac:dyDescent="0.2">
      <c r="BH6620" s="25"/>
      <c r="BI6620" s="25"/>
      <c r="BJ6620" s="25"/>
      <c r="BK6620" s="25"/>
    </row>
    <row r="6621" spans="60:63" ht="14.25" x14ac:dyDescent="0.2">
      <c r="BH6621" s="25"/>
      <c r="BI6621" s="25"/>
      <c r="BJ6621" s="25"/>
      <c r="BK6621" s="25"/>
    </row>
    <row r="6622" spans="60:63" ht="14.25" x14ac:dyDescent="0.2">
      <c r="BH6622" s="25"/>
      <c r="BI6622" s="25"/>
      <c r="BJ6622" s="25"/>
      <c r="BK6622" s="25"/>
    </row>
    <row r="6623" spans="60:63" ht="14.25" x14ac:dyDescent="0.2">
      <c r="BH6623" s="25"/>
      <c r="BI6623" s="25"/>
      <c r="BJ6623" s="25"/>
      <c r="BK6623" s="25"/>
    </row>
    <row r="6624" spans="60:63" ht="14.25" x14ac:dyDescent="0.2">
      <c r="BH6624" s="25"/>
      <c r="BI6624" s="25"/>
      <c r="BJ6624" s="25"/>
      <c r="BK6624" s="25"/>
    </row>
    <row r="6625" spans="60:63" ht="14.25" x14ac:dyDescent="0.2">
      <c r="BH6625" s="25"/>
      <c r="BI6625" s="25"/>
      <c r="BJ6625" s="25"/>
      <c r="BK6625" s="25"/>
    </row>
    <row r="6626" spans="60:63" ht="14.25" x14ac:dyDescent="0.2">
      <c r="BH6626" s="25"/>
      <c r="BI6626" s="25"/>
      <c r="BJ6626" s="25"/>
      <c r="BK6626" s="25"/>
    </row>
    <row r="6627" spans="60:63" ht="14.25" x14ac:dyDescent="0.2">
      <c r="BH6627" s="25"/>
      <c r="BI6627" s="25"/>
      <c r="BJ6627" s="25"/>
      <c r="BK6627" s="25"/>
    </row>
    <row r="6628" spans="60:63" ht="14.25" x14ac:dyDescent="0.2">
      <c r="BH6628" s="25"/>
      <c r="BI6628" s="25"/>
      <c r="BJ6628" s="25"/>
      <c r="BK6628" s="25"/>
    </row>
    <row r="6629" spans="60:63" ht="14.25" x14ac:dyDescent="0.2">
      <c r="BH6629" s="25"/>
      <c r="BI6629" s="25"/>
      <c r="BJ6629" s="25"/>
      <c r="BK6629" s="25"/>
    </row>
    <row r="6630" spans="60:63" ht="14.25" x14ac:dyDescent="0.2">
      <c r="BH6630" s="25"/>
      <c r="BI6630" s="25"/>
      <c r="BJ6630" s="25"/>
      <c r="BK6630" s="25"/>
    </row>
    <row r="6631" spans="60:63" ht="14.25" x14ac:dyDescent="0.2">
      <c r="BH6631" s="25"/>
      <c r="BI6631" s="25"/>
      <c r="BJ6631" s="25"/>
      <c r="BK6631" s="25"/>
    </row>
    <row r="6632" spans="60:63" ht="14.25" x14ac:dyDescent="0.2">
      <c r="BH6632" s="25"/>
      <c r="BI6632" s="25"/>
      <c r="BJ6632" s="25"/>
      <c r="BK6632" s="25"/>
    </row>
    <row r="6633" spans="60:63" ht="14.25" x14ac:dyDescent="0.2">
      <c r="BH6633" s="25"/>
      <c r="BI6633" s="25"/>
      <c r="BJ6633" s="25"/>
      <c r="BK6633" s="25"/>
    </row>
    <row r="6634" spans="60:63" ht="14.25" x14ac:dyDescent="0.2">
      <c r="BH6634" s="25"/>
      <c r="BI6634" s="25"/>
      <c r="BJ6634" s="25"/>
      <c r="BK6634" s="25"/>
    </row>
    <row r="6635" spans="60:63" ht="14.25" x14ac:dyDescent="0.2">
      <c r="BH6635" s="25"/>
      <c r="BI6635" s="25"/>
      <c r="BJ6635" s="25"/>
      <c r="BK6635" s="25"/>
    </row>
    <row r="6636" spans="60:63" ht="14.25" x14ac:dyDescent="0.2">
      <c r="BH6636" s="25"/>
      <c r="BI6636" s="25"/>
      <c r="BJ6636" s="25"/>
      <c r="BK6636" s="25"/>
    </row>
    <row r="6637" spans="60:63" ht="14.25" x14ac:dyDescent="0.2">
      <c r="BH6637" s="25"/>
      <c r="BI6637" s="25"/>
      <c r="BJ6637" s="25"/>
      <c r="BK6637" s="25"/>
    </row>
    <row r="6638" spans="60:63" ht="14.25" x14ac:dyDescent="0.2">
      <c r="BH6638" s="25"/>
      <c r="BI6638" s="25"/>
      <c r="BJ6638" s="25"/>
      <c r="BK6638" s="25"/>
    </row>
    <row r="6639" spans="60:63" ht="14.25" x14ac:dyDescent="0.2">
      <c r="BH6639" s="25"/>
      <c r="BI6639" s="25"/>
      <c r="BJ6639" s="25"/>
      <c r="BK6639" s="25"/>
    </row>
    <row r="6640" spans="60:63" ht="14.25" x14ac:dyDescent="0.2">
      <c r="BH6640" s="25"/>
      <c r="BI6640" s="25"/>
      <c r="BJ6640" s="25"/>
      <c r="BK6640" s="25"/>
    </row>
    <row r="6641" spans="60:63" ht="14.25" x14ac:dyDescent="0.2">
      <c r="BH6641" s="25"/>
      <c r="BI6641" s="25"/>
      <c r="BJ6641" s="25"/>
      <c r="BK6641" s="25"/>
    </row>
    <row r="6642" spans="60:63" ht="14.25" x14ac:dyDescent="0.2">
      <c r="BH6642" s="25"/>
      <c r="BI6642" s="25"/>
      <c r="BJ6642" s="25"/>
      <c r="BK6642" s="25"/>
    </row>
    <row r="6643" spans="60:63" ht="14.25" x14ac:dyDescent="0.2">
      <c r="BH6643" s="25"/>
      <c r="BI6643" s="25"/>
      <c r="BJ6643" s="25"/>
      <c r="BK6643" s="25"/>
    </row>
    <row r="6644" spans="60:63" ht="14.25" x14ac:dyDescent="0.2">
      <c r="BH6644" s="25"/>
      <c r="BI6644" s="25"/>
      <c r="BJ6644" s="25"/>
      <c r="BK6644" s="25"/>
    </row>
    <row r="6645" spans="60:63" ht="14.25" x14ac:dyDescent="0.2">
      <c r="BH6645" s="25"/>
      <c r="BI6645" s="25"/>
      <c r="BJ6645" s="25"/>
      <c r="BK6645" s="25"/>
    </row>
    <row r="6646" spans="60:63" ht="14.25" x14ac:dyDescent="0.2">
      <c r="BH6646" s="25"/>
      <c r="BI6646" s="25"/>
      <c r="BJ6646" s="25"/>
      <c r="BK6646" s="25"/>
    </row>
    <row r="6647" spans="60:63" ht="14.25" x14ac:dyDescent="0.2">
      <c r="BH6647" s="25"/>
      <c r="BI6647" s="25"/>
      <c r="BJ6647" s="25"/>
      <c r="BK6647" s="25"/>
    </row>
    <row r="6648" spans="60:63" ht="14.25" x14ac:dyDescent="0.2">
      <c r="BH6648" s="25"/>
      <c r="BI6648" s="25"/>
      <c r="BJ6648" s="25"/>
      <c r="BK6648" s="25"/>
    </row>
    <row r="6649" spans="60:63" ht="14.25" x14ac:dyDescent="0.2">
      <c r="BH6649" s="25"/>
      <c r="BI6649" s="25"/>
      <c r="BJ6649" s="25"/>
      <c r="BK6649" s="25"/>
    </row>
    <row r="6650" spans="60:63" ht="14.25" x14ac:dyDescent="0.2">
      <c r="BH6650" s="25"/>
      <c r="BI6650" s="25"/>
      <c r="BJ6650" s="25"/>
      <c r="BK6650" s="25"/>
    </row>
    <row r="6651" spans="60:63" ht="14.25" x14ac:dyDescent="0.2">
      <c r="BH6651" s="25"/>
      <c r="BI6651" s="25"/>
      <c r="BJ6651" s="25"/>
      <c r="BK6651" s="25"/>
    </row>
    <row r="6652" spans="60:63" ht="14.25" x14ac:dyDescent="0.2">
      <c r="BH6652" s="25"/>
      <c r="BI6652" s="25"/>
      <c r="BJ6652" s="25"/>
      <c r="BK6652" s="25"/>
    </row>
    <row r="6653" spans="60:63" ht="14.25" x14ac:dyDescent="0.2">
      <c r="BH6653" s="25"/>
      <c r="BI6653" s="25"/>
      <c r="BJ6653" s="25"/>
      <c r="BK6653" s="25"/>
    </row>
    <row r="6654" spans="60:63" ht="14.25" x14ac:dyDescent="0.2">
      <c r="BH6654" s="25"/>
      <c r="BI6654" s="25"/>
      <c r="BJ6654" s="25"/>
      <c r="BK6654" s="25"/>
    </row>
    <row r="6655" spans="60:63" ht="14.25" x14ac:dyDescent="0.2">
      <c r="BH6655" s="25"/>
      <c r="BI6655" s="25"/>
      <c r="BJ6655" s="25"/>
      <c r="BK6655" s="25"/>
    </row>
    <row r="6656" spans="60:63" ht="14.25" x14ac:dyDescent="0.2">
      <c r="BH6656" s="25"/>
      <c r="BI6656" s="25"/>
      <c r="BJ6656" s="25"/>
      <c r="BK6656" s="25"/>
    </row>
    <row r="6657" spans="60:63" ht="14.25" x14ac:dyDescent="0.2">
      <c r="BH6657" s="25"/>
      <c r="BI6657" s="25"/>
      <c r="BJ6657" s="25"/>
      <c r="BK6657" s="25"/>
    </row>
    <row r="6658" spans="60:63" ht="14.25" x14ac:dyDescent="0.2">
      <c r="BH6658" s="25"/>
      <c r="BI6658" s="25"/>
      <c r="BJ6658" s="25"/>
      <c r="BK6658" s="25"/>
    </row>
    <row r="6659" spans="60:63" ht="14.25" x14ac:dyDescent="0.2">
      <c r="BH6659" s="25"/>
      <c r="BI6659" s="25"/>
      <c r="BJ6659" s="25"/>
      <c r="BK6659" s="25"/>
    </row>
    <row r="6660" spans="60:63" ht="14.25" x14ac:dyDescent="0.2">
      <c r="BH6660" s="25"/>
      <c r="BI6660" s="25"/>
      <c r="BJ6660" s="25"/>
      <c r="BK6660" s="25"/>
    </row>
    <row r="6661" spans="60:63" ht="14.25" x14ac:dyDescent="0.2">
      <c r="BH6661" s="25"/>
      <c r="BI6661" s="25"/>
      <c r="BJ6661" s="25"/>
      <c r="BK6661" s="25"/>
    </row>
    <row r="6662" spans="60:63" ht="14.25" x14ac:dyDescent="0.2">
      <c r="BH6662" s="25"/>
      <c r="BI6662" s="25"/>
      <c r="BJ6662" s="25"/>
      <c r="BK6662" s="25"/>
    </row>
    <row r="6663" spans="60:63" ht="14.25" x14ac:dyDescent="0.2">
      <c r="BH6663" s="25"/>
      <c r="BI6663" s="25"/>
      <c r="BJ6663" s="25"/>
      <c r="BK6663" s="25"/>
    </row>
    <row r="6664" spans="60:63" ht="14.25" x14ac:dyDescent="0.2">
      <c r="BH6664" s="25"/>
      <c r="BI6664" s="25"/>
      <c r="BJ6664" s="25"/>
      <c r="BK6664" s="25"/>
    </row>
    <row r="6665" spans="60:63" ht="14.25" x14ac:dyDescent="0.2">
      <c r="BH6665" s="25"/>
      <c r="BI6665" s="25"/>
      <c r="BJ6665" s="25"/>
      <c r="BK6665" s="25"/>
    </row>
    <row r="6666" spans="60:63" ht="14.25" x14ac:dyDescent="0.2">
      <c r="BH6666" s="25"/>
      <c r="BI6666" s="25"/>
      <c r="BJ6666" s="25"/>
      <c r="BK6666" s="25"/>
    </row>
    <row r="6667" spans="60:63" ht="14.25" x14ac:dyDescent="0.2">
      <c r="BH6667" s="25"/>
      <c r="BI6667" s="25"/>
      <c r="BJ6667" s="25"/>
      <c r="BK6667" s="25"/>
    </row>
    <row r="6668" spans="60:63" ht="14.25" x14ac:dyDescent="0.2">
      <c r="BH6668" s="25"/>
      <c r="BI6668" s="25"/>
      <c r="BJ6668" s="25"/>
      <c r="BK6668" s="25"/>
    </row>
    <row r="6669" spans="60:63" ht="14.25" x14ac:dyDescent="0.2">
      <c r="BH6669" s="25"/>
      <c r="BI6669" s="25"/>
      <c r="BJ6669" s="25"/>
      <c r="BK6669" s="25"/>
    </row>
    <row r="6670" spans="60:63" ht="14.25" x14ac:dyDescent="0.2">
      <c r="BH6670" s="25"/>
      <c r="BI6670" s="25"/>
      <c r="BJ6670" s="25"/>
      <c r="BK6670" s="25"/>
    </row>
    <row r="6671" spans="60:63" ht="14.25" x14ac:dyDescent="0.2">
      <c r="BH6671" s="25"/>
      <c r="BI6671" s="25"/>
      <c r="BJ6671" s="25"/>
      <c r="BK6671" s="25"/>
    </row>
    <row r="6672" spans="60:63" ht="14.25" x14ac:dyDescent="0.2">
      <c r="BH6672" s="25"/>
      <c r="BI6672" s="25"/>
      <c r="BJ6672" s="25"/>
      <c r="BK6672" s="25"/>
    </row>
    <row r="6673" spans="60:63" ht="14.25" x14ac:dyDescent="0.2">
      <c r="BH6673" s="25"/>
      <c r="BI6673" s="25"/>
      <c r="BJ6673" s="25"/>
      <c r="BK6673" s="25"/>
    </row>
    <row r="6674" spans="60:63" ht="14.25" x14ac:dyDescent="0.2">
      <c r="BH6674" s="25"/>
      <c r="BI6674" s="25"/>
      <c r="BJ6674" s="25"/>
      <c r="BK6674" s="25"/>
    </row>
    <row r="6675" spans="60:63" ht="14.25" x14ac:dyDescent="0.2">
      <c r="BH6675" s="25"/>
      <c r="BI6675" s="25"/>
      <c r="BJ6675" s="25"/>
      <c r="BK6675" s="25"/>
    </row>
    <row r="6676" spans="60:63" ht="14.25" x14ac:dyDescent="0.2">
      <c r="BH6676" s="25"/>
      <c r="BI6676" s="25"/>
      <c r="BJ6676" s="25"/>
      <c r="BK6676" s="25"/>
    </row>
    <row r="6677" spans="60:63" ht="14.25" x14ac:dyDescent="0.2">
      <c r="BH6677" s="25"/>
      <c r="BI6677" s="25"/>
      <c r="BJ6677" s="25"/>
      <c r="BK6677" s="25"/>
    </row>
    <row r="6678" spans="60:63" ht="14.25" x14ac:dyDescent="0.2">
      <c r="BH6678" s="25"/>
      <c r="BI6678" s="25"/>
      <c r="BJ6678" s="25"/>
      <c r="BK6678" s="25"/>
    </row>
    <row r="6679" spans="60:63" ht="14.25" x14ac:dyDescent="0.2">
      <c r="BH6679" s="25"/>
      <c r="BI6679" s="25"/>
      <c r="BJ6679" s="25"/>
      <c r="BK6679" s="25"/>
    </row>
    <row r="6680" spans="60:63" ht="14.25" x14ac:dyDescent="0.2">
      <c r="BH6680" s="25"/>
      <c r="BI6680" s="25"/>
      <c r="BJ6680" s="25"/>
      <c r="BK6680" s="25"/>
    </row>
    <row r="6681" spans="60:63" ht="14.25" x14ac:dyDescent="0.2">
      <c r="BH6681" s="25"/>
      <c r="BI6681" s="25"/>
      <c r="BJ6681" s="25"/>
      <c r="BK6681" s="25"/>
    </row>
    <row r="6682" spans="60:63" ht="14.25" x14ac:dyDescent="0.2">
      <c r="BH6682" s="25"/>
      <c r="BI6682" s="25"/>
      <c r="BJ6682" s="25"/>
      <c r="BK6682" s="25"/>
    </row>
    <row r="6683" spans="60:63" ht="14.25" x14ac:dyDescent="0.2">
      <c r="BH6683" s="25"/>
      <c r="BI6683" s="25"/>
      <c r="BJ6683" s="25"/>
      <c r="BK6683" s="25"/>
    </row>
    <row r="6684" spans="60:63" ht="14.25" x14ac:dyDescent="0.2">
      <c r="BH6684" s="25"/>
      <c r="BI6684" s="25"/>
      <c r="BJ6684" s="25"/>
      <c r="BK6684" s="25"/>
    </row>
    <row r="6685" spans="60:63" ht="14.25" x14ac:dyDescent="0.2">
      <c r="BH6685" s="25"/>
      <c r="BI6685" s="25"/>
      <c r="BJ6685" s="25"/>
      <c r="BK6685" s="25"/>
    </row>
    <row r="6686" spans="60:63" ht="14.25" x14ac:dyDescent="0.2">
      <c r="BH6686" s="25"/>
      <c r="BI6686" s="25"/>
      <c r="BJ6686" s="25"/>
      <c r="BK6686" s="25"/>
    </row>
    <row r="6687" spans="60:63" ht="14.25" x14ac:dyDescent="0.2">
      <c r="BH6687" s="25"/>
      <c r="BI6687" s="25"/>
      <c r="BJ6687" s="25"/>
      <c r="BK6687" s="25"/>
    </row>
    <row r="6688" spans="60:63" ht="14.25" x14ac:dyDescent="0.2">
      <c r="BH6688" s="25"/>
      <c r="BI6688" s="25"/>
      <c r="BJ6688" s="25"/>
      <c r="BK6688" s="25"/>
    </row>
    <row r="6689" spans="60:63" ht="14.25" x14ac:dyDescent="0.2">
      <c r="BH6689" s="25"/>
      <c r="BI6689" s="25"/>
      <c r="BJ6689" s="25"/>
      <c r="BK6689" s="25"/>
    </row>
    <row r="6690" spans="60:63" ht="14.25" x14ac:dyDescent="0.2">
      <c r="BH6690" s="25"/>
      <c r="BI6690" s="25"/>
      <c r="BJ6690" s="25"/>
      <c r="BK6690" s="25"/>
    </row>
    <row r="6691" spans="60:63" ht="14.25" x14ac:dyDescent="0.2">
      <c r="BH6691" s="25"/>
      <c r="BI6691" s="25"/>
      <c r="BJ6691" s="25"/>
      <c r="BK6691" s="25"/>
    </row>
    <row r="6692" spans="60:63" ht="14.25" x14ac:dyDescent="0.2">
      <c r="BH6692" s="25"/>
      <c r="BI6692" s="25"/>
      <c r="BJ6692" s="25"/>
      <c r="BK6692" s="25"/>
    </row>
    <row r="6693" spans="60:63" ht="14.25" x14ac:dyDescent="0.2">
      <c r="BH6693" s="25"/>
      <c r="BI6693" s="25"/>
      <c r="BJ6693" s="25"/>
      <c r="BK6693" s="25"/>
    </row>
    <row r="6694" spans="60:63" ht="14.25" x14ac:dyDescent="0.2">
      <c r="BH6694" s="25"/>
      <c r="BI6694" s="25"/>
      <c r="BJ6694" s="25"/>
      <c r="BK6694" s="25"/>
    </row>
    <row r="6695" spans="60:63" ht="14.25" x14ac:dyDescent="0.2">
      <c r="BH6695" s="25"/>
      <c r="BI6695" s="25"/>
      <c r="BJ6695" s="25"/>
      <c r="BK6695" s="25"/>
    </row>
    <row r="6696" spans="60:63" ht="14.25" x14ac:dyDescent="0.2">
      <c r="BH6696" s="25"/>
      <c r="BI6696" s="25"/>
      <c r="BJ6696" s="25"/>
      <c r="BK6696" s="25"/>
    </row>
    <row r="6697" spans="60:63" ht="14.25" x14ac:dyDescent="0.2">
      <c r="BH6697" s="25"/>
      <c r="BI6697" s="25"/>
      <c r="BJ6697" s="25"/>
      <c r="BK6697" s="25"/>
    </row>
    <row r="6698" spans="60:63" ht="14.25" x14ac:dyDescent="0.2">
      <c r="BH6698" s="25"/>
      <c r="BI6698" s="25"/>
      <c r="BJ6698" s="25"/>
      <c r="BK6698" s="25"/>
    </row>
    <row r="6699" spans="60:63" ht="14.25" x14ac:dyDescent="0.2">
      <c r="BH6699" s="25"/>
      <c r="BI6699" s="25"/>
      <c r="BJ6699" s="25"/>
      <c r="BK6699" s="25"/>
    </row>
    <row r="6700" spans="60:63" ht="14.25" x14ac:dyDescent="0.2">
      <c r="BH6700" s="25"/>
      <c r="BI6700" s="25"/>
      <c r="BJ6700" s="25"/>
      <c r="BK6700" s="25"/>
    </row>
    <row r="6701" spans="60:63" ht="14.25" x14ac:dyDescent="0.2">
      <c r="BH6701" s="25"/>
      <c r="BI6701" s="25"/>
      <c r="BJ6701" s="25"/>
      <c r="BK6701" s="25"/>
    </row>
    <row r="6702" spans="60:63" ht="14.25" x14ac:dyDescent="0.2">
      <c r="BH6702" s="25"/>
      <c r="BI6702" s="25"/>
      <c r="BJ6702" s="25"/>
      <c r="BK6702" s="25"/>
    </row>
    <row r="6703" spans="60:63" ht="14.25" x14ac:dyDescent="0.2">
      <c r="BH6703" s="25"/>
      <c r="BI6703" s="25"/>
      <c r="BJ6703" s="25"/>
      <c r="BK6703" s="25"/>
    </row>
    <row r="6704" spans="60:63" ht="14.25" x14ac:dyDescent="0.2">
      <c r="BH6704" s="25"/>
      <c r="BI6704" s="25"/>
      <c r="BJ6704" s="25"/>
      <c r="BK6704" s="25"/>
    </row>
    <row r="6705" spans="60:63" ht="14.25" x14ac:dyDescent="0.2">
      <c r="BH6705" s="25"/>
      <c r="BI6705" s="25"/>
      <c r="BJ6705" s="25"/>
      <c r="BK6705" s="25"/>
    </row>
    <row r="6706" spans="60:63" ht="14.25" x14ac:dyDescent="0.2">
      <c r="BH6706" s="25"/>
      <c r="BI6706" s="25"/>
      <c r="BJ6706" s="25"/>
      <c r="BK6706" s="25"/>
    </row>
    <row r="6707" spans="60:63" ht="14.25" x14ac:dyDescent="0.2">
      <c r="BH6707" s="25"/>
      <c r="BI6707" s="25"/>
      <c r="BJ6707" s="25"/>
      <c r="BK6707" s="25"/>
    </row>
    <row r="6708" spans="60:63" ht="14.25" x14ac:dyDescent="0.2">
      <c r="BH6708" s="25"/>
      <c r="BI6708" s="25"/>
      <c r="BJ6708" s="25"/>
      <c r="BK6708" s="25"/>
    </row>
    <row r="6709" spans="60:63" ht="14.25" x14ac:dyDescent="0.2">
      <c r="BH6709" s="25"/>
      <c r="BI6709" s="25"/>
      <c r="BJ6709" s="25"/>
      <c r="BK6709" s="25"/>
    </row>
    <row r="6710" spans="60:63" ht="14.25" x14ac:dyDescent="0.2">
      <c r="BH6710" s="25"/>
      <c r="BI6710" s="25"/>
      <c r="BJ6710" s="25"/>
      <c r="BK6710" s="25"/>
    </row>
    <row r="6711" spans="60:63" ht="14.25" x14ac:dyDescent="0.2">
      <c r="BH6711" s="25"/>
      <c r="BI6711" s="25"/>
      <c r="BJ6711" s="25"/>
      <c r="BK6711" s="25"/>
    </row>
    <row r="6712" spans="60:63" ht="14.25" x14ac:dyDescent="0.2">
      <c r="BH6712" s="25"/>
      <c r="BI6712" s="25"/>
      <c r="BJ6712" s="25"/>
      <c r="BK6712" s="25"/>
    </row>
    <row r="6713" spans="60:63" ht="14.25" x14ac:dyDescent="0.2">
      <c r="BH6713" s="25"/>
      <c r="BI6713" s="25"/>
      <c r="BJ6713" s="25"/>
      <c r="BK6713" s="25"/>
    </row>
    <row r="6714" spans="60:63" ht="14.25" x14ac:dyDescent="0.2">
      <c r="BH6714" s="25"/>
      <c r="BI6714" s="25"/>
      <c r="BJ6714" s="25"/>
      <c r="BK6714" s="25"/>
    </row>
    <row r="6715" spans="60:63" ht="14.25" x14ac:dyDescent="0.2">
      <c r="BH6715" s="25"/>
      <c r="BI6715" s="25"/>
      <c r="BJ6715" s="25"/>
      <c r="BK6715" s="25"/>
    </row>
    <row r="6716" spans="60:63" ht="14.25" x14ac:dyDescent="0.2">
      <c r="BH6716" s="25"/>
      <c r="BI6716" s="25"/>
      <c r="BJ6716" s="25"/>
      <c r="BK6716" s="25"/>
    </row>
    <row r="6717" spans="60:63" ht="14.25" x14ac:dyDescent="0.2">
      <c r="BH6717" s="25"/>
      <c r="BI6717" s="25"/>
      <c r="BJ6717" s="25"/>
      <c r="BK6717" s="25"/>
    </row>
    <row r="6718" spans="60:63" ht="14.25" x14ac:dyDescent="0.2">
      <c r="BH6718" s="25"/>
      <c r="BI6718" s="25"/>
      <c r="BJ6718" s="25"/>
      <c r="BK6718" s="25"/>
    </row>
    <row r="6719" spans="60:63" ht="14.25" x14ac:dyDescent="0.2">
      <c r="BH6719" s="25"/>
      <c r="BI6719" s="25"/>
      <c r="BJ6719" s="25"/>
      <c r="BK6719" s="25"/>
    </row>
    <row r="6720" spans="60:63" ht="14.25" x14ac:dyDescent="0.2">
      <c r="BH6720" s="25"/>
      <c r="BI6720" s="25"/>
      <c r="BJ6720" s="25"/>
      <c r="BK6720" s="25"/>
    </row>
    <row r="6721" spans="60:63" ht="14.25" x14ac:dyDescent="0.2">
      <c r="BH6721" s="25"/>
      <c r="BI6721" s="25"/>
      <c r="BJ6721" s="25"/>
      <c r="BK6721" s="25"/>
    </row>
    <row r="6722" spans="60:63" ht="14.25" x14ac:dyDescent="0.2">
      <c r="BH6722" s="25"/>
      <c r="BI6722" s="25"/>
      <c r="BJ6722" s="25"/>
      <c r="BK6722" s="25"/>
    </row>
    <row r="6723" spans="60:63" ht="14.25" x14ac:dyDescent="0.2">
      <c r="BH6723" s="25"/>
      <c r="BI6723" s="25"/>
      <c r="BJ6723" s="25"/>
      <c r="BK6723" s="25"/>
    </row>
    <row r="6724" spans="60:63" ht="14.25" x14ac:dyDescent="0.2">
      <c r="BH6724" s="25"/>
      <c r="BI6724" s="25"/>
      <c r="BJ6724" s="25"/>
      <c r="BK6724" s="25"/>
    </row>
    <row r="6725" spans="60:63" ht="14.25" x14ac:dyDescent="0.2">
      <c r="BH6725" s="25"/>
      <c r="BI6725" s="25"/>
      <c r="BJ6725" s="25"/>
      <c r="BK6725" s="25"/>
    </row>
    <row r="6726" spans="60:63" ht="14.25" x14ac:dyDescent="0.2">
      <c r="BH6726" s="25"/>
      <c r="BI6726" s="25"/>
      <c r="BJ6726" s="25"/>
      <c r="BK6726" s="25"/>
    </row>
    <row r="6727" spans="60:63" ht="14.25" x14ac:dyDescent="0.2">
      <c r="BH6727" s="25"/>
      <c r="BI6727" s="25"/>
      <c r="BJ6727" s="25"/>
      <c r="BK6727" s="25"/>
    </row>
    <row r="6728" spans="60:63" ht="14.25" x14ac:dyDescent="0.2">
      <c r="BH6728" s="25"/>
      <c r="BI6728" s="25"/>
      <c r="BJ6728" s="25"/>
      <c r="BK6728" s="25"/>
    </row>
    <row r="6729" spans="60:63" ht="14.25" x14ac:dyDescent="0.2">
      <c r="BH6729" s="25"/>
      <c r="BI6729" s="25"/>
      <c r="BJ6729" s="25"/>
      <c r="BK6729" s="25"/>
    </row>
    <row r="6730" spans="60:63" ht="14.25" x14ac:dyDescent="0.2">
      <c r="BH6730" s="25"/>
      <c r="BI6730" s="25"/>
      <c r="BJ6730" s="25"/>
      <c r="BK6730" s="25"/>
    </row>
    <row r="6731" spans="60:63" ht="14.25" x14ac:dyDescent="0.2">
      <c r="BH6731" s="25"/>
      <c r="BI6731" s="25"/>
      <c r="BJ6731" s="25"/>
      <c r="BK6731" s="25"/>
    </row>
    <row r="6732" spans="60:63" ht="14.25" x14ac:dyDescent="0.2">
      <c r="BH6732" s="25"/>
      <c r="BI6732" s="25"/>
      <c r="BJ6732" s="25"/>
      <c r="BK6732" s="25"/>
    </row>
    <row r="6733" spans="60:63" ht="14.25" x14ac:dyDescent="0.2">
      <c r="BH6733" s="25"/>
      <c r="BI6733" s="25"/>
      <c r="BJ6733" s="25"/>
      <c r="BK6733" s="25"/>
    </row>
    <row r="6734" spans="60:63" ht="14.25" x14ac:dyDescent="0.2">
      <c r="BH6734" s="25"/>
      <c r="BI6734" s="25"/>
      <c r="BJ6734" s="25"/>
      <c r="BK6734" s="25"/>
    </row>
    <row r="6735" spans="60:63" ht="14.25" x14ac:dyDescent="0.2">
      <c r="BH6735" s="25"/>
      <c r="BI6735" s="25"/>
      <c r="BJ6735" s="25"/>
      <c r="BK6735" s="25"/>
    </row>
    <row r="6736" spans="60:63" ht="14.25" x14ac:dyDescent="0.2">
      <c r="BH6736" s="25"/>
      <c r="BI6736" s="25"/>
      <c r="BJ6736" s="25"/>
      <c r="BK6736" s="25"/>
    </row>
    <row r="6737" spans="60:63" ht="14.25" x14ac:dyDescent="0.2">
      <c r="BH6737" s="25"/>
      <c r="BI6737" s="25"/>
      <c r="BJ6737" s="25"/>
      <c r="BK6737" s="25"/>
    </row>
    <row r="6738" spans="60:63" ht="14.25" x14ac:dyDescent="0.2">
      <c r="BH6738" s="25"/>
      <c r="BI6738" s="25"/>
      <c r="BJ6738" s="25"/>
      <c r="BK6738" s="25"/>
    </row>
    <row r="6739" spans="60:63" ht="14.25" x14ac:dyDescent="0.2">
      <c r="BH6739" s="25"/>
      <c r="BI6739" s="25"/>
      <c r="BJ6739" s="25"/>
      <c r="BK6739" s="25"/>
    </row>
    <row r="6740" spans="60:63" ht="14.25" x14ac:dyDescent="0.2">
      <c r="BH6740" s="25"/>
      <c r="BI6740" s="25"/>
      <c r="BJ6740" s="25"/>
      <c r="BK6740" s="25"/>
    </row>
    <row r="6741" spans="60:63" ht="14.25" x14ac:dyDescent="0.2">
      <c r="BH6741" s="25"/>
      <c r="BI6741" s="25"/>
      <c r="BJ6741" s="25"/>
      <c r="BK6741" s="25"/>
    </row>
    <row r="6742" spans="60:63" ht="14.25" x14ac:dyDescent="0.2">
      <c r="BH6742" s="25"/>
      <c r="BI6742" s="25"/>
      <c r="BJ6742" s="25"/>
      <c r="BK6742" s="25"/>
    </row>
    <row r="6743" spans="60:63" ht="14.25" x14ac:dyDescent="0.2">
      <c r="BH6743" s="25"/>
      <c r="BI6743" s="25"/>
      <c r="BJ6743" s="25"/>
      <c r="BK6743" s="25"/>
    </row>
    <row r="6744" spans="60:63" ht="14.25" x14ac:dyDescent="0.2">
      <c r="BH6744" s="25"/>
      <c r="BI6744" s="25"/>
      <c r="BJ6744" s="25"/>
      <c r="BK6744" s="25"/>
    </row>
    <row r="6745" spans="60:63" ht="14.25" x14ac:dyDescent="0.2">
      <c r="BH6745" s="25"/>
      <c r="BI6745" s="25"/>
      <c r="BJ6745" s="25"/>
      <c r="BK6745" s="25"/>
    </row>
    <row r="6746" spans="60:63" ht="14.25" x14ac:dyDescent="0.2">
      <c r="BH6746" s="25"/>
      <c r="BI6746" s="25"/>
      <c r="BJ6746" s="25"/>
      <c r="BK6746" s="25"/>
    </row>
    <row r="6747" spans="60:63" ht="14.25" x14ac:dyDescent="0.2">
      <c r="BH6747" s="25"/>
      <c r="BI6747" s="25"/>
      <c r="BJ6747" s="25"/>
      <c r="BK6747" s="25"/>
    </row>
    <row r="6748" spans="60:63" ht="14.25" x14ac:dyDescent="0.2">
      <c r="BH6748" s="25"/>
      <c r="BI6748" s="25"/>
      <c r="BJ6748" s="25"/>
      <c r="BK6748" s="25"/>
    </row>
    <row r="6749" spans="60:63" ht="14.25" x14ac:dyDescent="0.2">
      <c r="BH6749" s="25"/>
      <c r="BI6749" s="25"/>
      <c r="BJ6749" s="25"/>
      <c r="BK6749" s="25"/>
    </row>
    <row r="6750" spans="60:63" ht="14.25" x14ac:dyDescent="0.2">
      <c r="BH6750" s="25"/>
      <c r="BI6750" s="25"/>
      <c r="BJ6750" s="25"/>
      <c r="BK6750" s="25"/>
    </row>
    <row r="6751" spans="60:63" ht="14.25" x14ac:dyDescent="0.2">
      <c r="BH6751" s="25"/>
      <c r="BI6751" s="25"/>
      <c r="BJ6751" s="25"/>
      <c r="BK6751" s="25"/>
    </row>
    <row r="6752" spans="60:63" ht="14.25" x14ac:dyDescent="0.2">
      <c r="BH6752" s="25"/>
      <c r="BI6752" s="25"/>
      <c r="BJ6752" s="25"/>
      <c r="BK6752" s="25"/>
    </row>
    <row r="6753" spans="60:63" ht="14.25" x14ac:dyDescent="0.2">
      <c r="BH6753" s="25"/>
      <c r="BI6753" s="25"/>
      <c r="BJ6753" s="25"/>
      <c r="BK6753" s="25"/>
    </row>
    <row r="6754" spans="60:63" ht="14.25" x14ac:dyDescent="0.2">
      <c r="BH6754" s="25"/>
      <c r="BI6754" s="25"/>
      <c r="BJ6754" s="25"/>
      <c r="BK6754" s="25"/>
    </row>
    <row r="6755" spans="60:63" ht="14.25" x14ac:dyDescent="0.2">
      <c r="BH6755" s="25"/>
      <c r="BI6755" s="25"/>
      <c r="BJ6755" s="25"/>
      <c r="BK6755" s="25"/>
    </row>
    <row r="6756" spans="60:63" ht="14.25" x14ac:dyDescent="0.2">
      <c r="BH6756" s="25"/>
      <c r="BI6756" s="25"/>
      <c r="BJ6756" s="25"/>
      <c r="BK6756" s="25"/>
    </row>
    <row r="6757" spans="60:63" ht="14.25" x14ac:dyDescent="0.2">
      <c r="BH6757" s="25"/>
      <c r="BI6757" s="25"/>
      <c r="BJ6757" s="25"/>
      <c r="BK6757" s="25"/>
    </row>
    <row r="6758" spans="60:63" ht="14.25" x14ac:dyDescent="0.2">
      <c r="BH6758" s="25"/>
      <c r="BI6758" s="25"/>
      <c r="BJ6758" s="25"/>
      <c r="BK6758" s="25"/>
    </row>
    <row r="6759" spans="60:63" ht="14.25" x14ac:dyDescent="0.2">
      <c r="BH6759" s="25"/>
      <c r="BI6759" s="25"/>
      <c r="BJ6759" s="25"/>
      <c r="BK6759" s="25"/>
    </row>
    <row r="6760" spans="60:63" ht="14.25" x14ac:dyDescent="0.2">
      <c r="BH6760" s="25"/>
      <c r="BI6760" s="25"/>
      <c r="BJ6760" s="25"/>
      <c r="BK6760" s="25"/>
    </row>
    <row r="6761" spans="60:63" ht="14.25" x14ac:dyDescent="0.2">
      <c r="BH6761" s="25"/>
      <c r="BI6761" s="25"/>
      <c r="BJ6761" s="25"/>
      <c r="BK6761" s="25"/>
    </row>
    <row r="6762" spans="60:63" ht="14.25" x14ac:dyDescent="0.2">
      <c r="BH6762" s="25"/>
      <c r="BI6762" s="25"/>
      <c r="BJ6762" s="25"/>
      <c r="BK6762" s="25"/>
    </row>
    <row r="6763" spans="60:63" ht="14.25" x14ac:dyDescent="0.2">
      <c r="BH6763" s="25"/>
      <c r="BI6763" s="25"/>
      <c r="BJ6763" s="25"/>
      <c r="BK6763" s="25"/>
    </row>
    <row r="6764" spans="60:63" ht="14.25" x14ac:dyDescent="0.2">
      <c r="BH6764" s="25"/>
      <c r="BI6764" s="25"/>
      <c r="BJ6764" s="25"/>
      <c r="BK6764" s="25"/>
    </row>
    <row r="6765" spans="60:63" ht="14.25" x14ac:dyDescent="0.2">
      <c r="BH6765" s="25"/>
      <c r="BI6765" s="25"/>
      <c r="BJ6765" s="25"/>
      <c r="BK6765" s="25"/>
    </row>
    <row r="6766" spans="60:63" ht="14.25" x14ac:dyDescent="0.2">
      <c r="BH6766" s="25"/>
      <c r="BI6766" s="25"/>
      <c r="BJ6766" s="25"/>
      <c r="BK6766" s="25"/>
    </row>
    <row r="6767" spans="60:63" ht="14.25" x14ac:dyDescent="0.2">
      <c r="BH6767" s="25"/>
      <c r="BI6767" s="25"/>
      <c r="BJ6767" s="25"/>
      <c r="BK6767" s="25"/>
    </row>
    <row r="6768" spans="60:63" ht="14.25" x14ac:dyDescent="0.2">
      <c r="BH6768" s="25"/>
      <c r="BI6768" s="25"/>
      <c r="BJ6768" s="25"/>
      <c r="BK6768" s="25"/>
    </row>
    <row r="6769" spans="60:63" ht="14.25" x14ac:dyDescent="0.2">
      <c r="BH6769" s="25"/>
      <c r="BI6769" s="25"/>
      <c r="BJ6769" s="25"/>
      <c r="BK6769" s="25"/>
    </row>
    <row r="6770" spans="60:63" ht="14.25" x14ac:dyDescent="0.2">
      <c r="BH6770" s="25"/>
      <c r="BI6770" s="25"/>
      <c r="BJ6770" s="25"/>
      <c r="BK6770" s="25"/>
    </row>
    <row r="6771" spans="60:63" ht="14.25" x14ac:dyDescent="0.2">
      <c r="BH6771" s="25"/>
      <c r="BI6771" s="25"/>
      <c r="BJ6771" s="25"/>
      <c r="BK6771" s="25"/>
    </row>
    <row r="6772" spans="60:63" ht="14.25" x14ac:dyDescent="0.2">
      <c r="BH6772" s="25"/>
      <c r="BI6772" s="25"/>
      <c r="BJ6772" s="25"/>
      <c r="BK6772" s="25"/>
    </row>
    <row r="6773" spans="60:63" ht="14.25" x14ac:dyDescent="0.2">
      <c r="BH6773" s="25"/>
      <c r="BI6773" s="25"/>
      <c r="BJ6773" s="25"/>
      <c r="BK6773" s="25"/>
    </row>
    <row r="6774" spans="60:63" ht="14.25" x14ac:dyDescent="0.2">
      <c r="BH6774" s="25"/>
      <c r="BI6774" s="25"/>
      <c r="BJ6774" s="25"/>
      <c r="BK6774" s="25"/>
    </row>
    <row r="6775" spans="60:63" ht="14.25" x14ac:dyDescent="0.2">
      <c r="BH6775" s="25"/>
      <c r="BI6775" s="25"/>
      <c r="BJ6775" s="25"/>
      <c r="BK6775" s="25"/>
    </row>
    <row r="6776" spans="60:63" ht="14.25" x14ac:dyDescent="0.2">
      <c r="BH6776" s="25"/>
      <c r="BI6776" s="25"/>
      <c r="BJ6776" s="25"/>
      <c r="BK6776" s="25"/>
    </row>
    <row r="6777" spans="60:63" ht="14.25" x14ac:dyDescent="0.2">
      <c r="BH6777" s="25"/>
      <c r="BI6777" s="25"/>
      <c r="BJ6777" s="25"/>
      <c r="BK6777" s="25"/>
    </row>
    <row r="6778" spans="60:63" ht="14.25" x14ac:dyDescent="0.2">
      <c r="BH6778" s="25"/>
      <c r="BI6778" s="25"/>
      <c r="BJ6778" s="25"/>
      <c r="BK6778" s="25"/>
    </row>
    <row r="6779" spans="60:63" ht="14.25" x14ac:dyDescent="0.2">
      <c r="BH6779" s="25"/>
      <c r="BI6779" s="25"/>
      <c r="BJ6779" s="25"/>
      <c r="BK6779" s="25"/>
    </row>
    <row r="6780" spans="60:63" ht="14.25" x14ac:dyDescent="0.2">
      <c r="BH6780" s="25"/>
      <c r="BI6780" s="25"/>
      <c r="BJ6780" s="25"/>
      <c r="BK6780" s="25"/>
    </row>
    <row r="6781" spans="60:63" ht="14.25" x14ac:dyDescent="0.2">
      <c r="BH6781" s="25"/>
      <c r="BI6781" s="25"/>
      <c r="BJ6781" s="25"/>
      <c r="BK6781" s="25"/>
    </row>
    <row r="6782" spans="60:63" ht="14.25" x14ac:dyDescent="0.2">
      <c r="BH6782" s="25"/>
      <c r="BI6782" s="25"/>
      <c r="BJ6782" s="25"/>
      <c r="BK6782" s="25"/>
    </row>
    <row r="6783" spans="60:63" ht="14.25" x14ac:dyDescent="0.2">
      <c r="BH6783" s="25"/>
      <c r="BI6783" s="25"/>
      <c r="BJ6783" s="25"/>
      <c r="BK6783" s="25"/>
    </row>
    <row r="6784" spans="60:63" ht="14.25" x14ac:dyDescent="0.2">
      <c r="BH6784" s="25"/>
      <c r="BI6784" s="25"/>
      <c r="BJ6784" s="25"/>
      <c r="BK6784" s="25"/>
    </row>
    <row r="6785" spans="60:63" ht="14.25" x14ac:dyDescent="0.2">
      <c r="BH6785" s="25"/>
      <c r="BI6785" s="25"/>
      <c r="BJ6785" s="25"/>
      <c r="BK6785" s="25"/>
    </row>
    <row r="6786" spans="60:63" ht="14.25" x14ac:dyDescent="0.2">
      <c r="BH6786" s="25"/>
      <c r="BI6786" s="25"/>
      <c r="BJ6786" s="25"/>
      <c r="BK6786" s="25"/>
    </row>
    <row r="6787" spans="60:63" ht="14.25" x14ac:dyDescent="0.2">
      <c r="BH6787" s="25"/>
      <c r="BI6787" s="25"/>
      <c r="BJ6787" s="25"/>
      <c r="BK6787" s="25"/>
    </row>
    <row r="6788" spans="60:63" ht="14.25" x14ac:dyDescent="0.2">
      <c r="BH6788" s="25"/>
      <c r="BI6788" s="25"/>
      <c r="BJ6788" s="25"/>
      <c r="BK6788" s="25"/>
    </row>
    <row r="6789" spans="60:63" ht="14.25" x14ac:dyDescent="0.2">
      <c r="BH6789" s="25"/>
      <c r="BI6789" s="25"/>
      <c r="BJ6789" s="25"/>
      <c r="BK6789" s="25"/>
    </row>
    <row r="6790" spans="60:63" ht="14.25" x14ac:dyDescent="0.2">
      <c r="BH6790" s="25"/>
      <c r="BI6790" s="25"/>
      <c r="BJ6790" s="25"/>
      <c r="BK6790" s="25"/>
    </row>
    <row r="6791" spans="60:63" ht="14.25" x14ac:dyDescent="0.2">
      <c r="BH6791" s="25"/>
      <c r="BI6791" s="25"/>
      <c r="BJ6791" s="25"/>
      <c r="BK6791" s="25"/>
    </row>
    <row r="6792" spans="60:63" ht="14.25" x14ac:dyDescent="0.2">
      <c r="BH6792" s="25"/>
      <c r="BI6792" s="25"/>
      <c r="BJ6792" s="25"/>
      <c r="BK6792" s="25"/>
    </row>
    <row r="6793" spans="60:63" ht="14.25" x14ac:dyDescent="0.2">
      <c r="BH6793" s="25"/>
      <c r="BI6793" s="25"/>
      <c r="BJ6793" s="25"/>
      <c r="BK6793" s="25"/>
    </row>
    <row r="6794" spans="60:63" ht="14.25" x14ac:dyDescent="0.2">
      <c r="BH6794" s="25"/>
      <c r="BI6794" s="25"/>
      <c r="BJ6794" s="25"/>
      <c r="BK6794" s="25"/>
    </row>
    <row r="6795" spans="60:63" ht="14.25" x14ac:dyDescent="0.2">
      <c r="BH6795" s="25"/>
      <c r="BI6795" s="25"/>
      <c r="BJ6795" s="25"/>
      <c r="BK6795" s="25"/>
    </row>
    <row r="6796" spans="60:63" ht="14.25" x14ac:dyDescent="0.2">
      <c r="BH6796" s="25"/>
      <c r="BI6796" s="25"/>
      <c r="BJ6796" s="25"/>
      <c r="BK6796" s="25"/>
    </row>
    <row r="6797" spans="60:63" ht="14.25" x14ac:dyDescent="0.2">
      <c r="BH6797" s="25"/>
      <c r="BI6797" s="25"/>
      <c r="BJ6797" s="25"/>
      <c r="BK6797" s="25"/>
    </row>
    <row r="6798" spans="60:63" ht="14.25" x14ac:dyDescent="0.2">
      <c r="BH6798" s="25"/>
      <c r="BI6798" s="25"/>
      <c r="BJ6798" s="25"/>
      <c r="BK6798" s="25"/>
    </row>
    <row r="6799" spans="60:63" ht="14.25" x14ac:dyDescent="0.2">
      <c r="BH6799" s="25"/>
      <c r="BI6799" s="25"/>
      <c r="BJ6799" s="25"/>
      <c r="BK6799" s="25"/>
    </row>
    <row r="6800" spans="60:63" ht="14.25" x14ac:dyDescent="0.2">
      <c r="BH6800" s="25"/>
      <c r="BI6800" s="25"/>
      <c r="BJ6800" s="25"/>
      <c r="BK6800" s="25"/>
    </row>
    <row r="6801" spans="60:63" ht="14.25" x14ac:dyDescent="0.2">
      <c r="BH6801" s="25"/>
      <c r="BI6801" s="25"/>
      <c r="BJ6801" s="25"/>
      <c r="BK6801" s="25"/>
    </row>
    <row r="6802" spans="60:63" ht="14.25" x14ac:dyDescent="0.2">
      <c r="BH6802" s="25"/>
      <c r="BI6802" s="25"/>
      <c r="BJ6802" s="25"/>
      <c r="BK6802" s="25"/>
    </row>
    <row r="6803" spans="60:63" ht="14.25" x14ac:dyDescent="0.2">
      <c r="BH6803" s="25"/>
      <c r="BI6803" s="25"/>
      <c r="BJ6803" s="25"/>
      <c r="BK6803" s="25"/>
    </row>
    <row r="6804" spans="60:63" ht="14.25" x14ac:dyDescent="0.2">
      <c r="BH6804" s="25"/>
      <c r="BI6804" s="25"/>
      <c r="BJ6804" s="25"/>
      <c r="BK6804" s="25"/>
    </row>
    <row r="6805" spans="60:63" ht="14.25" x14ac:dyDescent="0.2">
      <c r="BH6805" s="25"/>
      <c r="BI6805" s="25"/>
      <c r="BJ6805" s="25"/>
      <c r="BK6805" s="25"/>
    </row>
    <row r="6806" spans="60:63" ht="14.25" x14ac:dyDescent="0.2">
      <c r="BH6806" s="25"/>
      <c r="BI6806" s="25"/>
      <c r="BJ6806" s="25"/>
      <c r="BK6806" s="25"/>
    </row>
    <row r="6807" spans="60:63" ht="14.25" x14ac:dyDescent="0.2">
      <c r="BH6807" s="25"/>
      <c r="BI6807" s="25"/>
      <c r="BJ6807" s="25"/>
      <c r="BK6807" s="25"/>
    </row>
    <row r="6808" spans="60:63" ht="14.25" x14ac:dyDescent="0.2">
      <c r="BH6808" s="25"/>
      <c r="BI6808" s="25"/>
      <c r="BJ6808" s="25"/>
      <c r="BK6808" s="25"/>
    </row>
    <row r="6809" spans="60:63" ht="14.25" x14ac:dyDescent="0.2">
      <c r="BH6809" s="25"/>
      <c r="BI6809" s="25"/>
      <c r="BJ6809" s="25"/>
      <c r="BK6809" s="25"/>
    </row>
    <row r="6810" spans="60:63" ht="14.25" x14ac:dyDescent="0.2">
      <c r="BH6810" s="25"/>
      <c r="BI6810" s="25"/>
      <c r="BJ6810" s="25"/>
      <c r="BK6810" s="25"/>
    </row>
    <row r="6811" spans="60:63" ht="14.25" x14ac:dyDescent="0.2">
      <c r="BH6811" s="25"/>
      <c r="BI6811" s="25"/>
      <c r="BJ6811" s="25"/>
      <c r="BK6811" s="25"/>
    </row>
    <row r="6812" spans="60:63" ht="14.25" x14ac:dyDescent="0.2">
      <c r="BH6812" s="25"/>
      <c r="BI6812" s="25"/>
      <c r="BJ6812" s="25"/>
      <c r="BK6812" s="25"/>
    </row>
    <row r="6813" spans="60:63" ht="14.25" x14ac:dyDescent="0.2">
      <c r="BH6813" s="25"/>
      <c r="BI6813" s="25"/>
      <c r="BJ6813" s="25"/>
      <c r="BK6813" s="25"/>
    </row>
    <row r="6814" spans="60:63" ht="14.25" x14ac:dyDescent="0.2">
      <c r="BH6814" s="25"/>
      <c r="BI6814" s="25"/>
      <c r="BJ6814" s="25"/>
      <c r="BK6814" s="25"/>
    </row>
    <row r="6815" spans="60:63" ht="14.25" x14ac:dyDescent="0.2">
      <c r="BH6815" s="25"/>
      <c r="BI6815" s="25"/>
      <c r="BJ6815" s="25"/>
      <c r="BK6815" s="25"/>
    </row>
    <row r="6816" spans="60:63" ht="14.25" x14ac:dyDescent="0.2">
      <c r="BH6816" s="25"/>
      <c r="BI6816" s="25"/>
      <c r="BJ6816" s="25"/>
      <c r="BK6816" s="25"/>
    </row>
    <row r="6817" spans="60:63" ht="14.25" x14ac:dyDescent="0.2">
      <c r="BH6817" s="25"/>
      <c r="BI6817" s="25"/>
      <c r="BJ6817" s="25"/>
      <c r="BK6817" s="25"/>
    </row>
    <row r="6818" spans="60:63" ht="14.25" x14ac:dyDescent="0.2">
      <c r="BH6818" s="25"/>
      <c r="BI6818" s="25"/>
      <c r="BJ6818" s="25"/>
      <c r="BK6818" s="25"/>
    </row>
    <row r="6819" spans="60:63" ht="14.25" x14ac:dyDescent="0.2">
      <c r="BH6819" s="25"/>
      <c r="BI6819" s="25"/>
      <c r="BJ6819" s="25"/>
      <c r="BK6819" s="25"/>
    </row>
    <row r="6820" spans="60:63" ht="14.25" x14ac:dyDescent="0.2">
      <c r="BH6820" s="25"/>
      <c r="BI6820" s="25"/>
      <c r="BJ6820" s="25"/>
      <c r="BK6820" s="25"/>
    </row>
    <row r="6821" spans="60:63" ht="14.25" x14ac:dyDescent="0.2">
      <c r="BH6821" s="25"/>
      <c r="BI6821" s="25"/>
      <c r="BJ6821" s="25"/>
      <c r="BK6821" s="25"/>
    </row>
    <row r="6822" spans="60:63" ht="14.25" x14ac:dyDescent="0.2">
      <c r="BH6822" s="25"/>
      <c r="BI6822" s="25"/>
      <c r="BJ6822" s="25"/>
      <c r="BK6822" s="25"/>
    </row>
    <row r="6823" spans="60:63" ht="14.25" x14ac:dyDescent="0.2">
      <c r="BH6823" s="25"/>
      <c r="BI6823" s="25"/>
      <c r="BJ6823" s="25"/>
      <c r="BK6823" s="25"/>
    </row>
    <row r="6824" spans="60:63" ht="14.25" x14ac:dyDescent="0.2">
      <c r="BH6824" s="25"/>
      <c r="BI6824" s="25"/>
      <c r="BJ6824" s="25"/>
      <c r="BK6824" s="25"/>
    </row>
    <row r="6825" spans="60:63" ht="14.25" x14ac:dyDescent="0.2">
      <c r="BH6825" s="25"/>
      <c r="BI6825" s="25"/>
      <c r="BJ6825" s="25"/>
      <c r="BK6825" s="25"/>
    </row>
    <row r="6826" spans="60:63" ht="14.25" x14ac:dyDescent="0.2">
      <c r="BH6826" s="25"/>
      <c r="BI6826" s="25"/>
      <c r="BJ6826" s="25"/>
      <c r="BK6826" s="25"/>
    </row>
    <row r="6827" spans="60:63" ht="14.25" x14ac:dyDescent="0.2">
      <c r="BH6827" s="25"/>
      <c r="BI6827" s="25"/>
      <c r="BJ6827" s="25"/>
      <c r="BK6827" s="25"/>
    </row>
    <row r="6828" spans="60:63" ht="14.25" x14ac:dyDescent="0.2">
      <c r="BH6828" s="25"/>
      <c r="BI6828" s="25"/>
      <c r="BJ6828" s="25"/>
      <c r="BK6828" s="25"/>
    </row>
    <row r="6829" spans="60:63" ht="14.25" x14ac:dyDescent="0.2">
      <c r="BH6829" s="25"/>
      <c r="BI6829" s="25"/>
      <c r="BJ6829" s="25"/>
      <c r="BK6829" s="25"/>
    </row>
    <row r="6830" spans="60:63" ht="14.25" x14ac:dyDescent="0.2">
      <c r="BH6830" s="25"/>
      <c r="BI6830" s="25"/>
      <c r="BJ6830" s="25"/>
      <c r="BK6830" s="25"/>
    </row>
    <row r="6831" spans="60:63" ht="14.25" x14ac:dyDescent="0.2">
      <c r="BH6831" s="25"/>
      <c r="BI6831" s="25"/>
      <c r="BJ6831" s="25"/>
      <c r="BK6831" s="25"/>
    </row>
    <row r="6832" spans="60:63" ht="14.25" x14ac:dyDescent="0.2">
      <c r="BH6832" s="25"/>
      <c r="BI6832" s="25"/>
      <c r="BJ6832" s="25"/>
      <c r="BK6832" s="25"/>
    </row>
    <row r="6833" spans="60:63" ht="14.25" x14ac:dyDescent="0.2">
      <c r="BH6833" s="25"/>
      <c r="BI6833" s="25"/>
      <c r="BJ6833" s="25"/>
      <c r="BK6833" s="25"/>
    </row>
    <row r="6834" spans="60:63" ht="14.25" x14ac:dyDescent="0.2">
      <c r="BH6834" s="25"/>
      <c r="BI6834" s="25"/>
      <c r="BJ6834" s="25"/>
      <c r="BK6834" s="25"/>
    </row>
    <row r="6835" spans="60:63" ht="14.25" x14ac:dyDescent="0.2">
      <c r="BH6835" s="25"/>
      <c r="BI6835" s="25"/>
      <c r="BJ6835" s="25"/>
      <c r="BK6835" s="25"/>
    </row>
    <row r="6836" spans="60:63" ht="14.25" x14ac:dyDescent="0.2">
      <c r="BH6836" s="25"/>
      <c r="BI6836" s="25"/>
      <c r="BJ6836" s="25"/>
      <c r="BK6836" s="25"/>
    </row>
    <row r="6837" spans="60:63" ht="14.25" x14ac:dyDescent="0.2">
      <c r="BH6837" s="25"/>
      <c r="BI6837" s="25"/>
      <c r="BJ6837" s="25"/>
      <c r="BK6837" s="25"/>
    </row>
    <row r="6838" spans="60:63" ht="14.25" x14ac:dyDescent="0.2">
      <c r="BH6838" s="25"/>
      <c r="BI6838" s="25"/>
      <c r="BJ6838" s="25"/>
      <c r="BK6838" s="25"/>
    </row>
    <row r="6839" spans="60:63" ht="14.25" x14ac:dyDescent="0.2">
      <c r="BH6839" s="25"/>
      <c r="BI6839" s="25"/>
      <c r="BJ6839" s="25"/>
      <c r="BK6839" s="25"/>
    </row>
    <row r="6840" spans="60:63" ht="14.25" x14ac:dyDescent="0.2">
      <c r="BH6840" s="25"/>
      <c r="BI6840" s="25"/>
      <c r="BJ6840" s="25"/>
      <c r="BK6840" s="25"/>
    </row>
    <row r="6841" spans="60:63" ht="14.25" x14ac:dyDescent="0.2">
      <c r="BH6841" s="25"/>
      <c r="BI6841" s="25"/>
      <c r="BJ6841" s="25"/>
      <c r="BK6841" s="25"/>
    </row>
    <row r="6842" spans="60:63" ht="14.25" x14ac:dyDescent="0.2">
      <c r="BH6842" s="25"/>
      <c r="BI6842" s="25"/>
      <c r="BJ6842" s="25"/>
      <c r="BK6842" s="25"/>
    </row>
    <row r="6843" spans="60:63" ht="14.25" x14ac:dyDescent="0.2">
      <c r="BH6843" s="25"/>
      <c r="BI6843" s="25"/>
      <c r="BJ6843" s="25"/>
      <c r="BK6843" s="25"/>
    </row>
    <row r="6844" spans="60:63" ht="14.25" x14ac:dyDescent="0.2">
      <c r="BH6844" s="25"/>
      <c r="BI6844" s="25"/>
      <c r="BJ6844" s="25"/>
      <c r="BK6844" s="25"/>
    </row>
    <row r="6845" spans="60:63" ht="14.25" x14ac:dyDescent="0.2">
      <c r="BH6845" s="25"/>
      <c r="BI6845" s="25"/>
      <c r="BJ6845" s="25"/>
      <c r="BK6845" s="25"/>
    </row>
    <row r="6846" spans="60:63" ht="14.25" x14ac:dyDescent="0.2">
      <c r="BH6846" s="25"/>
      <c r="BI6846" s="25"/>
      <c r="BJ6846" s="25"/>
      <c r="BK6846" s="25"/>
    </row>
    <row r="6847" spans="60:63" ht="14.25" x14ac:dyDescent="0.2">
      <c r="BH6847" s="25"/>
      <c r="BI6847" s="25"/>
      <c r="BJ6847" s="25"/>
      <c r="BK6847" s="25"/>
    </row>
    <row r="6848" spans="60:63" ht="14.25" x14ac:dyDescent="0.2">
      <c r="BH6848" s="25"/>
      <c r="BI6848" s="25"/>
      <c r="BJ6848" s="25"/>
      <c r="BK6848" s="25"/>
    </row>
    <row r="6849" spans="60:63" ht="14.25" x14ac:dyDescent="0.2">
      <c r="BH6849" s="25"/>
      <c r="BI6849" s="25"/>
      <c r="BJ6849" s="25"/>
      <c r="BK6849" s="25"/>
    </row>
    <row r="6850" spans="60:63" ht="14.25" x14ac:dyDescent="0.2">
      <c r="BH6850" s="25"/>
      <c r="BI6850" s="25"/>
      <c r="BJ6850" s="25"/>
      <c r="BK6850" s="25"/>
    </row>
    <row r="6851" spans="60:63" ht="14.25" x14ac:dyDescent="0.2">
      <c r="BH6851" s="25"/>
      <c r="BI6851" s="25"/>
      <c r="BJ6851" s="25"/>
      <c r="BK6851" s="25"/>
    </row>
    <row r="6852" spans="60:63" ht="14.25" x14ac:dyDescent="0.2">
      <c r="BH6852" s="25"/>
      <c r="BI6852" s="25"/>
      <c r="BJ6852" s="25"/>
      <c r="BK6852" s="25"/>
    </row>
    <row r="6853" spans="60:63" ht="14.25" x14ac:dyDescent="0.2">
      <c r="BH6853" s="25"/>
      <c r="BI6853" s="25"/>
      <c r="BJ6853" s="25"/>
      <c r="BK6853" s="25"/>
    </row>
    <row r="6854" spans="60:63" ht="14.25" x14ac:dyDescent="0.2">
      <c r="BH6854" s="25"/>
      <c r="BI6854" s="25"/>
      <c r="BJ6854" s="25"/>
      <c r="BK6854" s="25"/>
    </row>
    <row r="6855" spans="60:63" ht="14.25" x14ac:dyDescent="0.2">
      <c r="BH6855" s="25"/>
      <c r="BI6855" s="25"/>
      <c r="BJ6855" s="25"/>
      <c r="BK6855" s="25"/>
    </row>
    <row r="6856" spans="60:63" ht="14.25" x14ac:dyDescent="0.2">
      <c r="BH6856" s="25"/>
      <c r="BI6856" s="25"/>
      <c r="BJ6856" s="25"/>
      <c r="BK6856" s="25"/>
    </row>
    <row r="6857" spans="60:63" ht="14.25" x14ac:dyDescent="0.2">
      <c r="BH6857" s="25"/>
      <c r="BI6857" s="25"/>
      <c r="BJ6857" s="25"/>
      <c r="BK6857" s="25"/>
    </row>
    <row r="6858" spans="60:63" ht="14.25" x14ac:dyDescent="0.2">
      <c r="BH6858" s="25"/>
      <c r="BI6858" s="25"/>
      <c r="BJ6858" s="25"/>
      <c r="BK6858" s="25"/>
    </row>
    <row r="6859" spans="60:63" ht="14.25" x14ac:dyDescent="0.2">
      <c r="BH6859" s="25"/>
      <c r="BI6859" s="25"/>
      <c r="BJ6859" s="25"/>
      <c r="BK6859" s="25"/>
    </row>
    <row r="6860" spans="60:63" ht="14.25" x14ac:dyDescent="0.2">
      <c r="BH6860" s="25"/>
      <c r="BI6860" s="25"/>
      <c r="BJ6860" s="25"/>
      <c r="BK6860" s="25"/>
    </row>
    <row r="6861" spans="60:63" ht="14.25" x14ac:dyDescent="0.2">
      <c r="BH6861" s="25"/>
      <c r="BI6861" s="25"/>
      <c r="BJ6861" s="25"/>
      <c r="BK6861" s="25"/>
    </row>
    <row r="6862" spans="60:63" ht="14.25" x14ac:dyDescent="0.2">
      <c r="BH6862" s="25"/>
      <c r="BI6862" s="25"/>
      <c r="BJ6862" s="25"/>
      <c r="BK6862" s="25"/>
    </row>
    <row r="6863" spans="60:63" ht="14.25" x14ac:dyDescent="0.2">
      <c r="BH6863" s="25"/>
      <c r="BI6863" s="25"/>
      <c r="BJ6863" s="25"/>
      <c r="BK6863" s="25"/>
    </row>
    <row r="6864" spans="60:63" ht="14.25" x14ac:dyDescent="0.2">
      <c r="BH6864" s="25"/>
      <c r="BI6864" s="25"/>
      <c r="BJ6864" s="25"/>
      <c r="BK6864" s="25"/>
    </row>
    <row r="6865" spans="60:63" ht="14.25" x14ac:dyDescent="0.2">
      <c r="BH6865" s="25"/>
      <c r="BI6865" s="25"/>
      <c r="BJ6865" s="25"/>
      <c r="BK6865" s="25"/>
    </row>
    <row r="6866" spans="60:63" ht="14.25" x14ac:dyDescent="0.2">
      <c r="BH6866" s="25"/>
      <c r="BI6866" s="25"/>
      <c r="BJ6866" s="25"/>
      <c r="BK6866" s="25"/>
    </row>
    <row r="6867" spans="60:63" ht="14.25" x14ac:dyDescent="0.2">
      <c r="BH6867" s="25"/>
      <c r="BI6867" s="25"/>
      <c r="BJ6867" s="25"/>
      <c r="BK6867" s="25"/>
    </row>
    <row r="6868" spans="60:63" ht="14.25" x14ac:dyDescent="0.2">
      <c r="BH6868" s="25"/>
      <c r="BI6868" s="25"/>
      <c r="BJ6868" s="25"/>
      <c r="BK6868" s="25"/>
    </row>
    <row r="6869" spans="60:63" ht="14.25" x14ac:dyDescent="0.2">
      <c r="BH6869" s="25"/>
      <c r="BI6869" s="25"/>
      <c r="BJ6869" s="25"/>
      <c r="BK6869" s="25"/>
    </row>
    <row r="6870" spans="60:63" ht="14.25" x14ac:dyDescent="0.2">
      <c r="BH6870" s="25"/>
      <c r="BI6870" s="25"/>
      <c r="BJ6870" s="25"/>
      <c r="BK6870" s="25"/>
    </row>
    <row r="6871" spans="60:63" ht="14.25" x14ac:dyDescent="0.2">
      <c r="BH6871" s="25"/>
      <c r="BI6871" s="25"/>
      <c r="BJ6871" s="25"/>
      <c r="BK6871" s="25"/>
    </row>
    <row r="6872" spans="60:63" ht="14.25" x14ac:dyDescent="0.2">
      <c r="BH6872" s="25"/>
      <c r="BI6872" s="25"/>
      <c r="BJ6872" s="25"/>
      <c r="BK6872" s="25"/>
    </row>
    <row r="6873" spans="60:63" ht="14.25" x14ac:dyDescent="0.2">
      <c r="BH6873" s="25"/>
      <c r="BI6873" s="25"/>
      <c r="BJ6873" s="25"/>
      <c r="BK6873" s="25"/>
    </row>
    <row r="6874" spans="60:63" ht="14.25" x14ac:dyDescent="0.2">
      <c r="BH6874" s="25"/>
      <c r="BI6874" s="25"/>
      <c r="BJ6874" s="25"/>
      <c r="BK6874" s="25"/>
    </row>
    <row r="6875" spans="60:63" ht="14.25" x14ac:dyDescent="0.2">
      <c r="BH6875" s="25"/>
      <c r="BI6875" s="25"/>
      <c r="BJ6875" s="25"/>
      <c r="BK6875" s="25"/>
    </row>
    <row r="6876" spans="60:63" ht="14.25" x14ac:dyDescent="0.2">
      <c r="BH6876" s="25"/>
      <c r="BI6876" s="25"/>
      <c r="BJ6876" s="25"/>
      <c r="BK6876" s="25"/>
    </row>
    <row r="6877" spans="60:63" ht="14.25" x14ac:dyDescent="0.2">
      <c r="BH6877" s="25"/>
      <c r="BI6877" s="25"/>
      <c r="BJ6877" s="25"/>
      <c r="BK6877" s="25"/>
    </row>
    <row r="6878" spans="60:63" ht="14.25" x14ac:dyDescent="0.2">
      <c r="BH6878" s="25"/>
      <c r="BI6878" s="25"/>
      <c r="BJ6878" s="25"/>
      <c r="BK6878" s="25"/>
    </row>
    <row r="6879" spans="60:63" ht="14.25" x14ac:dyDescent="0.2">
      <c r="BH6879" s="25"/>
      <c r="BI6879" s="25"/>
      <c r="BJ6879" s="25"/>
      <c r="BK6879" s="25"/>
    </row>
    <row r="6880" spans="60:63" ht="14.25" x14ac:dyDescent="0.2">
      <c r="BH6880" s="25"/>
      <c r="BI6880" s="25"/>
      <c r="BJ6880" s="25"/>
      <c r="BK6880" s="25"/>
    </row>
    <row r="6881" spans="60:63" ht="14.25" x14ac:dyDescent="0.2">
      <c r="BH6881" s="25"/>
      <c r="BI6881" s="25"/>
      <c r="BJ6881" s="25"/>
      <c r="BK6881" s="25"/>
    </row>
    <row r="6882" spans="60:63" ht="14.25" x14ac:dyDescent="0.2">
      <c r="BH6882" s="25"/>
      <c r="BI6882" s="25"/>
      <c r="BJ6882" s="25"/>
      <c r="BK6882" s="25"/>
    </row>
    <row r="6883" spans="60:63" ht="14.25" x14ac:dyDescent="0.2">
      <c r="BH6883" s="25"/>
      <c r="BI6883" s="25"/>
      <c r="BJ6883" s="25"/>
      <c r="BK6883" s="25"/>
    </row>
    <row r="6884" spans="60:63" ht="14.25" x14ac:dyDescent="0.2">
      <c r="BH6884" s="25"/>
      <c r="BI6884" s="25"/>
      <c r="BJ6884" s="25"/>
      <c r="BK6884" s="25"/>
    </row>
    <row r="6885" spans="60:63" ht="14.25" x14ac:dyDescent="0.2">
      <c r="BH6885" s="25"/>
      <c r="BI6885" s="25"/>
      <c r="BJ6885" s="25"/>
      <c r="BK6885" s="25"/>
    </row>
    <row r="6886" spans="60:63" ht="14.25" x14ac:dyDescent="0.2">
      <c r="BH6886" s="25"/>
      <c r="BI6886" s="25"/>
      <c r="BJ6886" s="25"/>
      <c r="BK6886" s="25"/>
    </row>
    <row r="6887" spans="60:63" ht="14.25" x14ac:dyDescent="0.2">
      <c r="BH6887" s="25"/>
      <c r="BI6887" s="25"/>
      <c r="BJ6887" s="25"/>
      <c r="BK6887" s="25"/>
    </row>
    <row r="6888" spans="60:63" ht="14.25" x14ac:dyDescent="0.2">
      <c r="BH6888" s="25"/>
      <c r="BI6888" s="25"/>
      <c r="BJ6888" s="25"/>
      <c r="BK6888" s="25"/>
    </row>
    <row r="6889" spans="60:63" ht="14.25" x14ac:dyDescent="0.2">
      <c r="BH6889" s="25"/>
      <c r="BI6889" s="25"/>
      <c r="BJ6889" s="25"/>
      <c r="BK6889" s="25"/>
    </row>
    <row r="6890" spans="60:63" ht="14.25" x14ac:dyDescent="0.2">
      <c r="BH6890" s="25"/>
      <c r="BI6890" s="25"/>
      <c r="BJ6890" s="25"/>
      <c r="BK6890" s="25"/>
    </row>
    <row r="6891" spans="60:63" ht="14.25" x14ac:dyDescent="0.2">
      <c r="BH6891" s="25"/>
      <c r="BI6891" s="25"/>
      <c r="BJ6891" s="25"/>
      <c r="BK6891" s="25"/>
    </row>
    <row r="6892" spans="60:63" ht="14.25" x14ac:dyDescent="0.2">
      <c r="BH6892" s="25"/>
      <c r="BI6892" s="25"/>
      <c r="BJ6892" s="25"/>
      <c r="BK6892" s="25"/>
    </row>
    <row r="6893" spans="60:63" ht="14.25" x14ac:dyDescent="0.2">
      <c r="BH6893" s="25"/>
      <c r="BI6893" s="25"/>
      <c r="BJ6893" s="25"/>
      <c r="BK6893" s="25"/>
    </row>
    <row r="6894" spans="60:63" ht="14.25" x14ac:dyDescent="0.2">
      <c r="BH6894" s="25"/>
      <c r="BI6894" s="25"/>
      <c r="BJ6894" s="25"/>
      <c r="BK6894" s="25"/>
    </row>
    <row r="6895" spans="60:63" ht="14.25" x14ac:dyDescent="0.2">
      <c r="BH6895" s="25"/>
      <c r="BI6895" s="25"/>
      <c r="BJ6895" s="25"/>
      <c r="BK6895" s="25"/>
    </row>
    <row r="6896" spans="60:63" ht="14.25" x14ac:dyDescent="0.2">
      <c r="BH6896" s="25"/>
      <c r="BI6896" s="25"/>
      <c r="BJ6896" s="25"/>
      <c r="BK6896" s="25"/>
    </row>
    <row r="6897" spans="60:63" ht="14.25" x14ac:dyDescent="0.2">
      <c r="BH6897" s="25"/>
      <c r="BI6897" s="25"/>
      <c r="BJ6897" s="25"/>
      <c r="BK6897" s="25"/>
    </row>
    <row r="6898" spans="60:63" ht="14.25" x14ac:dyDescent="0.2">
      <c r="BH6898" s="25"/>
      <c r="BI6898" s="25"/>
      <c r="BJ6898" s="25"/>
      <c r="BK6898" s="25"/>
    </row>
    <row r="6899" spans="60:63" ht="14.25" x14ac:dyDescent="0.2">
      <c r="BH6899" s="25"/>
      <c r="BI6899" s="25"/>
      <c r="BJ6899" s="25"/>
      <c r="BK6899" s="25"/>
    </row>
    <row r="6900" spans="60:63" ht="14.25" x14ac:dyDescent="0.2">
      <c r="BH6900" s="25"/>
      <c r="BI6900" s="25"/>
      <c r="BJ6900" s="25"/>
      <c r="BK6900" s="25"/>
    </row>
    <row r="6901" spans="60:63" ht="14.25" x14ac:dyDescent="0.2">
      <c r="BH6901" s="25"/>
      <c r="BI6901" s="25"/>
      <c r="BJ6901" s="25"/>
      <c r="BK6901" s="25"/>
    </row>
    <row r="6902" spans="60:63" ht="14.25" x14ac:dyDescent="0.2">
      <c r="BH6902" s="25"/>
      <c r="BI6902" s="25"/>
      <c r="BJ6902" s="25"/>
      <c r="BK6902" s="25"/>
    </row>
    <row r="6903" spans="60:63" ht="14.25" x14ac:dyDescent="0.2">
      <c r="BH6903" s="25"/>
      <c r="BI6903" s="25"/>
      <c r="BJ6903" s="25"/>
      <c r="BK6903" s="25"/>
    </row>
    <row r="6904" spans="60:63" ht="14.25" x14ac:dyDescent="0.2">
      <c r="BH6904" s="25"/>
      <c r="BI6904" s="25"/>
      <c r="BJ6904" s="25"/>
      <c r="BK6904" s="25"/>
    </row>
    <row r="6905" spans="60:63" ht="14.25" x14ac:dyDescent="0.2">
      <c r="BH6905" s="25"/>
      <c r="BI6905" s="25"/>
      <c r="BJ6905" s="25"/>
      <c r="BK6905" s="25"/>
    </row>
    <row r="6906" spans="60:63" ht="14.25" x14ac:dyDescent="0.2">
      <c r="BH6906" s="25"/>
      <c r="BI6906" s="25"/>
      <c r="BJ6906" s="25"/>
      <c r="BK6906" s="25"/>
    </row>
    <row r="6907" spans="60:63" ht="14.25" x14ac:dyDescent="0.2">
      <c r="BH6907" s="25"/>
      <c r="BI6907" s="25"/>
      <c r="BJ6907" s="25"/>
      <c r="BK6907" s="25"/>
    </row>
    <row r="6908" spans="60:63" ht="14.25" x14ac:dyDescent="0.2">
      <c r="BH6908" s="25"/>
      <c r="BI6908" s="25"/>
      <c r="BJ6908" s="25"/>
      <c r="BK6908" s="25"/>
    </row>
    <row r="6909" spans="60:63" ht="14.25" x14ac:dyDescent="0.2">
      <c r="BH6909" s="25"/>
      <c r="BI6909" s="25"/>
      <c r="BJ6909" s="25"/>
      <c r="BK6909" s="25"/>
    </row>
    <row r="6910" spans="60:63" ht="14.25" x14ac:dyDescent="0.2">
      <c r="BH6910" s="25"/>
      <c r="BI6910" s="25"/>
      <c r="BJ6910" s="25"/>
      <c r="BK6910" s="25"/>
    </row>
    <row r="6911" spans="60:63" ht="14.25" x14ac:dyDescent="0.2">
      <c r="BH6911" s="25"/>
      <c r="BI6911" s="25"/>
      <c r="BJ6911" s="25"/>
      <c r="BK6911" s="25"/>
    </row>
    <row r="6912" spans="60:63" ht="14.25" x14ac:dyDescent="0.2">
      <c r="BH6912" s="25"/>
      <c r="BI6912" s="25"/>
      <c r="BJ6912" s="25"/>
      <c r="BK6912" s="25"/>
    </row>
    <row r="6913" spans="60:63" ht="14.25" x14ac:dyDescent="0.2">
      <c r="BH6913" s="25"/>
      <c r="BI6913" s="25"/>
      <c r="BJ6913" s="25"/>
      <c r="BK6913" s="25"/>
    </row>
    <row r="6914" spans="60:63" ht="14.25" x14ac:dyDescent="0.2">
      <c r="BH6914" s="25"/>
      <c r="BI6914" s="25"/>
      <c r="BJ6914" s="25"/>
      <c r="BK6914" s="25"/>
    </row>
    <row r="6915" spans="60:63" ht="14.25" x14ac:dyDescent="0.2">
      <c r="BH6915" s="25"/>
      <c r="BI6915" s="25"/>
      <c r="BJ6915" s="25"/>
      <c r="BK6915" s="25"/>
    </row>
    <row r="6916" spans="60:63" ht="14.25" x14ac:dyDescent="0.2">
      <c r="BH6916" s="25"/>
      <c r="BI6916" s="25"/>
      <c r="BJ6916" s="25"/>
      <c r="BK6916" s="25"/>
    </row>
    <row r="6917" spans="60:63" ht="14.25" x14ac:dyDescent="0.2">
      <c r="BH6917" s="25"/>
      <c r="BI6917" s="25"/>
      <c r="BJ6917" s="25"/>
      <c r="BK6917" s="25"/>
    </row>
    <row r="6918" spans="60:63" ht="14.25" x14ac:dyDescent="0.2">
      <c r="BH6918" s="25"/>
      <c r="BI6918" s="25"/>
      <c r="BJ6918" s="25"/>
      <c r="BK6918" s="25"/>
    </row>
    <row r="6919" spans="60:63" ht="14.25" x14ac:dyDescent="0.2">
      <c r="BH6919" s="25"/>
      <c r="BI6919" s="25"/>
      <c r="BJ6919" s="25"/>
      <c r="BK6919" s="25"/>
    </row>
    <row r="6920" spans="60:63" ht="14.25" x14ac:dyDescent="0.2">
      <c r="BH6920" s="25"/>
      <c r="BI6920" s="25"/>
      <c r="BJ6920" s="25"/>
      <c r="BK6920" s="25"/>
    </row>
    <row r="6921" spans="60:63" ht="14.25" x14ac:dyDescent="0.2">
      <c r="BH6921" s="25"/>
      <c r="BI6921" s="25"/>
      <c r="BJ6921" s="25"/>
      <c r="BK6921" s="25"/>
    </row>
    <row r="6922" spans="60:63" ht="14.25" x14ac:dyDescent="0.2">
      <c r="BH6922" s="25"/>
      <c r="BI6922" s="25"/>
      <c r="BJ6922" s="25"/>
      <c r="BK6922" s="25"/>
    </row>
    <row r="6923" spans="60:63" ht="14.25" x14ac:dyDescent="0.2">
      <c r="BH6923" s="25"/>
      <c r="BI6923" s="25"/>
      <c r="BJ6923" s="25"/>
      <c r="BK6923" s="25"/>
    </row>
    <row r="6924" spans="60:63" ht="14.25" x14ac:dyDescent="0.2">
      <c r="BH6924" s="25"/>
      <c r="BI6924" s="25"/>
      <c r="BJ6924" s="25"/>
      <c r="BK6924" s="25"/>
    </row>
    <row r="6925" spans="60:63" ht="14.25" x14ac:dyDescent="0.2">
      <c r="BH6925" s="25"/>
      <c r="BI6925" s="25"/>
      <c r="BJ6925" s="25"/>
      <c r="BK6925" s="25"/>
    </row>
    <row r="6926" spans="60:63" ht="14.25" x14ac:dyDescent="0.2">
      <c r="BH6926" s="25"/>
      <c r="BI6926" s="25"/>
      <c r="BJ6926" s="25"/>
      <c r="BK6926" s="25"/>
    </row>
    <row r="6927" spans="60:63" ht="14.25" x14ac:dyDescent="0.2">
      <c r="BH6927" s="25"/>
      <c r="BI6927" s="25"/>
      <c r="BJ6927" s="25"/>
      <c r="BK6927" s="25"/>
    </row>
    <row r="6928" spans="60:63" ht="14.25" x14ac:dyDescent="0.2">
      <c r="BH6928" s="25"/>
      <c r="BI6928" s="25"/>
      <c r="BJ6928" s="25"/>
      <c r="BK6928" s="25"/>
    </row>
    <row r="6929" spans="60:63" ht="14.25" x14ac:dyDescent="0.2">
      <c r="BH6929" s="25"/>
      <c r="BI6929" s="25"/>
      <c r="BJ6929" s="25"/>
      <c r="BK6929" s="25"/>
    </row>
    <row r="6930" spans="60:63" ht="14.25" x14ac:dyDescent="0.2">
      <c r="BH6930" s="25"/>
      <c r="BI6930" s="25"/>
      <c r="BJ6930" s="25"/>
      <c r="BK6930" s="25"/>
    </row>
    <row r="6931" spans="60:63" ht="14.25" x14ac:dyDescent="0.2">
      <c r="BH6931" s="25"/>
      <c r="BI6931" s="25"/>
      <c r="BJ6931" s="25"/>
      <c r="BK6931" s="25"/>
    </row>
    <row r="6932" spans="60:63" ht="14.25" x14ac:dyDescent="0.2">
      <c r="BH6932" s="25"/>
      <c r="BI6932" s="25"/>
      <c r="BJ6932" s="25"/>
      <c r="BK6932" s="25"/>
    </row>
    <row r="6933" spans="60:63" ht="14.25" x14ac:dyDescent="0.2">
      <c r="BH6933" s="25"/>
      <c r="BI6933" s="25"/>
      <c r="BJ6933" s="25"/>
      <c r="BK6933" s="25"/>
    </row>
    <row r="6934" spans="60:63" ht="14.25" x14ac:dyDescent="0.2">
      <c r="BH6934" s="25"/>
      <c r="BI6934" s="25"/>
      <c r="BJ6934" s="25"/>
      <c r="BK6934" s="25"/>
    </row>
    <row r="6935" spans="60:63" ht="14.25" x14ac:dyDescent="0.2">
      <c r="BH6935" s="25"/>
      <c r="BI6935" s="25"/>
      <c r="BJ6935" s="25"/>
      <c r="BK6935" s="25"/>
    </row>
    <row r="6936" spans="60:63" ht="14.25" x14ac:dyDescent="0.2">
      <c r="BH6936" s="25"/>
      <c r="BI6936" s="25"/>
      <c r="BJ6936" s="25"/>
      <c r="BK6936" s="25"/>
    </row>
    <row r="6937" spans="60:63" ht="14.25" x14ac:dyDescent="0.2">
      <c r="BH6937" s="25"/>
      <c r="BI6937" s="25"/>
      <c r="BJ6937" s="25"/>
      <c r="BK6937" s="25"/>
    </row>
    <row r="6938" spans="60:63" ht="14.25" x14ac:dyDescent="0.2">
      <c r="BH6938" s="25"/>
      <c r="BI6938" s="25"/>
      <c r="BJ6938" s="25"/>
      <c r="BK6938" s="25"/>
    </row>
    <row r="6939" spans="60:63" ht="14.25" x14ac:dyDescent="0.2">
      <c r="BH6939" s="25"/>
      <c r="BI6939" s="25"/>
      <c r="BJ6939" s="25"/>
      <c r="BK6939" s="25"/>
    </row>
    <row r="6940" spans="60:63" ht="14.25" x14ac:dyDescent="0.2">
      <c r="BH6940" s="25"/>
      <c r="BI6940" s="25"/>
      <c r="BJ6940" s="25"/>
      <c r="BK6940" s="25"/>
    </row>
    <row r="6941" spans="60:63" ht="14.25" x14ac:dyDescent="0.2">
      <c r="BH6941" s="25"/>
      <c r="BI6941" s="25"/>
      <c r="BJ6941" s="25"/>
      <c r="BK6941" s="25"/>
    </row>
    <row r="6942" spans="60:63" ht="14.25" x14ac:dyDescent="0.2">
      <c r="BH6942" s="25"/>
      <c r="BI6942" s="25"/>
      <c r="BJ6942" s="25"/>
      <c r="BK6942" s="25"/>
    </row>
    <row r="6943" spans="60:63" ht="14.25" x14ac:dyDescent="0.2">
      <c r="BH6943" s="25"/>
      <c r="BI6943" s="25"/>
      <c r="BJ6943" s="25"/>
      <c r="BK6943" s="25"/>
    </row>
    <row r="6944" spans="60:63" ht="14.25" x14ac:dyDescent="0.2">
      <c r="BH6944" s="25"/>
      <c r="BI6944" s="25"/>
      <c r="BJ6944" s="25"/>
      <c r="BK6944" s="25"/>
    </row>
    <row r="6945" spans="60:63" ht="14.25" x14ac:dyDescent="0.2">
      <c r="BH6945" s="25"/>
      <c r="BI6945" s="25"/>
      <c r="BJ6945" s="25"/>
      <c r="BK6945" s="25"/>
    </row>
    <row r="6946" spans="60:63" ht="14.25" x14ac:dyDescent="0.2">
      <c r="BH6946" s="25"/>
      <c r="BI6946" s="25"/>
      <c r="BJ6946" s="25"/>
      <c r="BK6946" s="25"/>
    </row>
    <row r="6947" spans="60:63" ht="14.25" x14ac:dyDescent="0.2">
      <c r="BH6947" s="25"/>
      <c r="BI6947" s="25"/>
      <c r="BJ6947" s="25"/>
      <c r="BK6947" s="25"/>
    </row>
    <row r="6948" spans="60:63" ht="14.25" x14ac:dyDescent="0.2">
      <c r="BH6948" s="25"/>
      <c r="BI6948" s="25"/>
      <c r="BJ6948" s="25"/>
      <c r="BK6948" s="25"/>
    </row>
    <row r="6949" spans="60:63" ht="14.25" x14ac:dyDescent="0.2">
      <c r="BH6949" s="25"/>
      <c r="BI6949" s="25"/>
      <c r="BJ6949" s="25"/>
      <c r="BK6949" s="25"/>
    </row>
    <row r="6950" spans="60:63" ht="14.25" x14ac:dyDescent="0.2">
      <c r="BH6950" s="25"/>
      <c r="BI6950" s="25"/>
      <c r="BJ6950" s="25"/>
      <c r="BK6950" s="25"/>
    </row>
    <row r="6951" spans="60:63" ht="14.25" x14ac:dyDescent="0.2">
      <c r="BH6951" s="25"/>
      <c r="BI6951" s="25"/>
      <c r="BJ6951" s="25"/>
      <c r="BK6951" s="25"/>
    </row>
    <row r="6952" spans="60:63" ht="14.25" x14ac:dyDescent="0.2">
      <c r="BH6952" s="25"/>
      <c r="BI6952" s="25"/>
      <c r="BJ6952" s="25"/>
      <c r="BK6952" s="25"/>
    </row>
    <row r="6953" spans="60:63" ht="14.25" x14ac:dyDescent="0.2">
      <c r="BH6953" s="25"/>
      <c r="BI6953" s="25"/>
      <c r="BJ6953" s="25"/>
      <c r="BK6953" s="25"/>
    </row>
    <row r="6954" spans="60:63" ht="14.25" x14ac:dyDescent="0.2">
      <c r="BH6954" s="25"/>
      <c r="BI6954" s="25"/>
      <c r="BJ6954" s="25"/>
      <c r="BK6954" s="25"/>
    </row>
    <row r="6955" spans="60:63" ht="14.25" x14ac:dyDescent="0.2">
      <c r="BH6955" s="25"/>
      <c r="BI6955" s="25"/>
      <c r="BJ6955" s="25"/>
      <c r="BK6955" s="25"/>
    </row>
    <row r="6956" spans="60:63" ht="14.25" x14ac:dyDescent="0.2">
      <c r="BH6956" s="25"/>
      <c r="BI6956" s="25"/>
      <c r="BJ6956" s="25"/>
      <c r="BK6956" s="25"/>
    </row>
    <row r="6957" spans="60:63" ht="14.25" x14ac:dyDescent="0.2">
      <c r="BH6957" s="25"/>
      <c r="BI6957" s="25"/>
      <c r="BJ6957" s="25"/>
      <c r="BK6957" s="25"/>
    </row>
    <row r="6958" spans="60:63" ht="14.25" x14ac:dyDescent="0.2">
      <c r="BH6958" s="25"/>
      <c r="BI6958" s="25"/>
      <c r="BJ6958" s="25"/>
      <c r="BK6958" s="25"/>
    </row>
    <row r="6959" spans="60:63" ht="14.25" x14ac:dyDescent="0.2">
      <c r="BH6959" s="25"/>
      <c r="BI6959" s="25"/>
      <c r="BJ6959" s="25"/>
      <c r="BK6959" s="25"/>
    </row>
    <row r="6960" spans="60:63" ht="14.25" x14ac:dyDescent="0.2">
      <c r="BH6960" s="25"/>
      <c r="BI6960" s="25"/>
      <c r="BJ6960" s="25"/>
      <c r="BK6960" s="25"/>
    </row>
    <row r="6961" spans="60:63" ht="14.25" x14ac:dyDescent="0.2">
      <c r="BH6961" s="25"/>
      <c r="BI6961" s="25"/>
      <c r="BJ6961" s="25"/>
      <c r="BK6961" s="25"/>
    </row>
    <row r="6962" spans="60:63" ht="14.25" x14ac:dyDescent="0.2">
      <c r="BH6962" s="25"/>
      <c r="BI6962" s="25"/>
      <c r="BJ6962" s="25"/>
      <c r="BK6962" s="25"/>
    </row>
    <row r="6963" spans="60:63" ht="14.25" x14ac:dyDescent="0.2">
      <c r="BH6963" s="25"/>
      <c r="BI6963" s="25"/>
      <c r="BJ6963" s="25"/>
      <c r="BK6963" s="25"/>
    </row>
    <row r="6964" spans="60:63" ht="14.25" x14ac:dyDescent="0.2">
      <c r="BH6964" s="25"/>
      <c r="BI6964" s="25"/>
      <c r="BJ6964" s="25"/>
      <c r="BK6964" s="25"/>
    </row>
    <row r="6965" spans="60:63" ht="14.25" x14ac:dyDescent="0.2">
      <c r="BH6965" s="25"/>
      <c r="BI6965" s="25"/>
      <c r="BJ6965" s="25"/>
      <c r="BK6965" s="25"/>
    </row>
    <row r="6966" spans="60:63" ht="14.25" x14ac:dyDescent="0.2">
      <c r="BH6966" s="25"/>
      <c r="BI6966" s="25"/>
      <c r="BJ6966" s="25"/>
      <c r="BK6966" s="25"/>
    </row>
    <row r="6967" spans="60:63" ht="14.25" x14ac:dyDescent="0.2">
      <c r="BH6967" s="25"/>
      <c r="BI6967" s="25"/>
      <c r="BJ6967" s="25"/>
      <c r="BK6967" s="25"/>
    </row>
    <row r="6968" spans="60:63" ht="14.25" x14ac:dyDescent="0.2">
      <c r="BH6968" s="25"/>
      <c r="BI6968" s="25"/>
      <c r="BJ6968" s="25"/>
      <c r="BK6968" s="25"/>
    </row>
    <row r="6969" spans="60:63" ht="14.25" x14ac:dyDescent="0.2">
      <c r="BH6969" s="25"/>
      <c r="BI6969" s="25"/>
      <c r="BJ6969" s="25"/>
      <c r="BK6969" s="25"/>
    </row>
    <row r="6970" spans="60:63" ht="14.25" x14ac:dyDescent="0.2">
      <c r="BH6970" s="25"/>
      <c r="BI6970" s="25"/>
      <c r="BJ6970" s="25"/>
      <c r="BK6970" s="25"/>
    </row>
    <row r="6971" spans="60:63" ht="14.25" x14ac:dyDescent="0.2">
      <c r="BH6971" s="25"/>
      <c r="BI6971" s="25"/>
      <c r="BJ6971" s="25"/>
      <c r="BK6971" s="25"/>
    </row>
    <row r="6972" spans="60:63" ht="14.25" x14ac:dyDescent="0.2">
      <c r="BH6972" s="25"/>
      <c r="BI6972" s="25"/>
      <c r="BJ6972" s="25"/>
      <c r="BK6972" s="25"/>
    </row>
    <row r="6973" spans="60:63" ht="14.25" x14ac:dyDescent="0.2">
      <c r="BH6973" s="25"/>
      <c r="BI6973" s="25"/>
      <c r="BJ6973" s="25"/>
      <c r="BK6973" s="25"/>
    </row>
    <row r="6974" spans="60:63" ht="14.25" x14ac:dyDescent="0.2">
      <c r="BH6974" s="25"/>
      <c r="BI6974" s="25"/>
      <c r="BJ6974" s="25"/>
      <c r="BK6974" s="25"/>
    </row>
    <row r="6975" spans="60:63" ht="14.25" x14ac:dyDescent="0.2">
      <c r="BH6975" s="25"/>
      <c r="BI6975" s="25"/>
      <c r="BJ6975" s="25"/>
      <c r="BK6975" s="25"/>
    </row>
    <row r="6976" spans="60:63" ht="14.25" x14ac:dyDescent="0.2">
      <c r="BH6976" s="25"/>
      <c r="BI6976" s="25"/>
      <c r="BJ6976" s="25"/>
      <c r="BK6976" s="25"/>
    </row>
    <row r="6977" spans="60:63" ht="14.25" x14ac:dyDescent="0.2">
      <c r="BH6977" s="25"/>
      <c r="BI6977" s="25"/>
      <c r="BJ6977" s="25"/>
      <c r="BK6977" s="25"/>
    </row>
    <row r="6978" spans="60:63" ht="14.25" x14ac:dyDescent="0.2">
      <c r="BH6978" s="25"/>
      <c r="BI6978" s="25"/>
      <c r="BJ6978" s="25"/>
      <c r="BK6978" s="25"/>
    </row>
    <row r="6979" spans="60:63" ht="14.25" x14ac:dyDescent="0.2">
      <c r="BH6979" s="25"/>
      <c r="BI6979" s="25"/>
      <c r="BJ6979" s="25"/>
      <c r="BK6979" s="25"/>
    </row>
    <row r="6980" spans="60:63" ht="14.25" x14ac:dyDescent="0.2">
      <c r="BH6980" s="25"/>
      <c r="BI6980" s="25"/>
      <c r="BJ6980" s="25"/>
      <c r="BK6980" s="25"/>
    </row>
    <row r="6981" spans="60:63" ht="14.25" x14ac:dyDescent="0.2">
      <c r="BH6981" s="25"/>
      <c r="BI6981" s="25"/>
      <c r="BJ6981" s="25"/>
      <c r="BK6981" s="25"/>
    </row>
    <row r="6982" spans="60:63" ht="14.25" x14ac:dyDescent="0.2">
      <c r="BH6982" s="25"/>
      <c r="BI6982" s="25"/>
      <c r="BJ6982" s="25"/>
      <c r="BK6982" s="25"/>
    </row>
    <row r="6983" spans="60:63" ht="14.25" x14ac:dyDescent="0.2">
      <c r="BH6983" s="25"/>
      <c r="BI6983" s="25"/>
      <c r="BJ6983" s="25"/>
      <c r="BK6983" s="25"/>
    </row>
    <row r="6984" spans="60:63" ht="14.25" x14ac:dyDescent="0.2">
      <c r="BH6984" s="25"/>
      <c r="BI6984" s="25"/>
      <c r="BJ6984" s="25"/>
      <c r="BK6984" s="25"/>
    </row>
    <row r="6985" spans="60:63" ht="14.25" x14ac:dyDescent="0.2">
      <c r="BH6985" s="25"/>
      <c r="BI6985" s="25"/>
      <c r="BJ6985" s="25"/>
      <c r="BK6985" s="25"/>
    </row>
    <row r="6986" spans="60:63" ht="14.25" x14ac:dyDescent="0.2">
      <c r="BH6986" s="25"/>
      <c r="BI6986" s="25"/>
      <c r="BJ6986" s="25"/>
      <c r="BK6986" s="25"/>
    </row>
    <row r="6987" spans="60:63" ht="14.25" x14ac:dyDescent="0.2">
      <c r="BH6987" s="25"/>
      <c r="BI6987" s="25"/>
      <c r="BJ6987" s="25"/>
      <c r="BK6987" s="25"/>
    </row>
    <row r="6988" spans="60:63" ht="14.25" x14ac:dyDescent="0.2">
      <c r="BH6988" s="25"/>
      <c r="BI6988" s="25"/>
      <c r="BJ6988" s="25"/>
      <c r="BK6988" s="25"/>
    </row>
    <row r="6989" spans="60:63" ht="14.25" x14ac:dyDescent="0.2">
      <c r="BH6989" s="25"/>
      <c r="BI6989" s="25"/>
      <c r="BJ6989" s="25"/>
      <c r="BK6989" s="25"/>
    </row>
    <row r="6990" spans="60:63" ht="14.25" x14ac:dyDescent="0.2">
      <c r="BH6990" s="25"/>
      <c r="BI6990" s="25"/>
      <c r="BJ6990" s="25"/>
      <c r="BK6990" s="25"/>
    </row>
    <row r="6991" spans="60:63" ht="14.25" x14ac:dyDescent="0.2">
      <c r="BH6991" s="25"/>
      <c r="BI6991" s="25"/>
      <c r="BJ6991" s="25"/>
      <c r="BK6991" s="25"/>
    </row>
    <row r="6992" spans="60:63" ht="14.25" x14ac:dyDescent="0.2">
      <c r="BH6992" s="25"/>
      <c r="BI6992" s="25"/>
      <c r="BJ6992" s="25"/>
      <c r="BK6992" s="25"/>
    </row>
    <row r="6993" spans="60:63" ht="14.25" x14ac:dyDescent="0.2">
      <c r="BH6993" s="25"/>
      <c r="BI6993" s="25"/>
      <c r="BJ6993" s="25"/>
      <c r="BK6993" s="25"/>
    </row>
    <row r="6994" spans="60:63" ht="14.25" x14ac:dyDescent="0.2">
      <c r="BH6994" s="25"/>
      <c r="BI6994" s="25"/>
      <c r="BJ6994" s="25"/>
      <c r="BK6994" s="25"/>
    </row>
    <row r="6995" spans="60:63" ht="14.25" x14ac:dyDescent="0.2">
      <c r="BH6995" s="25"/>
      <c r="BI6995" s="25"/>
      <c r="BJ6995" s="25"/>
      <c r="BK6995" s="25"/>
    </row>
    <row r="6996" spans="60:63" ht="14.25" x14ac:dyDescent="0.2">
      <c r="BH6996" s="25"/>
      <c r="BI6996" s="25"/>
      <c r="BJ6996" s="25"/>
      <c r="BK6996" s="25"/>
    </row>
    <row r="6997" spans="60:63" ht="14.25" x14ac:dyDescent="0.2">
      <c r="BH6997" s="25"/>
      <c r="BI6997" s="25"/>
      <c r="BJ6997" s="25"/>
      <c r="BK6997" s="25"/>
    </row>
    <row r="6998" spans="60:63" ht="14.25" x14ac:dyDescent="0.2">
      <c r="BH6998" s="25"/>
      <c r="BI6998" s="25"/>
      <c r="BJ6998" s="25"/>
      <c r="BK6998" s="25"/>
    </row>
    <row r="6999" spans="60:63" ht="14.25" x14ac:dyDescent="0.2">
      <c r="BH6999" s="25"/>
      <c r="BI6999" s="25"/>
      <c r="BJ6999" s="25"/>
      <c r="BK6999" s="25"/>
    </row>
    <row r="7000" spans="60:63" ht="14.25" x14ac:dyDescent="0.2">
      <c r="BH7000" s="25"/>
      <c r="BI7000" s="25"/>
      <c r="BJ7000" s="25"/>
      <c r="BK7000" s="25"/>
    </row>
    <row r="7001" spans="60:63" ht="14.25" x14ac:dyDescent="0.2">
      <c r="BH7001" s="25"/>
      <c r="BI7001" s="25"/>
      <c r="BJ7001" s="25"/>
      <c r="BK7001" s="25"/>
    </row>
    <row r="7002" spans="60:63" ht="14.25" x14ac:dyDescent="0.2">
      <c r="BH7002" s="25"/>
      <c r="BI7002" s="25"/>
      <c r="BJ7002" s="25"/>
      <c r="BK7002" s="25"/>
    </row>
    <row r="7003" spans="60:63" ht="14.25" x14ac:dyDescent="0.2">
      <c r="BH7003" s="25"/>
      <c r="BI7003" s="25"/>
      <c r="BJ7003" s="25"/>
      <c r="BK7003" s="25"/>
    </row>
    <row r="7004" spans="60:63" ht="14.25" x14ac:dyDescent="0.2">
      <c r="BH7004" s="25"/>
      <c r="BI7004" s="25"/>
      <c r="BJ7004" s="25"/>
      <c r="BK7004" s="25"/>
    </row>
    <row r="7005" spans="60:63" ht="14.25" x14ac:dyDescent="0.2">
      <c r="BH7005" s="25"/>
      <c r="BI7005" s="25"/>
      <c r="BJ7005" s="25"/>
      <c r="BK7005" s="25"/>
    </row>
    <row r="7006" spans="60:63" ht="14.25" x14ac:dyDescent="0.2">
      <c r="BH7006" s="25"/>
      <c r="BI7006" s="25"/>
      <c r="BJ7006" s="25"/>
      <c r="BK7006" s="25"/>
    </row>
    <row r="7007" spans="60:63" ht="14.25" x14ac:dyDescent="0.2">
      <c r="BH7007" s="25"/>
      <c r="BI7007" s="25"/>
      <c r="BJ7007" s="25"/>
      <c r="BK7007" s="25"/>
    </row>
    <row r="7008" spans="60:63" ht="14.25" x14ac:dyDescent="0.2">
      <c r="BH7008" s="25"/>
      <c r="BI7008" s="25"/>
      <c r="BJ7008" s="25"/>
      <c r="BK7008" s="25"/>
    </row>
    <row r="7009" spans="60:63" ht="14.25" x14ac:dyDescent="0.2">
      <c r="BH7009" s="25"/>
      <c r="BI7009" s="25"/>
      <c r="BJ7009" s="25"/>
      <c r="BK7009" s="25"/>
    </row>
    <row r="7010" spans="60:63" ht="14.25" x14ac:dyDescent="0.2">
      <c r="BH7010" s="25"/>
      <c r="BI7010" s="25"/>
      <c r="BJ7010" s="25"/>
      <c r="BK7010" s="25"/>
    </row>
    <row r="7011" spans="60:63" ht="14.25" x14ac:dyDescent="0.2">
      <c r="BH7011" s="25"/>
      <c r="BI7011" s="25"/>
      <c r="BJ7011" s="25"/>
      <c r="BK7011" s="25"/>
    </row>
    <row r="7012" spans="60:63" ht="14.25" x14ac:dyDescent="0.2">
      <c r="BH7012" s="25"/>
      <c r="BI7012" s="25"/>
      <c r="BJ7012" s="25"/>
      <c r="BK7012" s="25"/>
    </row>
    <row r="7013" spans="60:63" ht="14.25" x14ac:dyDescent="0.2">
      <c r="BH7013" s="25"/>
      <c r="BI7013" s="25"/>
      <c r="BJ7013" s="25"/>
      <c r="BK7013" s="25"/>
    </row>
    <row r="7014" spans="60:63" ht="14.25" x14ac:dyDescent="0.2">
      <c r="BH7014" s="25"/>
      <c r="BI7014" s="25"/>
      <c r="BJ7014" s="25"/>
      <c r="BK7014" s="25"/>
    </row>
    <row r="7015" spans="60:63" ht="14.25" x14ac:dyDescent="0.2">
      <c r="BH7015" s="25"/>
      <c r="BI7015" s="25"/>
      <c r="BJ7015" s="25"/>
      <c r="BK7015" s="25"/>
    </row>
    <row r="7016" spans="60:63" ht="14.25" x14ac:dyDescent="0.2">
      <c r="BH7016" s="25"/>
      <c r="BI7016" s="25"/>
      <c r="BJ7016" s="25"/>
      <c r="BK7016" s="25"/>
    </row>
    <row r="7017" spans="60:63" ht="14.25" x14ac:dyDescent="0.2">
      <c r="BH7017" s="25"/>
      <c r="BI7017" s="25"/>
      <c r="BJ7017" s="25"/>
      <c r="BK7017" s="25"/>
    </row>
    <row r="7018" spans="60:63" ht="14.25" x14ac:dyDescent="0.2">
      <c r="BH7018" s="25"/>
      <c r="BI7018" s="25"/>
      <c r="BJ7018" s="25"/>
      <c r="BK7018" s="25"/>
    </row>
    <row r="7019" spans="60:63" ht="14.25" x14ac:dyDescent="0.2">
      <c r="BH7019" s="25"/>
      <c r="BI7019" s="25"/>
      <c r="BJ7019" s="25"/>
      <c r="BK7019" s="25"/>
    </row>
    <row r="7020" spans="60:63" ht="14.25" x14ac:dyDescent="0.2">
      <c r="BH7020" s="25"/>
      <c r="BI7020" s="25"/>
      <c r="BJ7020" s="25"/>
      <c r="BK7020" s="25"/>
    </row>
    <row r="7021" spans="60:63" ht="14.25" x14ac:dyDescent="0.2">
      <c r="BH7021" s="25"/>
      <c r="BI7021" s="25"/>
      <c r="BJ7021" s="25"/>
      <c r="BK7021" s="25"/>
    </row>
    <row r="7022" spans="60:63" ht="14.25" x14ac:dyDescent="0.2">
      <c r="BH7022" s="25"/>
      <c r="BI7022" s="25"/>
      <c r="BJ7022" s="25"/>
      <c r="BK7022" s="25"/>
    </row>
    <row r="7023" spans="60:63" ht="14.25" x14ac:dyDescent="0.2">
      <c r="BH7023" s="25"/>
      <c r="BI7023" s="25"/>
      <c r="BJ7023" s="25"/>
      <c r="BK7023" s="25"/>
    </row>
    <row r="7024" spans="60:63" ht="14.25" x14ac:dyDescent="0.2">
      <c r="BH7024" s="25"/>
      <c r="BI7024" s="25"/>
      <c r="BJ7024" s="25"/>
      <c r="BK7024" s="25"/>
    </row>
    <row r="7025" spans="60:63" ht="14.25" x14ac:dyDescent="0.2">
      <c r="BH7025" s="25"/>
      <c r="BI7025" s="25"/>
      <c r="BJ7025" s="25"/>
      <c r="BK7025" s="25"/>
    </row>
    <row r="7026" spans="60:63" ht="14.25" x14ac:dyDescent="0.2">
      <c r="BH7026" s="25"/>
      <c r="BI7026" s="25"/>
      <c r="BJ7026" s="25"/>
      <c r="BK7026" s="25"/>
    </row>
    <row r="7027" spans="60:63" ht="14.25" x14ac:dyDescent="0.2">
      <c r="BH7027" s="25"/>
      <c r="BI7027" s="25"/>
      <c r="BJ7027" s="25"/>
      <c r="BK7027" s="25"/>
    </row>
    <row r="7028" spans="60:63" ht="14.25" x14ac:dyDescent="0.2">
      <c r="BH7028" s="25"/>
      <c r="BI7028" s="25"/>
      <c r="BJ7028" s="25"/>
      <c r="BK7028" s="25"/>
    </row>
    <row r="7029" spans="60:63" ht="14.25" x14ac:dyDescent="0.2">
      <c r="BH7029" s="25"/>
      <c r="BI7029" s="25"/>
      <c r="BJ7029" s="25"/>
      <c r="BK7029" s="25"/>
    </row>
    <row r="7030" spans="60:63" ht="14.25" x14ac:dyDescent="0.2">
      <c r="BH7030" s="25"/>
      <c r="BI7030" s="25"/>
      <c r="BJ7030" s="25"/>
      <c r="BK7030" s="25"/>
    </row>
    <row r="7031" spans="60:63" ht="14.25" x14ac:dyDescent="0.2">
      <c r="BH7031" s="25"/>
      <c r="BI7031" s="25"/>
      <c r="BJ7031" s="25"/>
      <c r="BK7031" s="25"/>
    </row>
    <row r="7032" spans="60:63" ht="14.25" x14ac:dyDescent="0.2">
      <c r="BH7032" s="25"/>
      <c r="BI7032" s="25"/>
      <c r="BJ7032" s="25"/>
      <c r="BK7032" s="25"/>
    </row>
    <row r="7033" spans="60:63" ht="14.25" x14ac:dyDescent="0.2">
      <c r="BH7033" s="25"/>
      <c r="BI7033" s="25"/>
      <c r="BJ7033" s="25"/>
      <c r="BK7033" s="25"/>
    </row>
    <row r="7034" spans="60:63" ht="14.25" x14ac:dyDescent="0.2">
      <c r="BH7034" s="25"/>
      <c r="BI7034" s="25"/>
      <c r="BJ7034" s="25"/>
      <c r="BK7034" s="25"/>
    </row>
    <row r="7035" spans="60:63" ht="14.25" x14ac:dyDescent="0.2">
      <c r="BH7035" s="25"/>
      <c r="BI7035" s="25"/>
      <c r="BJ7035" s="25"/>
      <c r="BK7035" s="25"/>
    </row>
    <row r="7036" spans="60:63" ht="14.25" x14ac:dyDescent="0.2">
      <c r="BH7036" s="25"/>
      <c r="BI7036" s="25"/>
      <c r="BJ7036" s="25"/>
      <c r="BK7036" s="25"/>
    </row>
    <row r="7037" spans="60:63" ht="14.25" x14ac:dyDescent="0.2">
      <c r="BH7037" s="25"/>
      <c r="BI7037" s="25"/>
      <c r="BJ7037" s="25"/>
      <c r="BK7037" s="25"/>
    </row>
    <row r="7038" spans="60:63" ht="14.25" x14ac:dyDescent="0.2">
      <c r="BH7038" s="25"/>
      <c r="BI7038" s="25"/>
      <c r="BJ7038" s="25"/>
      <c r="BK7038" s="25"/>
    </row>
    <row r="7039" spans="60:63" ht="14.25" x14ac:dyDescent="0.2">
      <c r="BH7039" s="25"/>
      <c r="BI7039" s="25"/>
      <c r="BJ7039" s="25"/>
      <c r="BK7039" s="25"/>
    </row>
    <row r="7040" spans="60:63" ht="14.25" x14ac:dyDescent="0.2">
      <c r="BH7040" s="25"/>
      <c r="BI7040" s="25"/>
      <c r="BJ7040" s="25"/>
      <c r="BK7040" s="25"/>
    </row>
    <row r="7041" spans="60:63" ht="14.25" x14ac:dyDescent="0.2">
      <c r="BH7041" s="25"/>
      <c r="BI7041" s="25"/>
      <c r="BJ7041" s="25"/>
      <c r="BK7041" s="25"/>
    </row>
    <row r="7042" spans="60:63" ht="14.25" x14ac:dyDescent="0.2">
      <c r="BH7042" s="25"/>
      <c r="BI7042" s="25"/>
      <c r="BJ7042" s="25"/>
      <c r="BK7042" s="25"/>
    </row>
    <row r="7043" spans="60:63" ht="14.25" x14ac:dyDescent="0.2">
      <c r="BH7043" s="25"/>
      <c r="BI7043" s="25"/>
      <c r="BJ7043" s="25"/>
      <c r="BK7043" s="25"/>
    </row>
    <row r="7044" spans="60:63" ht="14.25" x14ac:dyDescent="0.2">
      <c r="BH7044" s="25"/>
      <c r="BI7044" s="25"/>
      <c r="BJ7044" s="25"/>
      <c r="BK7044" s="25"/>
    </row>
    <row r="7045" spans="60:63" ht="14.25" x14ac:dyDescent="0.2">
      <c r="BH7045" s="25"/>
      <c r="BI7045" s="25"/>
      <c r="BJ7045" s="25"/>
      <c r="BK7045" s="25"/>
    </row>
    <row r="7046" spans="60:63" ht="14.25" x14ac:dyDescent="0.2">
      <c r="BH7046" s="25"/>
      <c r="BI7046" s="25"/>
      <c r="BJ7046" s="25"/>
      <c r="BK7046" s="25"/>
    </row>
    <row r="7047" spans="60:63" ht="14.25" x14ac:dyDescent="0.2">
      <c r="BH7047" s="25"/>
      <c r="BI7047" s="25"/>
      <c r="BJ7047" s="25"/>
      <c r="BK7047" s="25"/>
    </row>
    <row r="7048" spans="60:63" ht="14.25" x14ac:dyDescent="0.2">
      <c r="BH7048" s="25"/>
      <c r="BI7048" s="25"/>
      <c r="BJ7048" s="25"/>
      <c r="BK7048" s="25"/>
    </row>
    <row r="7049" spans="60:63" ht="14.25" x14ac:dyDescent="0.2">
      <c r="BH7049" s="25"/>
      <c r="BI7049" s="25"/>
      <c r="BJ7049" s="25"/>
      <c r="BK7049" s="25"/>
    </row>
    <row r="7050" spans="60:63" ht="14.25" x14ac:dyDescent="0.2">
      <c r="BH7050" s="25"/>
      <c r="BI7050" s="25"/>
      <c r="BJ7050" s="25"/>
      <c r="BK7050" s="25"/>
    </row>
    <row r="7051" spans="60:63" ht="14.25" x14ac:dyDescent="0.2">
      <c r="BH7051" s="25"/>
      <c r="BI7051" s="25"/>
      <c r="BJ7051" s="25"/>
      <c r="BK7051" s="25"/>
    </row>
    <row r="7052" spans="60:63" ht="14.25" x14ac:dyDescent="0.2">
      <c r="BH7052" s="25"/>
      <c r="BI7052" s="25"/>
      <c r="BJ7052" s="25"/>
      <c r="BK7052" s="25"/>
    </row>
    <row r="7053" spans="60:63" ht="14.25" x14ac:dyDescent="0.2">
      <c r="BH7053" s="25"/>
      <c r="BI7053" s="25"/>
      <c r="BJ7053" s="25"/>
      <c r="BK7053" s="25"/>
    </row>
    <row r="7054" spans="60:63" ht="14.25" x14ac:dyDescent="0.2">
      <c r="BH7054" s="25"/>
      <c r="BI7054" s="25"/>
      <c r="BJ7054" s="25"/>
      <c r="BK7054" s="25"/>
    </row>
    <row r="7055" spans="60:63" ht="14.25" x14ac:dyDescent="0.2">
      <c r="BH7055" s="25"/>
      <c r="BI7055" s="25"/>
      <c r="BJ7055" s="25"/>
      <c r="BK7055" s="25"/>
    </row>
    <row r="7056" spans="60:63" ht="14.25" x14ac:dyDescent="0.2">
      <c r="BH7056" s="25"/>
      <c r="BI7056" s="25"/>
      <c r="BJ7056" s="25"/>
      <c r="BK7056" s="25"/>
    </row>
    <row r="7057" spans="60:63" ht="14.25" x14ac:dyDescent="0.2">
      <c r="BH7057" s="25"/>
      <c r="BI7057" s="25"/>
      <c r="BJ7057" s="25"/>
      <c r="BK7057" s="25"/>
    </row>
    <row r="7058" spans="60:63" ht="14.25" x14ac:dyDescent="0.2">
      <c r="BH7058" s="25"/>
      <c r="BI7058" s="25"/>
      <c r="BJ7058" s="25"/>
      <c r="BK7058" s="25"/>
    </row>
    <row r="7059" spans="60:63" ht="14.25" x14ac:dyDescent="0.2">
      <c r="BH7059" s="25"/>
      <c r="BI7059" s="25"/>
      <c r="BJ7059" s="25"/>
      <c r="BK7059" s="25"/>
    </row>
    <row r="7060" spans="60:63" ht="14.25" x14ac:dyDescent="0.2">
      <c r="BH7060" s="25"/>
      <c r="BI7060" s="25"/>
      <c r="BJ7060" s="25"/>
      <c r="BK7060" s="25"/>
    </row>
    <row r="7061" spans="60:63" ht="14.25" x14ac:dyDescent="0.2">
      <c r="BH7061" s="25"/>
      <c r="BI7061" s="25"/>
      <c r="BJ7061" s="25"/>
      <c r="BK7061" s="25"/>
    </row>
    <row r="7062" spans="60:63" ht="14.25" x14ac:dyDescent="0.2">
      <c r="BH7062" s="25"/>
      <c r="BI7062" s="25"/>
      <c r="BJ7062" s="25"/>
      <c r="BK7062" s="25"/>
    </row>
    <row r="7063" spans="60:63" ht="14.25" x14ac:dyDescent="0.2">
      <c r="BH7063" s="25"/>
      <c r="BI7063" s="25"/>
      <c r="BJ7063" s="25"/>
      <c r="BK7063" s="25"/>
    </row>
    <row r="7064" spans="60:63" ht="14.25" x14ac:dyDescent="0.2">
      <c r="BH7064" s="25"/>
      <c r="BI7064" s="25"/>
      <c r="BJ7064" s="25"/>
      <c r="BK7064" s="25"/>
    </row>
    <row r="7065" spans="60:63" ht="14.25" x14ac:dyDescent="0.2">
      <c r="BH7065" s="25"/>
      <c r="BI7065" s="25"/>
      <c r="BJ7065" s="25"/>
      <c r="BK7065" s="25"/>
    </row>
    <row r="7066" spans="60:63" ht="14.25" x14ac:dyDescent="0.2">
      <c r="BH7066" s="25"/>
      <c r="BI7066" s="25"/>
      <c r="BJ7066" s="25"/>
      <c r="BK7066" s="25"/>
    </row>
    <row r="7067" spans="60:63" ht="14.25" x14ac:dyDescent="0.2">
      <c r="BH7067" s="25"/>
      <c r="BI7067" s="25"/>
      <c r="BJ7067" s="25"/>
      <c r="BK7067" s="25"/>
    </row>
    <row r="7068" spans="60:63" ht="14.25" x14ac:dyDescent="0.2">
      <c r="BH7068" s="25"/>
      <c r="BI7068" s="25"/>
      <c r="BJ7068" s="25"/>
      <c r="BK7068" s="25"/>
    </row>
    <row r="7069" spans="60:63" ht="14.25" x14ac:dyDescent="0.2">
      <c r="BH7069" s="25"/>
      <c r="BI7069" s="25"/>
      <c r="BJ7069" s="25"/>
      <c r="BK7069" s="25"/>
    </row>
    <row r="7070" spans="60:63" ht="14.25" x14ac:dyDescent="0.2">
      <c r="BH7070" s="25"/>
      <c r="BI7070" s="25"/>
      <c r="BJ7070" s="25"/>
      <c r="BK7070" s="25"/>
    </row>
    <row r="7071" spans="60:63" ht="14.25" x14ac:dyDescent="0.2">
      <c r="BH7071" s="25"/>
      <c r="BI7071" s="25"/>
      <c r="BJ7071" s="25"/>
      <c r="BK7071" s="25"/>
    </row>
    <row r="7072" spans="60:63" ht="14.25" x14ac:dyDescent="0.2">
      <c r="BH7072" s="25"/>
      <c r="BI7072" s="25"/>
      <c r="BJ7072" s="25"/>
      <c r="BK7072" s="25"/>
    </row>
    <row r="7073" spans="60:63" ht="14.25" x14ac:dyDescent="0.2">
      <c r="BH7073" s="25"/>
      <c r="BI7073" s="25"/>
      <c r="BJ7073" s="25"/>
      <c r="BK7073" s="25"/>
    </row>
    <row r="7074" spans="60:63" ht="14.25" x14ac:dyDescent="0.2">
      <c r="BH7074" s="25"/>
      <c r="BI7074" s="25"/>
      <c r="BJ7074" s="25"/>
      <c r="BK7074" s="25"/>
    </row>
    <row r="7075" spans="60:63" ht="14.25" x14ac:dyDescent="0.2">
      <c r="BH7075" s="25"/>
      <c r="BI7075" s="25"/>
      <c r="BJ7075" s="25"/>
      <c r="BK7075" s="25"/>
    </row>
    <row r="7076" spans="60:63" ht="14.25" x14ac:dyDescent="0.2">
      <c r="BH7076" s="25"/>
      <c r="BI7076" s="25"/>
      <c r="BJ7076" s="25"/>
      <c r="BK7076" s="25"/>
    </row>
    <row r="7077" spans="60:63" ht="14.25" x14ac:dyDescent="0.2">
      <c r="BH7077" s="25"/>
      <c r="BI7077" s="25"/>
      <c r="BJ7077" s="25"/>
      <c r="BK7077" s="25"/>
    </row>
    <row r="7078" spans="60:63" ht="14.25" x14ac:dyDescent="0.2">
      <c r="BH7078" s="25"/>
      <c r="BI7078" s="25"/>
      <c r="BJ7078" s="25"/>
      <c r="BK7078" s="25"/>
    </row>
    <row r="7079" spans="60:63" ht="14.25" x14ac:dyDescent="0.2">
      <c r="BH7079" s="25"/>
      <c r="BI7079" s="25"/>
      <c r="BJ7079" s="25"/>
      <c r="BK7079" s="25"/>
    </row>
    <row r="7080" spans="60:63" ht="14.25" x14ac:dyDescent="0.2">
      <c r="BH7080" s="25"/>
      <c r="BI7080" s="25"/>
      <c r="BJ7080" s="25"/>
      <c r="BK7080" s="25"/>
    </row>
    <row r="7081" spans="60:63" ht="14.25" x14ac:dyDescent="0.2">
      <c r="BH7081" s="25"/>
      <c r="BI7081" s="25"/>
      <c r="BJ7081" s="25"/>
      <c r="BK7081" s="25"/>
    </row>
    <row r="7082" spans="60:63" ht="14.25" x14ac:dyDescent="0.2">
      <c r="BH7082" s="25"/>
      <c r="BI7082" s="25"/>
      <c r="BJ7082" s="25"/>
      <c r="BK7082" s="25"/>
    </row>
    <row r="7083" spans="60:63" ht="14.25" x14ac:dyDescent="0.2">
      <c r="BH7083" s="25"/>
      <c r="BI7083" s="25"/>
      <c r="BJ7083" s="25"/>
      <c r="BK7083" s="25"/>
    </row>
    <row r="7084" spans="60:63" ht="14.25" x14ac:dyDescent="0.2">
      <c r="BH7084" s="25"/>
      <c r="BI7084" s="25"/>
      <c r="BJ7084" s="25"/>
      <c r="BK7084" s="25"/>
    </row>
    <row r="7085" spans="60:63" ht="14.25" x14ac:dyDescent="0.2">
      <c r="BH7085" s="25"/>
      <c r="BI7085" s="25"/>
      <c r="BJ7085" s="25"/>
      <c r="BK7085" s="25"/>
    </row>
    <row r="7086" spans="60:63" ht="14.25" x14ac:dyDescent="0.2">
      <c r="BH7086" s="25"/>
      <c r="BI7086" s="25"/>
      <c r="BJ7086" s="25"/>
      <c r="BK7086" s="25"/>
    </row>
    <row r="7087" spans="60:63" ht="14.25" x14ac:dyDescent="0.2">
      <c r="BH7087" s="25"/>
      <c r="BI7087" s="25"/>
      <c r="BJ7087" s="25"/>
      <c r="BK7087" s="25"/>
    </row>
    <row r="7088" spans="60:63" ht="14.25" x14ac:dyDescent="0.2">
      <c r="BH7088" s="25"/>
      <c r="BI7088" s="25"/>
      <c r="BJ7088" s="25"/>
      <c r="BK7088" s="25"/>
    </row>
    <row r="7089" spans="60:63" ht="14.25" x14ac:dyDescent="0.2">
      <c r="BH7089" s="25"/>
      <c r="BI7089" s="25"/>
      <c r="BJ7089" s="25"/>
      <c r="BK7089" s="25"/>
    </row>
    <row r="7090" spans="60:63" ht="14.25" x14ac:dyDescent="0.2">
      <c r="BH7090" s="25"/>
      <c r="BI7090" s="25"/>
      <c r="BJ7090" s="25"/>
      <c r="BK7090" s="25"/>
    </row>
    <row r="7091" spans="60:63" ht="14.25" x14ac:dyDescent="0.2">
      <c r="BH7091" s="25"/>
      <c r="BI7091" s="25"/>
      <c r="BJ7091" s="25"/>
      <c r="BK7091" s="25"/>
    </row>
    <row r="7092" spans="60:63" ht="14.25" x14ac:dyDescent="0.2">
      <c r="BH7092" s="25"/>
      <c r="BI7092" s="25"/>
      <c r="BJ7092" s="25"/>
      <c r="BK7092" s="25"/>
    </row>
    <row r="7093" spans="60:63" ht="14.25" x14ac:dyDescent="0.2">
      <c r="BH7093" s="25"/>
      <c r="BI7093" s="25"/>
      <c r="BJ7093" s="25"/>
      <c r="BK7093" s="25"/>
    </row>
    <row r="7094" spans="60:63" ht="14.25" x14ac:dyDescent="0.2">
      <c r="BH7094" s="25"/>
      <c r="BI7094" s="25"/>
      <c r="BJ7094" s="25"/>
      <c r="BK7094" s="25"/>
    </row>
    <row r="7095" spans="60:63" ht="14.25" x14ac:dyDescent="0.2">
      <c r="BH7095" s="25"/>
      <c r="BI7095" s="25"/>
      <c r="BJ7095" s="25"/>
      <c r="BK7095" s="25"/>
    </row>
    <row r="7096" spans="60:63" ht="14.25" x14ac:dyDescent="0.2">
      <c r="BH7096" s="25"/>
      <c r="BI7096" s="25"/>
      <c r="BJ7096" s="25"/>
      <c r="BK7096" s="25"/>
    </row>
    <row r="7097" spans="60:63" ht="14.25" x14ac:dyDescent="0.2">
      <c r="BH7097" s="25"/>
      <c r="BI7097" s="25"/>
      <c r="BJ7097" s="25"/>
      <c r="BK7097" s="25"/>
    </row>
    <row r="7098" spans="60:63" ht="14.25" x14ac:dyDescent="0.2">
      <c r="BH7098" s="25"/>
      <c r="BI7098" s="25"/>
      <c r="BJ7098" s="25"/>
      <c r="BK7098" s="25"/>
    </row>
    <row r="7099" spans="60:63" ht="14.25" x14ac:dyDescent="0.2">
      <c r="BH7099" s="25"/>
      <c r="BI7099" s="25"/>
      <c r="BJ7099" s="25"/>
      <c r="BK7099" s="25"/>
    </row>
    <row r="7100" spans="60:63" ht="14.25" x14ac:dyDescent="0.2">
      <c r="BH7100" s="25"/>
      <c r="BI7100" s="25"/>
      <c r="BJ7100" s="25"/>
      <c r="BK7100" s="25"/>
    </row>
    <row r="7101" spans="60:63" ht="14.25" x14ac:dyDescent="0.2">
      <c r="BH7101" s="25"/>
      <c r="BI7101" s="25"/>
      <c r="BJ7101" s="25"/>
      <c r="BK7101" s="25"/>
    </row>
    <row r="7102" spans="60:63" ht="14.25" x14ac:dyDescent="0.2">
      <c r="BH7102" s="25"/>
      <c r="BI7102" s="25"/>
      <c r="BJ7102" s="25"/>
      <c r="BK7102" s="25"/>
    </row>
    <row r="7103" spans="60:63" ht="14.25" x14ac:dyDescent="0.2">
      <c r="BH7103" s="25"/>
      <c r="BI7103" s="25"/>
      <c r="BJ7103" s="25"/>
      <c r="BK7103" s="25"/>
    </row>
    <row r="7104" spans="60:63" ht="14.25" x14ac:dyDescent="0.2">
      <c r="BH7104" s="25"/>
      <c r="BI7104" s="25"/>
      <c r="BJ7104" s="25"/>
      <c r="BK7104" s="25"/>
    </row>
    <row r="7105" spans="60:63" ht="14.25" x14ac:dyDescent="0.2">
      <c r="BH7105" s="25"/>
      <c r="BI7105" s="25"/>
      <c r="BJ7105" s="25"/>
      <c r="BK7105" s="25"/>
    </row>
    <row r="7106" spans="60:63" ht="14.25" x14ac:dyDescent="0.2">
      <c r="BH7106" s="25"/>
      <c r="BI7106" s="25"/>
      <c r="BJ7106" s="25"/>
      <c r="BK7106" s="25"/>
    </row>
    <row r="7107" spans="60:63" ht="14.25" x14ac:dyDescent="0.2">
      <c r="BH7107" s="25"/>
      <c r="BI7107" s="25"/>
      <c r="BJ7107" s="25"/>
      <c r="BK7107" s="25"/>
    </row>
    <row r="7108" spans="60:63" ht="14.25" x14ac:dyDescent="0.2">
      <c r="BH7108" s="25"/>
      <c r="BI7108" s="25"/>
      <c r="BJ7108" s="25"/>
      <c r="BK7108" s="25"/>
    </row>
    <row r="7109" spans="60:63" ht="14.25" x14ac:dyDescent="0.2">
      <c r="BH7109" s="25"/>
      <c r="BI7109" s="25"/>
      <c r="BJ7109" s="25"/>
      <c r="BK7109" s="25"/>
    </row>
    <row r="7110" spans="60:63" ht="14.25" x14ac:dyDescent="0.2">
      <c r="BH7110" s="25"/>
      <c r="BI7110" s="25"/>
      <c r="BJ7110" s="25"/>
      <c r="BK7110" s="25"/>
    </row>
    <row r="7111" spans="60:63" ht="14.25" x14ac:dyDescent="0.2">
      <c r="BH7111" s="25"/>
      <c r="BI7111" s="25"/>
      <c r="BJ7111" s="25"/>
      <c r="BK7111" s="25"/>
    </row>
    <row r="7112" spans="60:63" ht="14.25" x14ac:dyDescent="0.2">
      <c r="BH7112" s="25"/>
      <c r="BI7112" s="25"/>
      <c r="BJ7112" s="25"/>
      <c r="BK7112" s="25"/>
    </row>
    <row r="7113" spans="60:63" ht="14.25" x14ac:dyDescent="0.2">
      <c r="BH7113" s="25"/>
      <c r="BI7113" s="25"/>
      <c r="BJ7113" s="25"/>
      <c r="BK7113" s="25"/>
    </row>
    <row r="7114" spans="60:63" ht="14.25" x14ac:dyDescent="0.2">
      <c r="BH7114" s="25"/>
      <c r="BI7114" s="25"/>
      <c r="BJ7114" s="25"/>
      <c r="BK7114" s="25"/>
    </row>
    <row r="7115" spans="60:63" ht="14.25" x14ac:dyDescent="0.2">
      <c r="BH7115" s="25"/>
      <c r="BI7115" s="25"/>
      <c r="BJ7115" s="25"/>
      <c r="BK7115" s="25"/>
    </row>
    <row r="7116" spans="60:63" ht="14.25" x14ac:dyDescent="0.2">
      <c r="BH7116" s="25"/>
      <c r="BI7116" s="25"/>
      <c r="BJ7116" s="25"/>
      <c r="BK7116" s="25"/>
    </row>
    <row r="7117" spans="60:63" ht="14.25" x14ac:dyDescent="0.2">
      <c r="BH7117" s="25"/>
      <c r="BI7117" s="25"/>
      <c r="BJ7117" s="25"/>
      <c r="BK7117" s="25"/>
    </row>
    <row r="7118" spans="60:63" ht="14.25" x14ac:dyDescent="0.2">
      <c r="BH7118" s="25"/>
      <c r="BI7118" s="25"/>
      <c r="BJ7118" s="25"/>
      <c r="BK7118" s="25"/>
    </row>
    <row r="7119" spans="60:63" ht="14.25" x14ac:dyDescent="0.2">
      <c r="BH7119" s="25"/>
      <c r="BI7119" s="25"/>
      <c r="BJ7119" s="25"/>
      <c r="BK7119" s="25"/>
    </row>
    <row r="7120" spans="60:63" ht="14.25" x14ac:dyDescent="0.2">
      <c r="BH7120" s="25"/>
      <c r="BI7120" s="25"/>
      <c r="BJ7120" s="25"/>
      <c r="BK7120" s="25"/>
    </row>
    <row r="7121" spans="60:63" ht="14.25" x14ac:dyDescent="0.2">
      <c r="BH7121" s="25"/>
      <c r="BI7121" s="25"/>
      <c r="BJ7121" s="25"/>
      <c r="BK7121" s="25"/>
    </row>
    <row r="7122" spans="60:63" ht="14.25" x14ac:dyDescent="0.2">
      <c r="BH7122" s="25"/>
      <c r="BI7122" s="25"/>
      <c r="BJ7122" s="25"/>
      <c r="BK7122" s="25"/>
    </row>
    <row r="7123" spans="60:63" ht="14.25" x14ac:dyDescent="0.2">
      <c r="BH7123" s="25"/>
      <c r="BI7123" s="25"/>
      <c r="BJ7123" s="25"/>
      <c r="BK7123" s="25"/>
    </row>
    <row r="7124" spans="60:63" ht="14.25" x14ac:dyDescent="0.2">
      <c r="BH7124" s="25"/>
      <c r="BI7124" s="25"/>
      <c r="BJ7124" s="25"/>
      <c r="BK7124" s="25"/>
    </row>
    <row r="7125" spans="60:63" ht="14.25" x14ac:dyDescent="0.2">
      <c r="BH7125" s="25"/>
      <c r="BI7125" s="25"/>
      <c r="BJ7125" s="25"/>
      <c r="BK7125" s="25"/>
    </row>
    <row r="7126" spans="60:63" ht="14.25" x14ac:dyDescent="0.2">
      <c r="BH7126" s="25"/>
      <c r="BI7126" s="25"/>
      <c r="BJ7126" s="25"/>
      <c r="BK7126" s="25"/>
    </row>
    <row r="7127" spans="60:63" ht="14.25" x14ac:dyDescent="0.2">
      <c r="BH7127" s="25"/>
      <c r="BI7127" s="25"/>
      <c r="BJ7127" s="25"/>
      <c r="BK7127" s="25"/>
    </row>
    <row r="7128" spans="60:63" ht="14.25" x14ac:dyDescent="0.2">
      <c r="BH7128" s="25"/>
      <c r="BI7128" s="25"/>
      <c r="BJ7128" s="25"/>
      <c r="BK7128" s="25"/>
    </row>
    <row r="7129" spans="60:63" ht="14.25" x14ac:dyDescent="0.2">
      <c r="BH7129" s="25"/>
      <c r="BI7129" s="25"/>
      <c r="BJ7129" s="25"/>
      <c r="BK7129" s="25"/>
    </row>
    <row r="7130" spans="60:63" ht="14.25" x14ac:dyDescent="0.2">
      <c r="BH7130" s="25"/>
      <c r="BI7130" s="25"/>
      <c r="BJ7130" s="25"/>
      <c r="BK7130" s="25"/>
    </row>
    <row r="7131" spans="60:63" ht="14.25" x14ac:dyDescent="0.2">
      <c r="BH7131" s="25"/>
      <c r="BI7131" s="25"/>
      <c r="BJ7131" s="25"/>
      <c r="BK7131" s="25"/>
    </row>
    <row r="7132" spans="60:63" ht="14.25" x14ac:dyDescent="0.2">
      <c r="BH7132" s="25"/>
      <c r="BI7132" s="25"/>
      <c r="BJ7132" s="25"/>
      <c r="BK7132" s="25"/>
    </row>
    <row r="7133" spans="60:63" ht="14.25" x14ac:dyDescent="0.2">
      <c r="BH7133" s="25"/>
      <c r="BI7133" s="25"/>
      <c r="BJ7133" s="25"/>
      <c r="BK7133" s="25"/>
    </row>
    <row r="7134" spans="60:63" ht="14.25" x14ac:dyDescent="0.2">
      <c r="BH7134" s="25"/>
      <c r="BI7134" s="25"/>
      <c r="BJ7134" s="25"/>
      <c r="BK7134" s="25"/>
    </row>
    <row r="7135" spans="60:63" ht="14.25" x14ac:dyDescent="0.2">
      <c r="BH7135" s="25"/>
      <c r="BI7135" s="25"/>
      <c r="BJ7135" s="25"/>
      <c r="BK7135" s="25"/>
    </row>
    <row r="7136" spans="60:63" ht="14.25" x14ac:dyDescent="0.2">
      <c r="BH7136" s="25"/>
      <c r="BI7136" s="25"/>
      <c r="BJ7136" s="25"/>
      <c r="BK7136" s="25"/>
    </row>
    <row r="7137" spans="60:63" ht="14.25" x14ac:dyDescent="0.2">
      <c r="BH7137" s="25"/>
      <c r="BI7137" s="25"/>
      <c r="BJ7137" s="25"/>
      <c r="BK7137" s="25"/>
    </row>
    <row r="7138" spans="60:63" ht="14.25" x14ac:dyDescent="0.2">
      <c r="BH7138" s="25"/>
      <c r="BI7138" s="25"/>
      <c r="BJ7138" s="25"/>
      <c r="BK7138" s="25"/>
    </row>
    <row r="7139" spans="60:63" ht="14.25" x14ac:dyDescent="0.2">
      <c r="BH7139" s="25"/>
      <c r="BI7139" s="25"/>
      <c r="BJ7139" s="25"/>
      <c r="BK7139" s="25"/>
    </row>
    <row r="7140" spans="60:63" ht="14.25" x14ac:dyDescent="0.2">
      <c r="BH7140" s="25"/>
      <c r="BI7140" s="25"/>
      <c r="BJ7140" s="25"/>
      <c r="BK7140" s="25"/>
    </row>
    <row r="7141" spans="60:63" ht="14.25" x14ac:dyDescent="0.2">
      <c r="BH7141" s="25"/>
      <c r="BI7141" s="25"/>
      <c r="BJ7141" s="25"/>
      <c r="BK7141" s="25"/>
    </row>
    <row r="7142" spans="60:63" ht="14.25" x14ac:dyDescent="0.2">
      <c r="BH7142" s="25"/>
      <c r="BI7142" s="25"/>
      <c r="BJ7142" s="25"/>
      <c r="BK7142" s="25"/>
    </row>
    <row r="7143" spans="60:63" ht="14.25" x14ac:dyDescent="0.2">
      <c r="BH7143" s="25"/>
      <c r="BI7143" s="25"/>
      <c r="BJ7143" s="25"/>
      <c r="BK7143" s="25"/>
    </row>
    <row r="7144" spans="60:63" ht="14.25" x14ac:dyDescent="0.2">
      <c r="BH7144" s="25"/>
      <c r="BI7144" s="25"/>
      <c r="BJ7144" s="25"/>
      <c r="BK7144" s="25"/>
    </row>
    <row r="7145" spans="60:63" ht="14.25" x14ac:dyDescent="0.2">
      <c r="BH7145" s="25"/>
      <c r="BI7145" s="25"/>
      <c r="BJ7145" s="25"/>
      <c r="BK7145" s="25"/>
    </row>
    <row r="7146" spans="60:63" ht="14.25" x14ac:dyDescent="0.2">
      <c r="BH7146" s="25"/>
      <c r="BI7146" s="25"/>
      <c r="BJ7146" s="25"/>
      <c r="BK7146" s="25"/>
    </row>
    <row r="7147" spans="60:63" ht="14.25" x14ac:dyDescent="0.2">
      <c r="BH7147" s="25"/>
      <c r="BI7147" s="25"/>
      <c r="BJ7147" s="25"/>
      <c r="BK7147" s="25"/>
    </row>
    <row r="7148" spans="60:63" ht="14.25" x14ac:dyDescent="0.2">
      <c r="BH7148" s="25"/>
      <c r="BI7148" s="25"/>
      <c r="BJ7148" s="25"/>
      <c r="BK7148" s="25"/>
    </row>
    <row r="7149" spans="60:63" ht="14.25" x14ac:dyDescent="0.2">
      <c r="BH7149" s="25"/>
      <c r="BI7149" s="25"/>
      <c r="BJ7149" s="25"/>
      <c r="BK7149" s="25"/>
    </row>
    <row r="7150" spans="60:63" ht="14.25" x14ac:dyDescent="0.2">
      <c r="BH7150" s="25"/>
      <c r="BI7150" s="25"/>
      <c r="BJ7150" s="25"/>
      <c r="BK7150" s="25"/>
    </row>
    <row r="7151" spans="60:63" ht="14.25" x14ac:dyDescent="0.2">
      <c r="BH7151" s="25"/>
      <c r="BI7151" s="25"/>
      <c r="BJ7151" s="25"/>
      <c r="BK7151" s="25"/>
    </row>
    <row r="7152" spans="60:63" ht="14.25" x14ac:dyDescent="0.2">
      <c r="BH7152" s="25"/>
      <c r="BI7152" s="25"/>
      <c r="BJ7152" s="25"/>
      <c r="BK7152" s="25"/>
    </row>
    <row r="7153" spans="60:63" ht="14.25" x14ac:dyDescent="0.2">
      <c r="BH7153" s="25"/>
      <c r="BI7153" s="25"/>
      <c r="BJ7153" s="25"/>
      <c r="BK7153" s="25"/>
    </row>
    <row r="7154" spans="60:63" ht="14.25" x14ac:dyDescent="0.2">
      <c r="BH7154" s="25"/>
      <c r="BI7154" s="25"/>
      <c r="BJ7154" s="25"/>
      <c r="BK7154" s="25"/>
    </row>
    <row r="7155" spans="60:63" ht="14.25" x14ac:dyDescent="0.2">
      <c r="BH7155" s="25"/>
      <c r="BI7155" s="25"/>
      <c r="BJ7155" s="25"/>
      <c r="BK7155" s="25"/>
    </row>
    <row r="7156" spans="60:63" ht="14.25" x14ac:dyDescent="0.2">
      <c r="BH7156" s="25"/>
      <c r="BI7156" s="25"/>
      <c r="BJ7156" s="25"/>
      <c r="BK7156" s="25"/>
    </row>
    <row r="7157" spans="60:63" ht="14.25" x14ac:dyDescent="0.2">
      <c r="BH7157" s="25"/>
      <c r="BI7157" s="25"/>
      <c r="BJ7157" s="25"/>
      <c r="BK7157" s="25"/>
    </row>
    <row r="7158" spans="60:63" ht="14.25" x14ac:dyDescent="0.2">
      <c r="BH7158" s="25"/>
      <c r="BI7158" s="25"/>
      <c r="BJ7158" s="25"/>
      <c r="BK7158" s="25"/>
    </row>
    <row r="7159" spans="60:63" ht="14.25" x14ac:dyDescent="0.2">
      <c r="BH7159" s="25"/>
      <c r="BI7159" s="25"/>
      <c r="BJ7159" s="25"/>
      <c r="BK7159" s="25"/>
    </row>
    <row r="7160" spans="60:63" ht="14.25" x14ac:dyDescent="0.2">
      <c r="BH7160" s="25"/>
      <c r="BI7160" s="25"/>
      <c r="BJ7160" s="25"/>
      <c r="BK7160" s="25"/>
    </row>
    <row r="7161" spans="60:63" ht="14.25" x14ac:dyDescent="0.2">
      <c r="BH7161" s="25"/>
      <c r="BI7161" s="25"/>
      <c r="BJ7161" s="25"/>
      <c r="BK7161" s="25"/>
    </row>
    <row r="7162" spans="60:63" ht="14.25" x14ac:dyDescent="0.2">
      <c r="BH7162" s="25"/>
      <c r="BI7162" s="25"/>
      <c r="BJ7162" s="25"/>
      <c r="BK7162" s="25"/>
    </row>
    <row r="7163" spans="60:63" ht="14.25" x14ac:dyDescent="0.2">
      <c r="BH7163" s="25"/>
      <c r="BI7163" s="25"/>
      <c r="BJ7163" s="25"/>
      <c r="BK7163" s="25"/>
    </row>
    <row r="7164" spans="60:63" ht="14.25" x14ac:dyDescent="0.2">
      <c r="BH7164" s="25"/>
      <c r="BI7164" s="25"/>
      <c r="BJ7164" s="25"/>
      <c r="BK7164" s="25"/>
    </row>
    <row r="7165" spans="60:63" ht="14.25" x14ac:dyDescent="0.2">
      <c r="BH7165" s="25"/>
      <c r="BI7165" s="25"/>
      <c r="BJ7165" s="25"/>
      <c r="BK7165" s="25"/>
    </row>
    <row r="7166" spans="60:63" ht="14.25" x14ac:dyDescent="0.2">
      <c r="BH7166" s="25"/>
      <c r="BI7166" s="25"/>
      <c r="BJ7166" s="25"/>
      <c r="BK7166" s="25"/>
    </row>
    <row r="7167" spans="60:63" ht="14.25" x14ac:dyDescent="0.2">
      <c r="BH7167" s="25"/>
      <c r="BI7167" s="25"/>
      <c r="BJ7167" s="25"/>
      <c r="BK7167" s="25"/>
    </row>
    <row r="7168" spans="60:63" ht="14.25" x14ac:dyDescent="0.2">
      <c r="BH7168" s="25"/>
      <c r="BI7168" s="25"/>
      <c r="BJ7168" s="25"/>
      <c r="BK7168" s="25"/>
    </row>
    <row r="7169" spans="60:63" ht="14.25" x14ac:dyDescent="0.2">
      <c r="BH7169" s="25"/>
      <c r="BI7169" s="25"/>
      <c r="BJ7169" s="25"/>
      <c r="BK7169" s="25"/>
    </row>
    <row r="7170" spans="60:63" ht="14.25" x14ac:dyDescent="0.2">
      <c r="BH7170" s="25"/>
      <c r="BI7170" s="25"/>
      <c r="BJ7170" s="25"/>
      <c r="BK7170" s="25"/>
    </row>
    <row r="7171" spans="60:63" ht="14.25" x14ac:dyDescent="0.2">
      <c r="BH7171" s="25"/>
      <c r="BI7171" s="25"/>
      <c r="BJ7171" s="25"/>
      <c r="BK7171" s="25"/>
    </row>
    <row r="7172" spans="60:63" ht="14.25" x14ac:dyDescent="0.2">
      <c r="BH7172" s="25"/>
      <c r="BI7172" s="25"/>
      <c r="BJ7172" s="25"/>
      <c r="BK7172" s="25"/>
    </row>
    <row r="7173" spans="60:63" ht="14.25" x14ac:dyDescent="0.2">
      <c r="BH7173" s="25"/>
      <c r="BI7173" s="25"/>
      <c r="BJ7173" s="25"/>
      <c r="BK7173" s="25"/>
    </row>
    <row r="7174" spans="60:63" ht="14.25" x14ac:dyDescent="0.2">
      <c r="BH7174" s="25"/>
      <c r="BI7174" s="25"/>
      <c r="BJ7174" s="25"/>
      <c r="BK7174" s="25"/>
    </row>
    <row r="7175" spans="60:63" ht="14.25" x14ac:dyDescent="0.2">
      <c r="BH7175" s="25"/>
      <c r="BI7175" s="25"/>
      <c r="BJ7175" s="25"/>
      <c r="BK7175" s="25"/>
    </row>
    <row r="7176" spans="60:63" ht="14.25" x14ac:dyDescent="0.2">
      <c r="BH7176" s="25"/>
      <c r="BI7176" s="25"/>
      <c r="BJ7176" s="25"/>
      <c r="BK7176" s="25"/>
    </row>
    <row r="7177" spans="60:63" ht="14.25" x14ac:dyDescent="0.2">
      <c r="BH7177" s="25"/>
      <c r="BI7177" s="25"/>
      <c r="BJ7177" s="25"/>
      <c r="BK7177" s="25"/>
    </row>
    <row r="7178" spans="60:63" ht="14.25" x14ac:dyDescent="0.2">
      <c r="BH7178" s="25"/>
      <c r="BI7178" s="25"/>
      <c r="BJ7178" s="25"/>
      <c r="BK7178" s="25"/>
    </row>
    <row r="7179" spans="60:63" ht="14.25" x14ac:dyDescent="0.2">
      <c r="BH7179" s="25"/>
      <c r="BI7179" s="25"/>
      <c r="BJ7179" s="25"/>
      <c r="BK7179" s="25"/>
    </row>
    <row r="7180" spans="60:63" ht="14.25" x14ac:dyDescent="0.2">
      <c r="BH7180" s="25"/>
      <c r="BI7180" s="25"/>
      <c r="BJ7180" s="25"/>
      <c r="BK7180" s="25"/>
    </row>
    <row r="7181" spans="60:63" ht="14.25" x14ac:dyDescent="0.2">
      <c r="BH7181" s="25"/>
      <c r="BI7181" s="25"/>
      <c r="BJ7181" s="25"/>
      <c r="BK7181" s="25"/>
    </row>
    <row r="7182" spans="60:63" ht="14.25" x14ac:dyDescent="0.2">
      <c r="BH7182" s="25"/>
      <c r="BI7182" s="25"/>
      <c r="BJ7182" s="25"/>
      <c r="BK7182" s="25"/>
    </row>
    <row r="7183" spans="60:63" ht="14.25" x14ac:dyDescent="0.2">
      <c r="BH7183" s="25"/>
      <c r="BI7183" s="25"/>
      <c r="BJ7183" s="25"/>
      <c r="BK7183" s="25"/>
    </row>
    <row r="7184" spans="60:63" ht="14.25" x14ac:dyDescent="0.2">
      <c r="BH7184" s="25"/>
      <c r="BI7184" s="25"/>
      <c r="BJ7184" s="25"/>
      <c r="BK7184" s="25"/>
    </row>
    <row r="7185" spans="60:63" ht="14.25" x14ac:dyDescent="0.2">
      <c r="BH7185" s="25"/>
      <c r="BI7185" s="25"/>
      <c r="BJ7185" s="25"/>
      <c r="BK7185" s="25"/>
    </row>
    <row r="7186" spans="60:63" ht="14.25" x14ac:dyDescent="0.2">
      <c r="BH7186" s="25"/>
      <c r="BI7186" s="25"/>
      <c r="BJ7186" s="25"/>
      <c r="BK7186" s="25"/>
    </row>
    <row r="7187" spans="60:63" ht="14.25" x14ac:dyDescent="0.2">
      <c r="BH7187" s="25"/>
      <c r="BI7187" s="25"/>
      <c r="BJ7187" s="25"/>
      <c r="BK7187" s="25"/>
    </row>
    <row r="7188" spans="60:63" ht="14.25" x14ac:dyDescent="0.2">
      <c r="BH7188" s="25"/>
      <c r="BI7188" s="25"/>
      <c r="BJ7188" s="25"/>
      <c r="BK7188" s="25"/>
    </row>
    <row r="7189" spans="60:63" ht="14.25" x14ac:dyDescent="0.2">
      <c r="BH7189" s="25"/>
      <c r="BI7189" s="25"/>
      <c r="BJ7189" s="25"/>
      <c r="BK7189" s="25"/>
    </row>
    <row r="7190" spans="60:63" ht="14.25" x14ac:dyDescent="0.2">
      <c r="BH7190" s="25"/>
      <c r="BI7190" s="25"/>
      <c r="BJ7190" s="25"/>
      <c r="BK7190" s="25"/>
    </row>
    <row r="7191" spans="60:63" ht="14.25" x14ac:dyDescent="0.2">
      <c r="BH7191" s="25"/>
      <c r="BI7191" s="25"/>
      <c r="BJ7191" s="25"/>
      <c r="BK7191" s="25"/>
    </row>
    <row r="7192" spans="60:63" ht="14.25" x14ac:dyDescent="0.2">
      <c r="BH7192" s="25"/>
      <c r="BI7192" s="25"/>
      <c r="BJ7192" s="25"/>
      <c r="BK7192" s="25"/>
    </row>
    <row r="7193" spans="60:63" ht="14.25" x14ac:dyDescent="0.2">
      <c r="BH7193" s="25"/>
      <c r="BI7193" s="25"/>
      <c r="BJ7193" s="25"/>
      <c r="BK7193" s="25"/>
    </row>
    <row r="7194" spans="60:63" ht="14.25" x14ac:dyDescent="0.2">
      <c r="BH7194" s="25"/>
      <c r="BI7194" s="25"/>
      <c r="BJ7194" s="25"/>
      <c r="BK7194" s="25"/>
    </row>
    <row r="7195" spans="60:63" ht="14.25" x14ac:dyDescent="0.2">
      <c r="BH7195" s="25"/>
      <c r="BI7195" s="25"/>
      <c r="BJ7195" s="25"/>
      <c r="BK7195" s="25"/>
    </row>
    <row r="7196" spans="60:63" ht="14.25" x14ac:dyDescent="0.2">
      <c r="BH7196" s="25"/>
      <c r="BI7196" s="25"/>
      <c r="BJ7196" s="25"/>
      <c r="BK7196" s="25"/>
    </row>
    <row r="7197" spans="60:63" ht="14.25" x14ac:dyDescent="0.2">
      <c r="BH7197" s="25"/>
      <c r="BI7197" s="25"/>
      <c r="BJ7197" s="25"/>
      <c r="BK7197" s="25"/>
    </row>
    <row r="7198" spans="60:63" ht="14.25" x14ac:dyDescent="0.2">
      <c r="BH7198" s="25"/>
      <c r="BI7198" s="25"/>
      <c r="BJ7198" s="25"/>
      <c r="BK7198" s="25"/>
    </row>
    <row r="7199" spans="60:63" ht="14.25" x14ac:dyDescent="0.2">
      <c r="BH7199" s="25"/>
      <c r="BI7199" s="25"/>
      <c r="BJ7199" s="25"/>
      <c r="BK7199" s="25"/>
    </row>
    <row r="7200" spans="60:63" ht="14.25" x14ac:dyDescent="0.2">
      <c r="BH7200" s="25"/>
      <c r="BI7200" s="25"/>
      <c r="BJ7200" s="25"/>
      <c r="BK7200" s="25"/>
    </row>
    <row r="7201" spans="60:63" ht="14.25" x14ac:dyDescent="0.2">
      <c r="BH7201" s="25"/>
      <c r="BI7201" s="25"/>
      <c r="BJ7201" s="25"/>
      <c r="BK7201" s="25"/>
    </row>
    <row r="7202" spans="60:63" ht="14.25" x14ac:dyDescent="0.2">
      <c r="BH7202" s="25"/>
      <c r="BI7202" s="25"/>
      <c r="BJ7202" s="25"/>
      <c r="BK7202" s="25"/>
    </row>
    <row r="7203" spans="60:63" ht="14.25" x14ac:dyDescent="0.2">
      <c r="BH7203" s="25"/>
      <c r="BI7203" s="25"/>
      <c r="BJ7203" s="25"/>
      <c r="BK7203" s="25"/>
    </row>
    <row r="7204" spans="60:63" ht="14.25" x14ac:dyDescent="0.2">
      <c r="BH7204" s="25"/>
      <c r="BI7204" s="25"/>
      <c r="BJ7204" s="25"/>
      <c r="BK7204" s="25"/>
    </row>
    <row r="7205" spans="60:63" ht="14.25" x14ac:dyDescent="0.2">
      <c r="BH7205" s="25"/>
      <c r="BI7205" s="25"/>
      <c r="BJ7205" s="25"/>
      <c r="BK7205" s="25"/>
    </row>
    <row r="7206" spans="60:63" ht="14.25" x14ac:dyDescent="0.2">
      <c r="BH7206" s="25"/>
      <c r="BI7206" s="25"/>
      <c r="BJ7206" s="25"/>
      <c r="BK7206" s="25"/>
    </row>
    <row r="7207" spans="60:63" ht="14.25" x14ac:dyDescent="0.2">
      <c r="BH7207" s="25"/>
      <c r="BI7207" s="25"/>
      <c r="BJ7207" s="25"/>
      <c r="BK7207" s="25"/>
    </row>
    <row r="7208" spans="60:63" ht="14.25" x14ac:dyDescent="0.2">
      <c r="BH7208" s="25"/>
      <c r="BI7208" s="25"/>
      <c r="BJ7208" s="25"/>
      <c r="BK7208" s="25"/>
    </row>
    <row r="7209" spans="60:63" ht="14.25" x14ac:dyDescent="0.2">
      <c r="BH7209" s="25"/>
      <c r="BI7209" s="25"/>
      <c r="BJ7209" s="25"/>
      <c r="BK7209" s="25"/>
    </row>
    <row r="7210" spans="60:63" ht="14.25" x14ac:dyDescent="0.2">
      <c r="BH7210" s="25"/>
      <c r="BI7210" s="25"/>
      <c r="BJ7210" s="25"/>
      <c r="BK7210" s="25"/>
    </row>
    <row r="7211" spans="60:63" ht="14.25" x14ac:dyDescent="0.2">
      <c r="BH7211" s="25"/>
      <c r="BI7211" s="25"/>
      <c r="BJ7211" s="25"/>
      <c r="BK7211" s="25"/>
    </row>
    <row r="7212" spans="60:63" ht="14.25" x14ac:dyDescent="0.2">
      <c r="BH7212" s="25"/>
      <c r="BI7212" s="25"/>
      <c r="BJ7212" s="25"/>
      <c r="BK7212" s="25"/>
    </row>
    <row r="7213" spans="60:63" ht="14.25" x14ac:dyDescent="0.2">
      <c r="BH7213" s="25"/>
      <c r="BI7213" s="25"/>
      <c r="BJ7213" s="25"/>
      <c r="BK7213" s="25"/>
    </row>
    <row r="7214" spans="60:63" ht="14.25" x14ac:dyDescent="0.2">
      <c r="BH7214" s="25"/>
      <c r="BI7214" s="25"/>
      <c r="BJ7214" s="25"/>
      <c r="BK7214" s="25"/>
    </row>
    <row r="7215" spans="60:63" ht="14.25" x14ac:dyDescent="0.2">
      <c r="BH7215" s="25"/>
      <c r="BI7215" s="25"/>
      <c r="BJ7215" s="25"/>
      <c r="BK7215" s="25"/>
    </row>
    <row r="7216" spans="60:63" ht="14.25" x14ac:dyDescent="0.2">
      <c r="BH7216" s="25"/>
      <c r="BI7216" s="25"/>
      <c r="BJ7216" s="25"/>
      <c r="BK7216" s="25"/>
    </row>
    <row r="7217" spans="60:63" ht="14.25" x14ac:dyDescent="0.2">
      <c r="BH7217" s="25"/>
      <c r="BI7217" s="25"/>
      <c r="BJ7217" s="25"/>
      <c r="BK7217" s="25"/>
    </row>
    <row r="7218" spans="60:63" ht="14.25" x14ac:dyDescent="0.2">
      <c r="BH7218" s="25"/>
      <c r="BI7218" s="25"/>
      <c r="BJ7218" s="25"/>
      <c r="BK7218" s="25"/>
    </row>
    <row r="7219" spans="60:63" ht="14.25" x14ac:dyDescent="0.2">
      <c r="BH7219" s="25"/>
      <c r="BI7219" s="25"/>
      <c r="BJ7219" s="25"/>
      <c r="BK7219" s="25"/>
    </row>
    <row r="7220" spans="60:63" ht="14.25" x14ac:dyDescent="0.2">
      <c r="BH7220" s="25"/>
      <c r="BI7220" s="25"/>
      <c r="BJ7220" s="25"/>
      <c r="BK7220" s="25"/>
    </row>
    <row r="7221" spans="60:63" ht="14.25" x14ac:dyDescent="0.2">
      <c r="BH7221" s="25"/>
      <c r="BI7221" s="25"/>
      <c r="BJ7221" s="25"/>
      <c r="BK7221" s="25"/>
    </row>
    <row r="7222" spans="60:63" ht="14.25" x14ac:dyDescent="0.2">
      <c r="BH7222" s="25"/>
      <c r="BI7222" s="25"/>
      <c r="BJ7222" s="25"/>
      <c r="BK7222" s="25"/>
    </row>
    <row r="7223" spans="60:63" ht="14.25" x14ac:dyDescent="0.2">
      <c r="BH7223" s="25"/>
      <c r="BI7223" s="25"/>
      <c r="BJ7223" s="25"/>
      <c r="BK7223" s="25"/>
    </row>
    <row r="7224" spans="60:63" ht="14.25" x14ac:dyDescent="0.2">
      <c r="BH7224" s="25"/>
      <c r="BI7224" s="25"/>
      <c r="BJ7224" s="25"/>
      <c r="BK7224" s="25"/>
    </row>
    <row r="7225" spans="60:63" ht="14.25" x14ac:dyDescent="0.2">
      <c r="BH7225" s="25"/>
      <c r="BI7225" s="25"/>
      <c r="BJ7225" s="25"/>
      <c r="BK7225" s="25"/>
    </row>
    <row r="7226" spans="60:63" ht="14.25" x14ac:dyDescent="0.2">
      <c r="BH7226" s="25"/>
      <c r="BI7226" s="25"/>
      <c r="BJ7226" s="25"/>
      <c r="BK7226" s="25"/>
    </row>
    <row r="7227" spans="60:63" ht="14.25" x14ac:dyDescent="0.2">
      <c r="BH7227" s="25"/>
      <c r="BI7227" s="25"/>
      <c r="BJ7227" s="25"/>
      <c r="BK7227" s="25"/>
    </row>
    <row r="7228" spans="60:63" ht="14.25" x14ac:dyDescent="0.2">
      <c r="BH7228" s="25"/>
      <c r="BI7228" s="25"/>
      <c r="BJ7228" s="25"/>
      <c r="BK7228" s="25"/>
    </row>
    <row r="7229" spans="60:63" ht="14.25" x14ac:dyDescent="0.2">
      <c r="BH7229" s="25"/>
      <c r="BI7229" s="25"/>
      <c r="BJ7229" s="25"/>
      <c r="BK7229" s="25"/>
    </row>
    <row r="7230" spans="60:63" ht="14.25" x14ac:dyDescent="0.2">
      <c r="BH7230" s="25"/>
      <c r="BI7230" s="25"/>
      <c r="BJ7230" s="25"/>
      <c r="BK7230" s="25"/>
    </row>
    <row r="7231" spans="60:63" ht="14.25" x14ac:dyDescent="0.2">
      <c r="BH7231" s="25"/>
      <c r="BI7231" s="25"/>
      <c r="BJ7231" s="25"/>
      <c r="BK7231" s="25"/>
    </row>
    <row r="7232" spans="60:63" ht="14.25" x14ac:dyDescent="0.2">
      <c r="BH7232" s="25"/>
      <c r="BI7232" s="25"/>
      <c r="BJ7232" s="25"/>
      <c r="BK7232" s="25"/>
    </row>
    <row r="7233" spans="60:63" ht="14.25" x14ac:dyDescent="0.2">
      <c r="BH7233" s="25"/>
      <c r="BI7233" s="25"/>
      <c r="BJ7233" s="25"/>
      <c r="BK7233" s="25"/>
    </row>
    <row r="7234" spans="60:63" ht="14.25" x14ac:dyDescent="0.2">
      <c r="BH7234" s="25"/>
      <c r="BI7234" s="25"/>
      <c r="BJ7234" s="25"/>
      <c r="BK7234" s="25"/>
    </row>
    <row r="7235" spans="60:63" ht="14.25" x14ac:dyDescent="0.2">
      <c r="BH7235" s="25"/>
      <c r="BI7235" s="25"/>
      <c r="BJ7235" s="25"/>
      <c r="BK7235" s="25"/>
    </row>
    <row r="7236" spans="60:63" ht="14.25" x14ac:dyDescent="0.2">
      <c r="BH7236" s="25"/>
      <c r="BI7236" s="25"/>
      <c r="BJ7236" s="25"/>
      <c r="BK7236" s="25"/>
    </row>
    <row r="7237" spans="60:63" ht="14.25" x14ac:dyDescent="0.2">
      <c r="BH7237" s="25"/>
      <c r="BI7237" s="25"/>
      <c r="BJ7237" s="25"/>
      <c r="BK7237" s="25"/>
    </row>
    <row r="7238" spans="60:63" ht="14.25" x14ac:dyDescent="0.2">
      <c r="BH7238" s="25"/>
      <c r="BI7238" s="25"/>
      <c r="BJ7238" s="25"/>
      <c r="BK7238" s="25"/>
    </row>
    <row r="7239" spans="60:63" ht="14.25" x14ac:dyDescent="0.2">
      <c r="BH7239" s="25"/>
      <c r="BI7239" s="25"/>
      <c r="BJ7239" s="25"/>
      <c r="BK7239" s="25"/>
    </row>
    <row r="7240" spans="60:63" ht="14.25" x14ac:dyDescent="0.2">
      <c r="BH7240" s="25"/>
      <c r="BI7240" s="25"/>
      <c r="BJ7240" s="25"/>
      <c r="BK7240" s="25"/>
    </row>
    <row r="7241" spans="60:63" ht="14.25" x14ac:dyDescent="0.2">
      <c r="BH7241" s="25"/>
      <c r="BI7241" s="25"/>
      <c r="BJ7241" s="25"/>
      <c r="BK7241" s="25"/>
    </row>
    <row r="7242" spans="60:63" ht="14.25" x14ac:dyDescent="0.2">
      <c r="BH7242" s="25"/>
      <c r="BI7242" s="25"/>
      <c r="BJ7242" s="25"/>
      <c r="BK7242" s="25"/>
    </row>
    <row r="7243" spans="60:63" ht="14.25" x14ac:dyDescent="0.2">
      <c r="BH7243" s="25"/>
      <c r="BI7243" s="25"/>
      <c r="BJ7243" s="25"/>
      <c r="BK7243" s="25"/>
    </row>
    <row r="7244" spans="60:63" ht="14.25" x14ac:dyDescent="0.2">
      <c r="BH7244" s="25"/>
      <c r="BI7244" s="25"/>
      <c r="BJ7244" s="25"/>
      <c r="BK7244" s="25"/>
    </row>
    <row r="7245" spans="60:63" ht="14.25" x14ac:dyDescent="0.2">
      <c r="BH7245" s="25"/>
      <c r="BI7245" s="25"/>
      <c r="BJ7245" s="25"/>
      <c r="BK7245" s="25"/>
    </row>
    <row r="7246" spans="60:63" ht="14.25" x14ac:dyDescent="0.2">
      <c r="BH7246" s="25"/>
      <c r="BI7246" s="25"/>
      <c r="BJ7246" s="25"/>
      <c r="BK7246" s="25"/>
    </row>
    <row r="7247" spans="60:63" ht="14.25" x14ac:dyDescent="0.2">
      <c r="BH7247" s="25"/>
      <c r="BI7247" s="25"/>
      <c r="BJ7247" s="25"/>
      <c r="BK7247" s="25"/>
    </row>
    <row r="7248" spans="60:63" ht="14.25" x14ac:dyDescent="0.2">
      <c r="BH7248" s="25"/>
      <c r="BI7248" s="25"/>
      <c r="BJ7248" s="25"/>
      <c r="BK7248" s="25"/>
    </row>
    <row r="7249" spans="60:63" ht="14.25" x14ac:dyDescent="0.2">
      <c r="BH7249" s="25"/>
      <c r="BI7249" s="25"/>
      <c r="BJ7249" s="25"/>
      <c r="BK7249" s="25"/>
    </row>
    <row r="7250" spans="60:63" ht="14.25" x14ac:dyDescent="0.2">
      <c r="BH7250" s="25"/>
      <c r="BI7250" s="25"/>
      <c r="BJ7250" s="25"/>
      <c r="BK7250" s="25"/>
    </row>
    <row r="7251" spans="60:63" ht="14.25" x14ac:dyDescent="0.2">
      <c r="BH7251" s="25"/>
      <c r="BI7251" s="25"/>
      <c r="BJ7251" s="25"/>
      <c r="BK7251" s="25"/>
    </row>
    <row r="7252" spans="60:63" ht="14.25" x14ac:dyDescent="0.2">
      <c r="BH7252" s="25"/>
      <c r="BI7252" s="25"/>
      <c r="BJ7252" s="25"/>
      <c r="BK7252" s="25"/>
    </row>
    <row r="7253" spans="60:63" ht="14.25" x14ac:dyDescent="0.2">
      <c r="BH7253" s="25"/>
      <c r="BI7253" s="25"/>
      <c r="BJ7253" s="25"/>
      <c r="BK7253" s="25"/>
    </row>
    <row r="7254" spans="60:63" ht="14.25" x14ac:dyDescent="0.2">
      <c r="BH7254" s="25"/>
      <c r="BI7254" s="25"/>
      <c r="BJ7254" s="25"/>
      <c r="BK7254" s="25"/>
    </row>
    <row r="7255" spans="60:63" ht="14.25" x14ac:dyDescent="0.2">
      <c r="BH7255" s="25"/>
      <c r="BI7255" s="25"/>
      <c r="BJ7255" s="25"/>
      <c r="BK7255" s="25"/>
    </row>
    <row r="7256" spans="60:63" ht="14.25" x14ac:dyDescent="0.2">
      <c r="BH7256" s="25"/>
      <c r="BI7256" s="25"/>
      <c r="BJ7256" s="25"/>
      <c r="BK7256" s="25"/>
    </row>
    <row r="7257" spans="60:63" ht="14.25" x14ac:dyDescent="0.2">
      <c r="BH7257" s="25"/>
      <c r="BI7257" s="25"/>
      <c r="BJ7257" s="25"/>
      <c r="BK7257" s="25"/>
    </row>
    <row r="7258" spans="60:63" ht="14.25" x14ac:dyDescent="0.2">
      <c r="BH7258" s="25"/>
      <c r="BI7258" s="25"/>
      <c r="BJ7258" s="25"/>
      <c r="BK7258" s="25"/>
    </row>
    <row r="7259" spans="60:63" ht="14.25" x14ac:dyDescent="0.2">
      <c r="BH7259" s="25"/>
      <c r="BI7259" s="25"/>
      <c r="BJ7259" s="25"/>
      <c r="BK7259" s="25"/>
    </row>
    <row r="7260" spans="60:63" ht="14.25" x14ac:dyDescent="0.2">
      <c r="BH7260" s="25"/>
      <c r="BI7260" s="25"/>
      <c r="BJ7260" s="25"/>
      <c r="BK7260" s="25"/>
    </row>
    <row r="7261" spans="60:63" ht="14.25" x14ac:dyDescent="0.2">
      <c r="BH7261" s="25"/>
      <c r="BI7261" s="25"/>
      <c r="BJ7261" s="25"/>
      <c r="BK7261" s="25"/>
    </row>
    <row r="7262" spans="60:63" ht="14.25" x14ac:dyDescent="0.2">
      <c r="BH7262" s="25"/>
      <c r="BI7262" s="25"/>
      <c r="BJ7262" s="25"/>
      <c r="BK7262" s="25"/>
    </row>
    <row r="7263" spans="60:63" ht="14.25" x14ac:dyDescent="0.2">
      <c r="BH7263" s="25"/>
      <c r="BI7263" s="25"/>
      <c r="BJ7263" s="25"/>
      <c r="BK7263" s="25"/>
    </row>
    <row r="7264" spans="60:63" ht="14.25" x14ac:dyDescent="0.2">
      <c r="BH7264" s="25"/>
      <c r="BI7264" s="25"/>
      <c r="BJ7264" s="25"/>
      <c r="BK7264" s="25"/>
    </row>
    <row r="7265" spans="60:63" ht="14.25" x14ac:dyDescent="0.2">
      <c r="BH7265" s="25"/>
      <c r="BI7265" s="25"/>
      <c r="BJ7265" s="25"/>
      <c r="BK7265" s="25"/>
    </row>
    <row r="7266" spans="60:63" ht="14.25" x14ac:dyDescent="0.2">
      <c r="BH7266" s="25"/>
      <c r="BI7266" s="25"/>
      <c r="BJ7266" s="25"/>
      <c r="BK7266" s="25"/>
    </row>
    <row r="7267" spans="60:63" ht="14.25" x14ac:dyDescent="0.2">
      <c r="BH7267" s="25"/>
      <c r="BI7267" s="25"/>
      <c r="BJ7267" s="25"/>
      <c r="BK7267" s="25"/>
    </row>
    <row r="7268" spans="60:63" ht="14.25" x14ac:dyDescent="0.2">
      <c r="BH7268" s="25"/>
      <c r="BI7268" s="25"/>
      <c r="BJ7268" s="25"/>
      <c r="BK7268" s="25"/>
    </row>
    <row r="7269" spans="60:63" ht="14.25" x14ac:dyDescent="0.2">
      <c r="BH7269" s="25"/>
      <c r="BI7269" s="25"/>
      <c r="BJ7269" s="25"/>
      <c r="BK7269" s="25"/>
    </row>
    <row r="7270" spans="60:63" ht="14.25" x14ac:dyDescent="0.2">
      <c r="BH7270" s="25"/>
      <c r="BI7270" s="25"/>
      <c r="BJ7270" s="25"/>
      <c r="BK7270" s="25"/>
    </row>
    <row r="7271" spans="60:63" ht="14.25" x14ac:dyDescent="0.2">
      <c r="BH7271" s="25"/>
      <c r="BI7271" s="25"/>
      <c r="BJ7271" s="25"/>
      <c r="BK7271" s="25"/>
    </row>
    <row r="7272" spans="60:63" ht="14.25" x14ac:dyDescent="0.2">
      <c r="BH7272" s="25"/>
      <c r="BI7272" s="25"/>
      <c r="BJ7272" s="25"/>
      <c r="BK7272" s="25"/>
    </row>
    <row r="7273" spans="60:63" ht="14.25" x14ac:dyDescent="0.2">
      <c r="BH7273" s="25"/>
      <c r="BI7273" s="25"/>
      <c r="BJ7273" s="25"/>
      <c r="BK7273" s="25"/>
    </row>
    <row r="7274" spans="60:63" ht="14.25" x14ac:dyDescent="0.2">
      <c r="BH7274" s="25"/>
      <c r="BI7274" s="25"/>
      <c r="BJ7274" s="25"/>
      <c r="BK7274" s="25"/>
    </row>
    <row r="7275" spans="60:63" ht="14.25" x14ac:dyDescent="0.2">
      <c r="BH7275" s="25"/>
      <c r="BI7275" s="25"/>
      <c r="BJ7275" s="25"/>
      <c r="BK7275" s="25"/>
    </row>
    <row r="7276" spans="60:63" ht="14.25" x14ac:dyDescent="0.2">
      <c r="BH7276" s="25"/>
      <c r="BI7276" s="25"/>
      <c r="BJ7276" s="25"/>
      <c r="BK7276" s="25"/>
    </row>
    <row r="7277" spans="60:63" ht="14.25" x14ac:dyDescent="0.2">
      <c r="BH7277" s="25"/>
      <c r="BI7277" s="25"/>
      <c r="BJ7277" s="25"/>
      <c r="BK7277" s="25"/>
    </row>
    <row r="7278" spans="60:63" ht="14.25" x14ac:dyDescent="0.2">
      <c r="BH7278" s="25"/>
      <c r="BI7278" s="25"/>
      <c r="BJ7278" s="25"/>
      <c r="BK7278" s="25"/>
    </row>
    <row r="7279" spans="60:63" ht="14.25" x14ac:dyDescent="0.2">
      <c r="BH7279" s="25"/>
      <c r="BI7279" s="25"/>
      <c r="BJ7279" s="25"/>
      <c r="BK7279" s="25"/>
    </row>
    <row r="7280" spans="60:63" ht="14.25" x14ac:dyDescent="0.2">
      <c r="BH7280" s="25"/>
      <c r="BI7280" s="25"/>
      <c r="BJ7280" s="25"/>
      <c r="BK7280" s="25"/>
    </row>
    <row r="7281" spans="60:63" ht="14.25" x14ac:dyDescent="0.2">
      <c r="BH7281" s="25"/>
      <c r="BI7281" s="25"/>
      <c r="BJ7281" s="25"/>
      <c r="BK7281" s="25"/>
    </row>
    <row r="7282" spans="60:63" ht="14.25" x14ac:dyDescent="0.2">
      <c r="BH7282" s="25"/>
      <c r="BI7282" s="25"/>
      <c r="BJ7282" s="25"/>
      <c r="BK7282" s="25"/>
    </row>
    <row r="7283" spans="60:63" ht="14.25" x14ac:dyDescent="0.2">
      <c r="BH7283" s="25"/>
      <c r="BI7283" s="25"/>
      <c r="BJ7283" s="25"/>
      <c r="BK7283" s="25"/>
    </row>
    <row r="7284" spans="60:63" ht="14.25" x14ac:dyDescent="0.2">
      <c r="BH7284" s="25"/>
      <c r="BI7284" s="25"/>
      <c r="BJ7284" s="25"/>
      <c r="BK7284" s="25"/>
    </row>
    <row r="7285" spans="60:63" ht="14.25" x14ac:dyDescent="0.2">
      <c r="BH7285" s="25"/>
      <c r="BI7285" s="25"/>
      <c r="BJ7285" s="25"/>
      <c r="BK7285" s="25"/>
    </row>
    <row r="7286" spans="60:63" ht="14.25" x14ac:dyDescent="0.2">
      <c r="BH7286" s="25"/>
      <c r="BI7286" s="25"/>
      <c r="BJ7286" s="25"/>
      <c r="BK7286" s="25"/>
    </row>
    <row r="7287" spans="60:63" ht="14.25" x14ac:dyDescent="0.2">
      <c r="BH7287" s="25"/>
      <c r="BI7287" s="25"/>
      <c r="BJ7287" s="25"/>
      <c r="BK7287" s="25"/>
    </row>
    <row r="7288" spans="60:63" ht="14.25" x14ac:dyDescent="0.2">
      <c r="BH7288" s="25"/>
      <c r="BI7288" s="25"/>
      <c r="BJ7288" s="25"/>
      <c r="BK7288" s="25"/>
    </row>
    <row r="7289" spans="60:63" ht="14.25" x14ac:dyDescent="0.2">
      <c r="BH7289" s="25"/>
      <c r="BI7289" s="25"/>
      <c r="BJ7289" s="25"/>
      <c r="BK7289" s="25"/>
    </row>
    <row r="7290" spans="60:63" ht="14.25" x14ac:dyDescent="0.2">
      <c r="BH7290" s="25"/>
      <c r="BI7290" s="25"/>
      <c r="BJ7290" s="25"/>
      <c r="BK7290" s="25"/>
    </row>
    <row r="7291" spans="60:63" ht="14.25" x14ac:dyDescent="0.2">
      <c r="BH7291" s="25"/>
      <c r="BI7291" s="25"/>
      <c r="BJ7291" s="25"/>
      <c r="BK7291" s="25"/>
    </row>
    <row r="7292" spans="60:63" ht="14.25" x14ac:dyDescent="0.2">
      <c r="BH7292" s="25"/>
      <c r="BI7292" s="25"/>
      <c r="BJ7292" s="25"/>
      <c r="BK7292" s="25"/>
    </row>
    <row r="7293" spans="60:63" ht="14.25" x14ac:dyDescent="0.2">
      <c r="BH7293" s="25"/>
      <c r="BI7293" s="25"/>
      <c r="BJ7293" s="25"/>
      <c r="BK7293" s="25"/>
    </row>
    <row r="7294" spans="60:63" ht="14.25" x14ac:dyDescent="0.2">
      <c r="BH7294" s="25"/>
      <c r="BI7294" s="25"/>
      <c r="BJ7294" s="25"/>
      <c r="BK7294" s="25"/>
    </row>
    <row r="7295" spans="60:63" ht="14.25" x14ac:dyDescent="0.2">
      <c r="BH7295" s="25"/>
      <c r="BI7295" s="25"/>
      <c r="BJ7295" s="25"/>
      <c r="BK7295" s="25"/>
    </row>
    <row r="7296" spans="60:63" ht="14.25" x14ac:dyDescent="0.2">
      <c r="BH7296" s="25"/>
      <c r="BI7296" s="25"/>
      <c r="BJ7296" s="25"/>
      <c r="BK7296" s="25"/>
    </row>
    <row r="7297" spans="60:63" ht="14.25" x14ac:dyDescent="0.2">
      <c r="BH7297" s="25"/>
      <c r="BI7297" s="25"/>
      <c r="BJ7297" s="25"/>
      <c r="BK7297" s="25"/>
    </row>
    <row r="7298" spans="60:63" ht="14.25" x14ac:dyDescent="0.2">
      <c r="BH7298" s="25"/>
      <c r="BI7298" s="25"/>
      <c r="BJ7298" s="25"/>
      <c r="BK7298" s="25"/>
    </row>
    <row r="7299" spans="60:63" ht="14.25" x14ac:dyDescent="0.2">
      <c r="BH7299" s="25"/>
      <c r="BI7299" s="25"/>
      <c r="BJ7299" s="25"/>
      <c r="BK7299" s="25"/>
    </row>
    <row r="7300" spans="60:63" ht="14.25" x14ac:dyDescent="0.2">
      <c r="BH7300" s="25"/>
      <c r="BI7300" s="25"/>
      <c r="BJ7300" s="25"/>
      <c r="BK7300" s="25"/>
    </row>
    <row r="7301" spans="60:63" ht="14.25" x14ac:dyDescent="0.2">
      <c r="BH7301" s="25"/>
      <c r="BI7301" s="25"/>
      <c r="BJ7301" s="25"/>
      <c r="BK7301" s="25"/>
    </row>
    <row r="7302" spans="60:63" ht="14.25" x14ac:dyDescent="0.2">
      <c r="BH7302" s="25"/>
      <c r="BI7302" s="25"/>
      <c r="BJ7302" s="25"/>
      <c r="BK7302" s="25"/>
    </row>
    <row r="7303" spans="60:63" ht="14.25" x14ac:dyDescent="0.2">
      <c r="BH7303" s="25"/>
      <c r="BI7303" s="25"/>
      <c r="BJ7303" s="25"/>
      <c r="BK7303" s="25"/>
    </row>
    <row r="7304" spans="60:63" ht="14.25" x14ac:dyDescent="0.2">
      <c r="BH7304" s="25"/>
      <c r="BI7304" s="25"/>
      <c r="BJ7304" s="25"/>
      <c r="BK7304" s="25"/>
    </row>
    <row r="7305" spans="60:63" ht="14.25" x14ac:dyDescent="0.2">
      <c r="BH7305" s="25"/>
      <c r="BI7305" s="25"/>
      <c r="BJ7305" s="25"/>
      <c r="BK7305" s="25"/>
    </row>
    <row r="7306" spans="60:63" ht="14.25" x14ac:dyDescent="0.2">
      <c r="BH7306" s="25"/>
      <c r="BI7306" s="25"/>
      <c r="BJ7306" s="25"/>
      <c r="BK7306" s="25"/>
    </row>
    <row r="7307" spans="60:63" ht="14.25" x14ac:dyDescent="0.2">
      <c r="BH7307" s="25"/>
      <c r="BI7307" s="25"/>
      <c r="BJ7307" s="25"/>
      <c r="BK7307" s="25"/>
    </row>
    <row r="7308" spans="60:63" ht="14.25" x14ac:dyDescent="0.2">
      <c r="BH7308" s="25"/>
      <c r="BI7308" s="25"/>
      <c r="BJ7308" s="25"/>
      <c r="BK7308" s="25"/>
    </row>
    <row r="7309" spans="60:63" ht="14.25" x14ac:dyDescent="0.2">
      <c r="BH7309" s="25"/>
      <c r="BI7309" s="25"/>
      <c r="BJ7309" s="25"/>
      <c r="BK7309" s="25"/>
    </row>
    <row r="7310" spans="60:63" ht="14.25" x14ac:dyDescent="0.2">
      <c r="BH7310" s="25"/>
      <c r="BI7310" s="25"/>
      <c r="BJ7310" s="25"/>
      <c r="BK7310" s="25"/>
    </row>
    <row r="7311" spans="60:63" ht="14.25" x14ac:dyDescent="0.2">
      <c r="BH7311" s="25"/>
      <c r="BI7311" s="25"/>
      <c r="BJ7311" s="25"/>
      <c r="BK7311" s="25"/>
    </row>
    <row r="7312" spans="60:63" ht="14.25" x14ac:dyDescent="0.2">
      <c r="BH7312" s="25"/>
      <c r="BI7312" s="25"/>
      <c r="BJ7312" s="25"/>
      <c r="BK7312" s="25"/>
    </row>
    <row r="7313" spans="60:63" ht="14.25" x14ac:dyDescent="0.2">
      <c r="BH7313" s="25"/>
      <c r="BI7313" s="25"/>
      <c r="BJ7313" s="25"/>
      <c r="BK7313" s="25"/>
    </row>
    <row r="7314" spans="60:63" ht="14.25" x14ac:dyDescent="0.2">
      <c r="BH7314" s="25"/>
      <c r="BI7314" s="25"/>
      <c r="BJ7314" s="25"/>
      <c r="BK7314" s="25"/>
    </row>
    <row r="7315" spans="60:63" ht="14.25" x14ac:dyDescent="0.2">
      <c r="BH7315" s="25"/>
      <c r="BI7315" s="25"/>
      <c r="BJ7315" s="25"/>
      <c r="BK7315" s="25"/>
    </row>
    <row r="7316" spans="60:63" ht="14.25" x14ac:dyDescent="0.2">
      <c r="BH7316" s="25"/>
      <c r="BI7316" s="25"/>
      <c r="BJ7316" s="25"/>
      <c r="BK7316" s="25"/>
    </row>
    <row r="7317" spans="60:63" ht="14.25" x14ac:dyDescent="0.2">
      <c r="BH7317" s="25"/>
      <c r="BI7317" s="25"/>
      <c r="BJ7317" s="25"/>
      <c r="BK7317" s="25"/>
    </row>
    <row r="7318" spans="60:63" ht="14.25" x14ac:dyDescent="0.2">
      <c r="BH7318" s="25"/>
      <c r="BI7318" s="25"/>
      <c r="BJ7318" s="25"/>
      <c r="BK7318" s="25"/>
    </row>
    <row r="7319" spans="60:63" ht="14.25" x14ac:dyDescent="0.2">
      <c r="BH7319" s="25"/>
      <c r="BI7319" s="25"/>
      <c r="BJ7319" s="25"/>
      <c r="BK7319" s="25"/>
    </row>
    <row r="7320" spans="60:63" ht="14.25" x14ac:dyDescent="0.2">
      <c r="BH7320" s="25"/>
      <c r="BI7320" s="25"/>
      <c r="BJ7320" s="25"/>
      <c r="BK7320" s="25"/>
    </row>
    <row r="7321" spans="60:63" ht="14.25" x14ac:dyDescent="0.2">
      <c r="BH7321" s="25"/>
      <c r="BI7321" s="25"/>
      <c r="BJ7321" s="25"/>
      <c r="BK7321" s="25"/>
    </row>
    <row r="7322" spans="60:63" ht="14.25" x14ac:dyDescent="0.2">
      <c r="BH7322" s="25"/>
      <c r="BI7322" s="25"/>
      <c r="BJ7322" s="25"/>
      <c r="BK7322" s="25"/>
    </row>
    <row r="7323" spans="60:63" ht="14.25" x14ac:dyDescent="0.2">
      <c r="BH7323" s="25"/>
      <c r="BI7323" s="25"/>
      <c r="BJ7323" s="25"/>
      <c r="BK7323" s="25"/>
    </row>
    <row r="7324" spans="60:63" ht="14.25" x14ac:dyDescent="0.2">
      <c r="BH7324" s="25"/>
      <c r="BI7324" s="25"/>
      <c r="BJ7324" s="25"/>
      <c r="BK7324" s="25"/>
    </row>
    <row r="7325" spans="60:63" ht="14.25" x14ac:dyDescent="0.2">
      <c r="BH7325" s="25"/>
      <c r="BI7325" s="25"/>
      <c r="BJ7325" s="25"/>
      <c r="BK7325" s="25"/>
    </row>
    <row r="7326" spans="60:63" ht="14.25" x14ac:dyDescent="0.2">
      <c r="BH7326" s="25"/>
      <c r="BI7326" s="25"/>
      <c r="BJ7326" s="25"/>
      <c r="BK7326" s="25"/>
    </row>
    <row r="7327" spans="60:63" ht="14.25" x14ac:dyDescent="0.2">
      <c r="BH7327" s="25"/>
      <c r="BI7327" s="25"/>
      <c r="BJ7327" s="25"/>
      <c r="BK7327" s="25"/>
    </row>
    <row r="7328" spans="60:63" ht="14.25" x14ac:dyDescent="0.2">
      <c r="BH7328" s="25"/>
      <c r="BI7328" s="25"/>
      <c r="BJ7328" s="25"/>
      <c r="BK7328" s="25"/>
    </row>
    <row r="7329" spans="60:63" ht="14.25" x14ac:dyDescent="0.2">
      <c r="BH7329" s="25"/>
      <c r="BI7329" s="25"/>
      <c r="BJ7329" s="25"/>
      <c r="BK7329" s="25"/>
    </row>
    <row r="7330" spans="60:63" ht="14.25" x14ac:dyDescent="0.2">
      <c r="BH7330" s="25"/>
      <c r="BI7330" s="25"/>
      <c r="BJ7330" s="25"/>
      <c r="BK7330" s="25"/>
    </row>
    <row r="7331" spans="60:63" ht="14.25" x14ac:dyDescent="0.2">
      <c r="BH7331" s="25"/>
      <c r="BI7331" s="25"/>
      <c r="BJ7331" s="25"/>
      <c r="BK7331" s="25"/>
    </row>
    <row r="7332" spans="60:63" ht="14.25" x14ac:dyDescent="0.2">
      <c r="BH7332" s="25"/>
      <c r="BI7332" s="25"/>
      <c r="BJ7332" s="25"/>
      <c r="BK7332" s="25"/>
    </row>
    <row r="7333" spans="60:63" ht="14.25" x14ac:dyDescent="0.2">
      <c r="BH7333" s="25"/>
      <c r="BI7333" s="25"/>
      <c r="BJ7333" s="25"/>
      <c r="BK7333" s="25"/>
    </row>
    <row r="7334" spans="60:63" ht="14.25" x14ac:dyDescent="0.2">
      <c r="BH7334" s="25"/>
      <c r="BI7334" s="25"/>
      <c r="BJ7334" s="25"/>
      <c r="BK7334" s="25"/>
    </row>
    <row r="7335" spans="60:63" ht="14.25" x14ac:dyDescent="0.2">
      <c r="BH7335" s="25"/>
      <c r="BI7335" s="25"/>
      <c r="BJ7335" s="25"/>
      <c r="BK7335" s="25"/>
    </row>
    <row r="7336" spans="60:63" ht="14.25" x14ac:dyDescent="0.2">
      <c r="BH7336" s="25"/>
      <c r="BI7336" s="25"/>
      <c r="BJ7336" s="25"/>
      <c r="BK7336" s="25"/>
    </row>
    <row r="7337" spans="60:63" ht="14.25" x14ac:dyDescent="0.2">
      <c r="BH7337" s="25"/>
      <c r="BI7337" s="25"/>
      <c r="BJ7337" s="25"/>
      <c r="BK7337" s="25"/>
    </row>
    <row r="7338" spans="60:63" ht="14.25" x14ac:dyDescent="0.2">
      <c r="BH7338" s="25"/>
      <c r="BI7338" s="25"/>
      <c r="BJ7338" s="25"/>
      <c r="BK7338" s="25"/>
    </row>
    <row r="7339" spans="60:63" ht="14.25" x14ac:dyDescent="0.2">
      <c r="BH7339" s="25"/>
      <c r="BI7339" s="25"/>
      <c r="BJ7339" s="25"/>
      <c r="BK7339" s="25"/>
    </row>
    <row r="7340" spans="60:63" ht="14.25" x14ac:dyDescent="0.2">
      <c r="BH7340" s="25"/>
      <c r="BI7340" s="25"/>
      <c r="BJ7340" s="25"/>
      <c r="BK7340" s="25"/>
    </row>
    <row r="7341" spans="60:63" ht="14.25" x14ac:dyDescent="0.2">
      <c r="BH7341" s="25"/>
      <c r="BI7341" s="25"/>
      <c r="BJ7341" s="25"/>
      <c r="BK7341" s="25"/>
    </row>
    <row r="7342" spans="60:63" ht="14.25" x14ac:dyDescent="0.2">
      <c r="BH7342" s="25"/>
      <c r="BI7342" s="25"/>
      <c r="BJ7342" s="25"/>
      <c r="BK7342" s="25"/>
    </row>
    <row r="7343" spans="60:63" ht="14.25" x14ac:dyDescent="0.2">
      <c r="BH7343" s="25"/>
      <c r="BI7343" s="25"/>
      <c r="BJ7343" s="25"/>
      <c r="BK7343" s="25"/>
    </row>
    <row r="7344" spans="60:63" ht="14.25" x14ac:dyDescent="0.2">
      <c r="BH7344" s="25"/>
      <c r="BI7344" s="25"/>
      <c r="BJ7344" s="25"/>
      <c r="BK7344" s="25"/>
    </row>
    <row r="7345" spans="60:63" ht="14.25" x14ac:dyDescent="0.2">
      <c r="BH7345" s="25"/>
      <c r="BI7345" s="25"/>
      <c r="BJ7345" s="25"/>
      <c r="BK7345" s="25"/>
    </row>
    <row r="7346" spans="60:63" ht="14.25" x14ac:dyDescent="0.2">
      <c r="BH7346" s="25"/>
      <c r="BI7346" s="25"/>
      <c r="BJ7346" s="25"/>
      <c r="BK7346" s="25"/>
    </row>
    <row r="7347" spans="60:63" ht="14.25" x14ac:dyDescent="0.2">
      <c r="BH7347" s="25"/>
      <c r="BI7347" s="25"/>
      <c r="BJ7347" s="25"/>
      <c r="BK7347" s="25"/>
    </row>
    <row r="7348" spans="60:63" ht="14.25" x14ac:dyDescent="0.2">
      <c r="BH7348" s="25"/>
      <c r="BI7348" s="25"/>
      <c r="BJ7348" s="25"/>
      <c r="BK7348" s="25"/>
    </row>
    <row r="7349" spans="60:63" ht="14.25" x14ac:dyDescent="0.2">
      <c r="BH7349" s="25"/>
      <c r="BI7349" s="25"/>
      <c r="BJ7349" s="25"/>
      <c r="BK7349" s="25"/>
    </row>
    <row r="7350" spans="60:63" ht="14.25" x14ac:dyDescent="0.2">
      <c r="BH7350" s="25"/>
      <c r="BI7350" s="25"/>
      <c r="BJ7350" s="25"/>
      <c r="BK7350" s="25"/>
    </row>
    <row r="7351" spans="60:63" ht="14.25" x14ac:dyDescent="0.2">
      <c r="BH7351" s="25"/>
      <c r="BI7351" s="25"/>
      <c r="BJ7351" s="25"/>
      <c r="BK7351" s="25"/>
    </row>
    <row r="7352" spans="60:63" ht="14.25" x14ac:dyDescent="0.2">
      <c r="BH7352" s="25"/>
      <c r="BI7352" s="25"/>
      <c r="BJ7352" s="25"/>
      <c r="BK7352" s="25"/>
    </row>
    <row r="7353" spans="60:63" ht="14.25" x14ac:dyDescent="0.2">
      <c r="BH7353" s="25"/>
      <c r="BI7353" s="25"/>
      <c r="BJ7353" s="25"/>
      <c r="BK7353" s="25"/>
    </row>
    <row r="7354" spans="60:63" ht="14.25" x14ac:dyDescent="0.2">
      <c r="BH7354" s="25"/>
      <c r="BI7354" s="25"/>
      <c r="BJ7354" s="25"/>
      <c r="BK7354" s="25"/>
    </row>
    <row r="7355" spans="60:63" ht="14.25" x14ac:dyDescent="0.2">
      <c r="BH7355" s="25"/>
      <c r="BI7355" s="25"/>
      <c r="BJ7355" s="25"/>
      <c r="BK7355" s="25"/>
    </row>
    <row r="7356" spans="60:63" ht="14.25" x14ac:dyDescent="0.2">
      <c r="BH7356" s="25"/>
      <c r="BI7356" s="25"/>
      <c r="BJ7356" s="25"/>
      <c r="BK7356" s="25"/>
    </row>
    <row r="7357" spans="60:63" ht="14.25" x14ac:dyDescent="0.2">
      <c r="BH7357" s="25"/>
      <c r="BI7357" s="25"/>
      <c r="BJ7357" s="25"/>
      <c r="BK7357" s="25"/>
    </row>
    <row r="7358" spans="60:63" ht="14.25" x14ac:dyDescent="0.2">
      <c r="BH7358" s="25"/>
      <c r="BI7358" s="25"/>
      <c r="BJ7358" s="25"/>
      <c r="BK7358" s="25"/>
    </row>
    <row r="7359" spans="60:63" ht="14.25" x14ac:dyDescent="0.2">
      <c r="BH7359" s="25"/>
      <c r="BI7359" s="25"/>
      <c r="BJ7359" s="25"/>
      <c r="BK7359" s="25"/>
    </row>
    <row r="7360" spans="60:63" ht="14.25" x14ac:dyDescent="0.2">
      <c r="BH7360" s="25"/>
      <c r="BI7360" s="25"/>
      <c r="BJ7360" s="25"/>
      <c r="BK7360" s="25"/>
    </row>
    <row r="7361" spans="60:63" ht="14.25" x14ac:dyDescent="0.2">
      <c r="BH7361" s="25"/>
      <c r="BI7361" s="25"/>
      <c r="BJ7361" s="25"/>
      <c r="BK7361" s="25"/>
    </row>
    <row r="7362" spans="60:63" ht="14.25" x14ac:dyDescent="0.2">
      <c r="BH7362" s="25"/>
      <c r="BI7362" s="25"/>
      <c r="BJ7362" s="25"/>
      <c r="BK7362" s="25"/>
    </row>
    <row r="7363" spans="60:63" ht="14.25" x14ac:dyDescent="0.2">
      <c r="BH7363" s="25"/>
      <c r="BI7363" s="25"/>
      <c r="BJ7363" s="25"/>
      <c r="BK7363" s="25"/>
    </row>
    <row r="7364" spans="60:63" ht="14.25" x14ac:dyDescent="0.2">
      <c r="BH7364" s="25"/>
      <c r="BI7364" s="25"/>
      <c r="BJ7364" s="25"/>
      <c r="BK7364" s="25"/>
    </row>
    <row r="7365" spans="60:63" ht="14.25" x14ac:dyDescent="0.2">
      <c r="BH7365" s="25"/>
      <c r="BI7365" s="25"/>
      <c r="BJ7365" s="25"/>
      <c r="BK7365" s="25"/>
    </row>
    <row r="7366" spans="60:63" ht="14.25" x14ac:dyDescent="0.2">
      <c r="BH7366" s="25"/>
      <c r="BI7366" s="25"/>
      <c r="BJ7366" s="25"/>
      <c r="BK7366" s="25"/>
    </row>
    <row r="7367" spans="60:63" ht="14.25" x14ac:dyDescent="0.2">
      <c r="BH7367" s="25"/>
      <c r="BI7367" s="25"/>
      <c r="BJ7367" s="25"/>
      <c r="BK7367" s="25"/>
    </row>
    <row r="7368" spans="60:63" ht="14.25" x14ac:dyDescent="0.2">
      <c r="BH7368" s="25"/>
      <c r="BI7368" s="25"/>
      <c r="BJ7368" s="25"/>
      <c r="BK7368" s="25"/>
    </row>
    <row r="7369" spans="60:63" ht="14.25" x14ac:dyDescent="0.2">
      <c r="BH7369" s="25"/>
      <c r="BI7369" s="25"/>
      <c r="BJ7369" s="25"/>
      <c r="BK7369" s="25"/>
    </row>
    <row r="7370" spans="60:63" ht="14.25" x14ac:dyDescent="0.2">
      <c r="BH7370" s="25"/>
      <c r="BI7370" s="25"/>
      <c r="BJ7370" s="25"/>
      <c r="BK7370" s="25"/>
    </row>
    <row r="7371" spans="60:63" ht="14.25" x14ac:dyDescent="0.2">
      <c r="BH7371" s="25"/>
      <c r="BI7371" s="25"/>
      <c r="BJ7371" s="25"/>
      <c r="BK7371" s="25"/>
    </row>
    <row r="7372" spans="60:63" ht="14.25" x14ac:dyDescent="0.2">
      <c r="BH7372" s="25"/>
      <c r="BI7372" s="25"/>
      <c r="BJ7372" s="25"/>
      <c r="BK7372" s="25"/>
    </row>
    <row r="7373" spans="60:63" ht="14.25" x14ac:dyDescent="0.2">
      <c r="BH7373" s="25"/>
      <c r="BI7373" s="25"/>
      <c r="BJ7373" s="25"/>
      <c r="BK7373" s="25"/>
    </row>
    <row r="7374" spans="60:63" ht="14.25" x14ac:dyDescent="0.2">
      <c r="BH7374" s="25"/>
      <c r="BI7374" s="25"/>
      <c r="BJ7374" s="25"/>
      <c r="BK7374" s="25"/>
    </row>
    <row r="7375" spans="60:63" ht="14.25" x14ac:dyDescent="0.2">
      <c r="BH7375" s="25"/>
      <c r="BI7375" s="25"/>
      <c r="BJ7375" s="25"/>
      <c r="BK7375" s="25"/>
    </row>
    <row r="7376" spans="60:63" ht="14.25" x14ac:dyDescent="0.2">
      <c r="BH7376" s="25"/>
      <c r="BI7376" s="25"/>
      <c r="BJ7376" s="25"/>
      <c r="BK7376" s="25"/>
    </row>
    <row r="7377" spans="60:63" ht="14.25" x14ac:dyDescent="0.2">
      <c r="BH7377" s="25"/>
      <c r="BI7377" s="25"/>
      <c r="BJ7377" s="25"/>
      <c r="BK7377" s="25"/>
    </row>
    <row r="7378" spans="60:63" ht="14.25" x14ac:dyDescent="0.2">
      <c r="BH7378" s="25"/>
      <c r="BI7378" s="25"/>
      <c r="BJ7378" s="25"/>
      <c r="BK7378" s="25"/>
    </row>
    <row r="7379" spans="60:63" ht="14.25" x14ac:dyDescent="0.2">
      <c r="BH7379" s="25"/>
      <c r="BI7379" s="25"/>
      <c r="BJ7379" s="25"/>
      <c r="BK7379" s="25"/>
    </row>
    <row r="7380" spans="60:63" ht="14.25" x14ac:dyDescent="0.2">
      <c r="BH7380" s="25"/>
      <c r="BI7380" s="25"/>
      <c r="BJ7380" s="25"/>
      <c r="BK7380" s="25"/>
    </row>
    <row r="7381" spans="60:63" ht="14.25" x14ac:dyDescent="0.2">
      <c r="BH7381" s="25"/>
      <c r="BI7381" s="25"/>
      <c r="BJ7381" s="25"/>
      <c r="BK7381" s="25"/>
    </row>
    <row r="7382" spans="60:63" ht="14.25" x14ac:dyDescent="0.2">
      <c r="BH7382" s="25"/>
      <c r="BI7382" s="25"/>
      <c r="BJ7382" s="25"/>
      <c r="BK7382" s="25"/>
    </row>
    <row r="7383" spans="60:63" ht="14.25" x14ac:dyDescent="0.2">
      <c r="BH7383" s="25"/>
      <c r="BI7383" s="25"/>
      <c r="BJ7383" s="25"/>
      <c r="BK7383" s="25"/>
    </row>
    <row r="7384" spans="60:63" ht="14.25" x14ac:dyDescent="0.2">
      <c r="BH7384" s="25"/>
      <c r="BI7384" s="25"/>
      <c r="BJ7384" s="25"/>
      <c r="BK7384" s="25"/>
    </row>
    <row r="7385" spans="60:63" ht="14.25" x14ac:dyDescent="0.2">
      <c r="BH7385" s="25"/>
      <c r="BI7385" s="25"/>
      <c r="BJ7385" s="25"/>
      <c r="BK7385" s="25"/>
    </row>
    <row r="7386" spans="60:63" ht="14.25" x14ac:dyDescent="0.2">
      <c r="BH7386" s="25"/>
      <c r="BI7386" s="25"/>
      <c r="BJ7386" s="25"/>
      <c r="BK7386" s="25"/>
    </row>
    <row r="7387" spans="60:63" ht="14.25" x14ac:dyDescent="0.2">
      <c r="BH7387" s="25"/>
      <c r="BI7387" s="25"/>
      <c r="BJ7387" s="25"/>
      <c r="BK7387" s="25"/>
    </row>
    <row r="7388" spans="60:63" ht="14.25" x14ac:dyDescent="0.2">
      <c r="BH7388" s="25"/>
      <c r="BI7388" s="25"/>
      <c r="BJ7388" s="25"/>
      <c r="BK7388" s="25"/>
    </row>
    <row r="7389" spans="60:63" ht="14.25" x14ac:dyDescent="0.2">
      <c r="BH7389" s="25"/>
      <c r="BI7389" s="25"/>
      <c r="BJ7389" s="25"/>
      <c r="BK7389" s="25"/>
    </row>
    <row r="7390" spans="60:63" ht="14.25" x14ac:dyDescent="0.2">
      <c r="BH7390" s="25"/>
      <c r="BI7390" s="25"/>
      <c r="BJ7390" s="25"/>
      <c r="BK7390" s="25"/>
    </row>
    <row r="7391" spans="60:63" ht="14.25" x14ac:dyDescent="0.2">
      <c r="BH7391" s="25"/>
      <c r="BI7391" s="25"/>
      <c r="BJ7391" s="25"/>
      <c r="BK7391" s="25"/>
    </row>
    <row r="7392" spans="60:63" ht="14.25" x14ac:dyDescent="0.2">
      <c r="BH7392" s="25"/>
      <c r="BI7392" s="25"/>
      <c r="BJ7392" s="25"/>
      <c r="BK7392" s="25"/>
    </row>
    <row r="7393" spans="60:63" ht="14.25" x14ac:dyDescent="0.2">
      <c r="BH7393" s="25"/>
      <c r="BI7393" s="25"/>
      <c r="BJ7393" s="25"/>
      <c r="BK7393" s="25"/>
    </row>
    <row r="7394" spans="60:63" ht="14.25" x14ac:dyDescent="0.2">
      <c r="BH7394" s="25"/>
      <c r="BI7394" s="25"/>
      <c r="BJ7394" s="25"/>
      <c r="BK7394" s="25"/>
    </row>
    <row r="7395" spans="60:63" ht="14.25" x14ac:dyDescent="0.2">
      <c r="BH7395" s="25"/>
      <c r="BI7395" s="25"/>
      <c r="BJ7395" s="25"/>
      <c r="BK7395" s="25"/>
    </row>
    <row r="7396" spans="60:63" ht="14.25" x14ac:dyDescent="0.2">
      <c r="BH7396" s="25"/>
      <c r="BI7396" s="25"/>
      <c r="BJ7396" s="25"/>
      <c r="BK7396" s="25"/>
    </row>
    <row r="7397" spans="60:63" ht="14.25" x14ac:dyDescent="0.2">
      <c r="BH7397" s="25"/>
      <c r="BI7397" s="25"/>
      <c r="BJ7397" s="25"/>
      <c r="BK7397" s="25"/>
    </row>
    <row r="7398" spans="60:63" ht="14.25" x14ac:dyDescent="0.2">
      <c r="BH7398" s="25"/>
      <c r="BI7398" s="25"/>
      <c r="BJ7398" s="25"/>
      <c r="BK7398" s="25"/>
    </row>
    <row r="7399" spans="60:63" ht="14.25" x14ac:dyDescent="0.2">
      <c r="BH7399" s="25"/>
      <c r="BI7399" s="25"/>
      <c r="BJ7399" s="25"/>
      <c r="BK7399" s="25"/>
    </row>
    <row r="7400" spans="60:63" ht="14.25" x14ac:dyDescent="0.2">
      <c r="BH7400" s="25"/>
      <c r="BI7400" s="25"/>
      <c r="BJ7400" s="25"/>
      <c r="BK7400" s="25"/>
    </row>
    <row r="7401" spans="60:63" ht="14.25" x14ac:dyDescent="0.2">
      <c r="BH7401" s="25"/>
      <c r="BI7401" s="25"/>
      <c r="BJ7401" s="25"/>
      <c r="BK7401" s="25"/>
    </row>
    <row r="7402" spans="60:63" ht="14.25" x14ac:dyDescent="0.2">
      <c r="BH7402" s="25"/>
      <c r="BI7402" s="25"/>
      <c r="BJ7402" s="25"/>
      <c r="BK7402" s="25"/>
    </row>
    <row r="7403" spans="60:63" ht="14.25" x14ac:dyDescent="0.2">
      <c r="BH7403" s="25"/>
      <c r="BI7403" s="25"/>
      <c r="BJ7403" s="25"/>
      <c r="BK7403" s="25"/>
    </row>
    <row r="7404" spans="60:63" ht="14.25" x14ac:dyDescent="0.2">
      <c r="BH7404" s="25"/>
      <c r="BI7404" s="25"/>
      <c r="BJ7404" s="25"/>
      <c r="BK7404" s="25"/>
    </row>
    <row r="7405" spans="60:63" ht="14.25" x14ac:dyDescent="0.2">
      <c r="BH7405" s="25"/>
      <c r="BI7405" s="25"/>
      <c r="BJ7405" s="25"/>
      <c r="BK7405" s="25"/>
    </row>
    <row r="7406" spans="60:63" ht="14.25" x14ac:dyDescent="0.2">
      <c r="BH7406" s="25"/>
      <c r="BI7406" s="25"/>
      <c r="BJ7406" s="25"/>
      <c r="BK7406" s="25"/>
    </row>
    <row r="7407" spans="60:63" ht="14.25" x14ac:dyDescent="0.2">
      <c r="BH7407" s="25"/>
      <c r="BI7407" s="25"/>
      <c r="BJ7407" s="25"/>
      <c r="BK7407" s="25"/>
    </row>
    <row r="7408" spans="60:63" ht="14.25" x14ac:dyDescent="0.2">
      <c r="BH7408" s="25"/>
      <c r="BI7408" s="25"/>
      <c r="BJ7408" s="25"/>
      <c r="BK7408" s="25"/>
    </row>
    <row r="7409" spans="60:63" ht="14.25" x14ac:dyDescent="0.2">
      <c r="BH7409" s="25"/>
      <c r="BI7409" s="25"/>
      <c r="BJ7409" s="25"/>
      <c r="BK7409" s="25"/>
    </row>
    <row r="7410" spans="60:63" ht="14.25" x14ac:dyDescent="0.2">
      <c r="BH7410" s="25"/>
      <c r="BI7410" s="25"/>
      <c r="BJ7410" s="25"/>
      <c r="BK7410" s="25"/>
    </row>
    <row r="7411" spans="60:63" ht="14.25" x14ac:dyDescent="0.2">
      <c r="BH7411" s="25"/>
      <c r="BI7411" s="25"/>
      <c r="BJ7411" s="25"/>
      <c r="BK7411" s="25"/>
    </row>
    <row r="7412" spans="60:63" ht="14.25" x14ac:dyDescent="0.2">
      <c r="BH7412" s="25"/>
      <c r="BI7412" s="25"/>
      <c r="BJ7412" s="25"/>
      <c r="BK7412" s="25"/>
    </row>
    <row r="7413" spans="60:63" ht="14.25" x14ac:dyDescent="0.2">
      <c r="BH7413" s="25"/>
      <c r="BI7413" s="25"/>
      <c r="BJ7413" s="25"/>
      <c r="BK7413" s="25"/>
    </row>
    <row r="7414" spans="60:63" ht="14.25" x14ac:dyDescent="0.2">
      <c r="BH7414" s="25"/>
      <c r="BI7414" s="25"/>
      <c r="BJ7414" s="25"/>
      <c r="BK7414" s="25"/>
    </row>
    <row r="7415" spans="60:63" ht="14.25" x14ac:dyDescent="0.2">
      <c r="BH7415" s="25"/>
      <c r="BI7415" s="25"/>
      <c r="BJ7415" s="25"/>
      <c r="BK7415" s="25"/>
    </row>
    <row r="7416" spans="60:63" ht="14.25" x14ac:dyDescent="0.2">
      <c r="BH7416" s="25"/>
      <c r="BI7416" s="25"/>
      <c r="BJ7416" s="25"/>
      <c r="BK7416" s="25"/>
    </row>
    <row r="7417" spans="60:63" ht="14.25" x14ac:dyDescent="0.2">
      <c r="BH7417" s="25"/>
      <c r="BI7417" s="25"/>
      <c r="BJ7417" s="25"/>
      <c r="BK7417" s="25"/>
    </row>
    <row r="7418" spans="60:63" ht="14.25" x14ac:dyDescent="0.2">
      <c r="BH7418" s="25"/>
      <c r="BI7418" s="25"/>
      <c r="BJ7418" s="25"/>
      <c r="BK7418" s="25"/>
    </row>
    <row r="7419" spans="60:63" ht="14.25" x14ac:dyDescent="0.2">
      <c r="BH7419" s="25"/>
      <c r="BI7419" s="25"/>
      <c r="BJ7419" s="25"/>
      <c r="BK7419" s="25"/>
    </row>
    <row r="7420" spans="60:63" ht="14.25" x14ac:dyDescent="0.2">
      <c r="BH7420" s="25"/>
      <c r="BI7420" s="25"/>
      <c r="BJ7420" s="25"/>
      <c r="BK7420" s="25"/>
    </row>
    <row r="7421" spans="60:63" ht="14.25" x14ac:dyDescent="0.2">
      <c r="BH7421" s="25"/>
      <c r="BI7421" s="25"/>
      <c r="BJ7421" s="25"/>
      <c r="BK7421" s="25"/>
    </row>
    <row r="7422" spans="60:63" ht="14.25" x14ac:dyDescent="0.2">
      <c r="BH7422" s="25"/>
      <c r="BI7422" s="25"/>
      <c r="BJ7422" s="25"/>
      <c r="BK7422" s="25"/>
    </row>
    <row r="7423" spans="60:63" ht="14.25" x14ac:dyDescent="0.2">
      <c r="BH7423" s="25"/>
      <c r="BI7423" s="25"/>
      <c r="BJ7423" s="25"/>
      <c r="BK7423" s="25"/>
    </row>
    <row r="7424" spans="60:63" ht="14.25" x14ac:dyDescent="0.2">
      <c r="BH7424" s="25"/>
      <c r="BI7424" s="25"/>
      <c r="BJ7424" s="25"/>
      <c r="BK7424" s="25"/>
    </row>
    <row r="7425" spans="60:63" ht="14.25" x14ac:dyDescent="0.2">
      <c r="BH7425" s="25"/>
      <c r="BI7425" s="25"/>
      <c r="BJ7425" s="25"/>
      <c r="BK7425" s="25"/>
    </row>
    <row r="7426" spans="60:63" ht="14.25" x14ac:dyDescent="0.2">
      <c r="BH7426" s="25"/>
      <c r="BI7426" s="25"/>
      <c r="BJ7426" s="25"/>
      <c r="BK7426" s="25"/>
    </row>
    <row r="7427" spans="60:63" ht="14.25" x14ac:dyDescent="0.2">
      <c r="BH7427" s="25"/>
      <c r="BI7427" s="25"/>
      <c r="BJ7427" s="25"/>
      <c r="BK7427" s="25"/>
    </row>
    <row r="7428" spans="60:63" ht="14.25" x14ac:dyDescent="0.2">
      <c r="BH7428" s="25"/>
      <c r="BI7428" s="25"/>
      <c r="BJ7428" s="25"/>
      <c r="BK7428" s="25"/>
    </row>
    <row r="7429" spans="60:63" ht="14.25" x14ac:dyDescent="0.2">
      <c r="BH7429" s="25"/>
      <c r="BI7429" s="25"/>
      <c r="BJ7429" s="25"/>
      <c r="BK7429" s="25"/>
    </row>
    <row r="7430" spans="60:63" ht="14.25" x14ac:dyDescent="0.2">
      <c r="BH7430" s="25"/>
      <c r="BI7430" s="25"/>
      <c r="BJ7430" s="25"/>
      <c r="BK7430" s="25"/>
    </row>
    <row r="7431" spans="60:63" ht="14.25" x14ac:dyDescent="0.2">
      <c r="BH7431" s="25"/>
      <c r="BI7431" s="25"/>
      <c r="BJ7431" s="25"/>
      <c r="BK7431" s="25"/>
    </row>
    <row r="7432" spans="60:63" ht="14.25" x14ac:dyDescent="0.2">
      <c r="BH7432" s="25"/>
      <c r="BI7432" s="25"/>
      <c r="BJ7432" s="25"/>
      <c r="BK7432" s="25"/>
    </row>
    <row r="7433" spans="60:63" ht="14.25" x14ac:dyDescent="0.2">
      <c r="BH7433" s="25"/>
      <c r="BI7433" s="25"/>
      <c r="BJ7433" s="25"/>
      <c r="BK7433" s="25"/>
    </row>
    <row r="7434" spans="60:63" ht="14.25" x14ac:dyDescent="0.2">
      <c r="BH7434" s="25"/>
      <c r="BI7434" s="25"/>
      <c r="BJ7434" s="25"/>
      <c r="BK7434" s="25"/>
    </row>
    <row r="7435" spans="60:63" ht="14.25" x14ac:dyDescent="0.2">
      <c r="BH7435" s="25"/>
      <c r="BI7435" s="25"/>
      <c r="BJ7435" s="25"/>
      <c r="BK7435" s="25"/>
    </row>
    <row r="7436" spans="60:63" ht="14.25" x14ac:dyDescent="0.2">
      <c r="BH7436" s="25"/>
      <c r="BI7436" s="25"/>
      <c r="BJ7436" s="25"/>
      <c r="BK7436" s="25"/>
    </row>
    <row r="7437" spans="60:63" ht="14.25" x14ac:dyDescent="0.2">
      <c r="BH7437" s="25"/>
      <c r="BI7437" s="25"/>
      <c r="BJ7437" s="25"/>
      <c r="BK7437" s="25"/>
    </row>
    <row r="7438" spans="60:63" ht="14.25" x14ac:dyDescent="0.2">
      <c r="BH7438" s="25"/>
      <c r="BI7438" s="25"/>
      <c r="BJ7438" s="25"/>
      <c r="BK7438" s="25"/>
    </row>
    <row r="7439" spans="60:63" ht="14.25" x14ac:dyDescent="0.2">
      <c r="BH7439" s="25"/>
      <c r="BI7439" s="25"/>
      <c r="BJ7439" s="25"/>
      <c r="BK7439" s="25"/>
    </row>
    <row r="7440" spans="60:63" ht="14.25" x14ac:dyDescent="0.2">
      <c r="BH7440" s="25"/>
      <c r="BI7440" s="25"/>
      <c r="BJ7440" s="25"/>
      <c r="BK7440" s="25"/>
    </row>
    <row r="7441" spans="60:63" ht="14.25" x14ac:dyDescent="0.2">
      <c r="BH7441" s="25"/>
      <c r="BI7441" s="25"/>
      <c r="BJ7441" s="25"/>
      <c r="BK7441" s="25"/>
    </row>
    <row r="7442" spans="60:63" ht="14.25" x14ac:dyDescent="0.2">
      <c r="BH7442" s="25"/>
      <c r="BI7442" s="25"/>
      <c r="BJ7442" s="25"/>
      <c r="BK7442" s="25"/>
    </row>
    <row r="7443" spans="60:63" ht="14.25" x14ac:dyDescent="0.2">
      <c r="BH7443" s="25"/>
      <c r="BI7443" s="25"/>
      <c r="BJ7443" s="25"/>
      <c r="BK7443" s="25"/>
    </row>
    <row r="7444" spans="60:63" ht="14.25" x14ac:dyDescent="0.2">
      <c r="BH7444" s="25"/>
      <c r="BI7444" s="25"/>
      <c r="BJ7444" s="25"/>
      <c r="BK7444" s="25"/>
    </row>
    <row r="7445" spans="60:63" ht="14.25" x14ac:dyDescent="0.2">
      <c r="BH7445" s="25"/>
      <c r="BI7445" s="25"/>
      <c r="BJ7445" s="25"/>
      <c r="BK7445" s="25"/>
    </row>
    <row r="7446" spans="60:63" ht="14.25" x14ac:dyDescent="0.2">
      <c r="BH7446" s="25"/>
      <c r="BI7446" s="25"/>
      <c r="BJ7446" s="25"/>
      <c r="BK7446" s="25"/>
    </row>
    <row r="7447" spans="60:63" ht="14.25" x14ac:dyDescent="0.2">
      <c r="BH7447" s="25"/>
      <c r="BI7447" s="25"/>
      <c r="BJ7447" s="25"/>
      <c r="BK7447" s="25"/>
    </row>
    <row r="7448" spans="60:63" ht="14.25" x14ac:dyDescent="0.2">
      <c r="BH7448" s="25"/>
      <c r="BI7448" s="25"/>
      <c r="BJ7448" s="25"/>
      <c r="BK7448" s="25"/>
    </row>
    <row r="7449" spans="60:63" ht="14.25" x14ac:dyDescent="0.2">
      <c r="BH7449" s="25"/>
      <c r="BI7449" s="25"/>
      <c r="BJ7449" s="25"/>
      <c r="BK7449" s="25"/>
    </row>
    <row r="7450" spans="60:63" ht="14.25" x14ac:dyDescent="0.2">
      <c r="BH7450" s="25"/>
      <c r="BI7450" s="25"/>
      <c r="BJ7450" s="25"/>
      <c r="BK7450" s="25"/>
    </row>
    <row r="7451" spans="60:63" ht="14.25" x14ac:dyDescent="0.2">
      <c r="BH7451" s="25"/>
      <c r="BI7451" s="25"/>
      <c r="BJ7451" s="25"/>
      <c r="BK7451" s="25"/>
    </row>
    <row r="7452" spans="60:63" ht="14.25" x14ac:dyDescent="0.2">
      <c r="BH7452" s="25"/>
      <c r="BI7452" s="25"/>
      <c r="BJ7452" s="25"/>
      <c r="BK7452" s="25"/>
    </row>
    <row r="7453" spans="60:63" ht="14.25" x14ac:dyDescent="0.2">
      <c r="BH7453" s="25"/>
      <c r="BI7453" s="25"/>
      <c r="BJ7453" s="25"/>
      <c r="BK7453" s="25"/>
    </row>
    <row r="7454" spans="60:63" ht="14.25" x14ac:dyDescent="0.2">
      <c r="BH7454" s="25"/>
      <c r="BI7454" s="25"/>
      <c r="BJ7454" s="25"/>
      <c r="BK7454" s="25"/>
    </row>
    <row r="7455" spans="60:63" ht="14.25" x14ac:dyDescent="0.2">
      <c r="BH7455" s="25"/>
      <c r="BI7455" s="25"/>
      <c r="BJ7455" s="25"/>
      <c r="BK7455" s="25"/>
    </row>
    <row r="7456" spans="60:63" ht="14.25" x14ac:dyDescent="0.2">
      <c r="BH7456" s="25"/>
      <c r="BI7456" s="25"/>
      <c r="BJ7456" s="25"/>
      <c r="BK7456" s="25"/>
    </row>
    <row r="7457" spans="60:63" ht="14.25" x14ac:dyDescent="0.2">
      <c r="BH7457" s="25"/>
      <c r="BI7457" s="25"/>
      <c r="BJ7457" s="25"/>
      <c r="BK7457" s="25"/>
    </row>
    <row r="7458" spans="60:63" ht="14.25" x14ac:dyDescent="0.2">
      <c r="BH7458" s="25"/>
      <c r="BI7458" s="25"/>
      <c r="BJ7458" s="25"/>
      <c r="BK7458" s="25"/>
    </row>
    <row r="7459" spans="60:63" ht="14.25" x14ac:dyDescent="0.2">
      <c r="BH7459" s="25"/>
      <c r="BI7459" s="25"/>
      <c r="BJ7459" s="25"/>
      <c r="BK7459" s="25"/>
    </row>
    <row r="7460" spans="60:63" ht="14.25" x14ac:dyDescent="0.2">
      <c r="BH7460" s="25"/>
      <c r="BI7460" s="25"/>
      <c r="BJ7460" s="25"/>
      <c r="BK7460" s="25"/>
    </row>
    <row r="7461" spans="60:63" ht="14.25" x14ac:dyDescent="0.2">
      <c r="BH7461" s="25"/>
      <c r="BI7461" s="25"/>
      <c r="BJ7461" s="25"/>
      <c r="BK7461" s="25"/>
    </row>
    <row r="7462" spans="60:63" ht="14.25" x14ac:dyDescent="0.2">
      <c r="BH7462" s="25"/>
      <c r="BI7462" s="25"/>
      <c r="BJ7462" s="25"/>
      <c r="BK7462" s="25"/>
    </row>
    <row r="7463" spans="60:63" ht="14.25" x14ac:dyDescent="0.2">
      <c r="BH7463" s="25"/>
      <c r="BI7463" s="25"/>
      <c r="BJ7463" s="25"/>
      <c r="BK7463" s="25"/>
    </row>
    <row r="7464" spans="60:63" ht="14.25" x14ac:dyDescent="0.2">
      <c r="BH7464" s="25"/>
      <c r="BI7464" s="25"/>
      <c r="BJ7464" s="25"/>
      <c r="BK7464" s="25"/>
    </row>
    <row r="7465" spans="60:63" ht="14.25" x14ac:dyDescent="0.2">
      <c r="BH7465" s="25"/>
      <c r="BI7465" s="25"/>
      <c r="BJ7465" s="25"/>
      <c r="BK7465" s="25"/>
    </row>
    <row r="7466" spans="60:63" ht="14.25" x14ac:dyDescent="0.2">
      <c r="BH7466" s="25"/>
      <c r="BI7466" s="25"/>
      <c r="BJ7466" s="25"/>
      <c r="BK7466" s="25"/>
    </row>
    <row r="7467" spans="60:63" ht="14.25" x14ac:dyDescent="0.2">
      <c r="BH7467" s="25"/>
      <c r="BI7467" s="25"/>
      <c r="BJ7467" s="25"/>
      <c r="BK7467" s="25"/>
    </row>
    <row r="7468" spans="60:63" ht="14.25" x14ac:dyDescent="0.2">
      <c r="BH7468" s="25"/>
      <c r="BI7468" s="25"/>
      <c r="BJ7468" s="25"/>
      <c r="BK7468" s="25"/>
    </row>
    <row r="7469" spans="60:63" ht="14.25" x14ac:dyDescent="0.2">
      <c r="BH7469" s="25"/>
      <c r="BI7469" s="25"/>
      <c r="BJ7469" s="25"/>
      <c r="BK7469" s="25"/>
    </row>
    <row r="7470" spans="60:63" ht="14.25" x14ac:dyDescent="0.2">
      <c r="BH7470" s="25"/>
      <c r="BI7470" s="25"/>
      <c r="BJ7470" s="25"/>
      <c r="BK7470" s="25"/>
    </row>
    <row r="7471" spans="60:63" ht="14.25" x14ac:dyDescent="0.2">
      <c r="BH7471" s="25"/>
      <c r="BI7471" s="25"/>
      <c r="BJ7471" s="25"/>
      <c r="BK7471" s="25"/>
    </row>
    <row r="7472" spans="60:63" ht="14.25" x14ac:dyDescent="0.2">
      <c r="BH7472" s="25"/>
      <c r="BI7472" s="25"/>
      <c r="BJ7472" s="25"/>
      <c r="BK7472" s="25"/>
    </row>
    <row r="7473" spans="60:63" ht="14.25" x14ac:dyDescent="0.2">
      <c r="BH7473" s="25"/>
      <c r="BI7473" s="25"/>
      <c r="BJ7473" s="25"/>
      <c r="BK7473" s="25"/>
    </row>
    <row r="7474" spans="60:63" ht="14.25" x14ac:dyDescent="0.2">
      <c r="BH7474" s="25"/>
      <c r="BI7474" s="25"/>
      <c r="BJ7474" s="25"/>
      <c r="BK7474" s="25"/>
    </row>
    <row r="7475" spans="60:63" ht="14.25" x14ac:dyDescent="0.2">
      <c r="BH7475" s="25"/>
      <c r="BI7475" s="25"/>
      <c r="BJ7475" s="25"/>
      <c r="BK7475" s="25"/>
    </row>
    <row r="7476" spans="60:63" ht="14.25" x14ac:dyDescent="0.2">
      <c r="BH7476" s="25"/>
      <c r="BI7476" s="25"/>
      <c r="BJ7476" s="25"/>
      <c r="BK7476" s="25"/>
    </row>
    <row r="7477" spans="60:63" ht="14.25" x14ac:dyDescent="0.2">
      <c r="BH7477" s="25"/>
      <c r="BI7477" s="25"/>
      <c r="BJ7477" s="25"/>
      <c r="BK7477" s="25"/>
    </row>
    <row r="7478" spans="60:63" ht="14.25" x14ac:dyDescent="0.2">
      <c r="BH7478" s="25"/>
      <c r="BI7478" s="25"/>
      <c r="BJ7478" s="25"/>
      <c r="BK7478" s="25"/>
    </row>
    <row r="7479" spans="60:63" ht="14.25" x14ac:dyDescent="0.2">
      <c r="BH7479" s="25"/>
      <c r="BI7479" s="25"/>
      <c r="BJ7479" s="25"/>
      <c r="BK7479" s="25"/>
    </row>
    <row r="7480" spans="60:63" ht="14.25" x14ac:dyDescent="0.2">
      <c r="BH7480" s="25"/>
      <c r="BI7480" s="25"/>
      <c r="BJ7480" s="25"/>
      <c r="BK7480" s="25"/>
    </row>
    <row r="7481" spans="60:63" ht="14.25" x14ac:dyDescent="0.2">
      <c r="BH7481" s="25"/>
      <c r="BI7481" s="25"/>
      <c r="BJ7481" s="25"/>
      <c r="BK7481" s="25"/>
    </row>
    <row r="7482" spans="60:63" ht="14.25" x14ac:dyDescent="0.2">
      <c r="BH7482" s="25"/>
      <c r="BI7482" s="25"/>
      <c r="BJ7482" s="25"/>
      <c r="BK7482" s="25"/>
    </row>
    <row r="7483" spans="60:63" ht="14.25" x14ac:dyDescent="0.2">
      <c r="BH7483" s="25"/>
      <c r="BI7483" s="25"/>
      <c r="BJ7483" s="25"/>
      <c r="BK7483" s="25"/>
    </row>
    <row r="7484" spans="60:63" ht="14.25" x14ac:dyDescent="0.2">
      <c r="BH7484" s="25"/>
      <c r="BI7484" s="25"/>
      <c r="BJ7484" s="25"/>
      <c r="BK7484" s="25"/>
    </row>
    <row r="7485" spans="60:63" ht="14.25" x14ac:dyDescent="0.2">
      <c r="BH7485" s="25"/>
      <c r="BI7485" s="25"/>
      <c r="BJ7485" s="25"/>
      <c r="BK7485" s="25"/>
    </row>
    <row r="7486" spans="60:63" ht="14.25" x14ac:dyDescent="0.2">
      <c r="BH7486" s="25"/>
      <c r="BI7486" s="25"/>
      <c r="BJ7486" s="25"/>
      <c r="BK7486" s="25"/>
    </row>
    <row r="7487" spans="60:63" ht="14.25" x14ac:dyDescent="0.2">
      <c r="BH7487" s="25"/>
      <c r="BI7487" s="25"/>
      <c r="BJ7487" s="25"/>
      <c r="BK7487" s="25"/>
    </row>
    <row r="7488" spans="60:63" ht="14.25" x14ac:dyDescent="0.2">
      <c r="BH7488" s="25"/>
      <c r="BI7488" s="25"/>
      <c r="BJ7488" s="25"/>
      <c r="BK7488" s="25"/>
    </row>
    <row r="7489" spans="60:63" ht="14.25" x14ac:dyDescent="0.2">
      <c r="BH7489" s="25"/>
      <c r="BI7489" s="25"/>
      <c r="BJ7489" s="25"/>
      <c r="BK7489" s="25"/>
    </row>
    <row r="7490" spans="60:63" ht="14.25" x14ac:dyDescent="0.2">
      <c r="BH7490" s="25"/>
      <c r="BI7490" s="25"/>
      <c r="BJ7490" s="25"/>
      <c r="BK7490" s="25"/>
    </row>
    <row r="7491" spans="60:63" ht="14.25" x14ac:dyDescent="0.2">
      <c r="BH7491" s="25"/>
      <c r="BI7491" s="25"/>
      <c r="BJ7491" s="25"/>
      <c r="BK7491" s="25"/>
    </row>
    <row r="7492" spans="60:63" ht="14.25" x14ac:dyDescent="0.2">
      <c r="BH7492" s="25"/>
      <c r="BI7492" s="25"/>
      <c r="BJ7492" s="25"/>
      <c r="BK7492" s="25"/>
    </row>
    <row r="7493" spans="60:63" ht="14.25" x14ac:dyDescent="0.2">
      <c r="BH7493" s="25"/>
      <c r="BI7493" s="25"/>
      <c r="BJ7493" s="25"/>
      <c r="BK7493" s="25"/>
    </row>
    <row r="7494" spans="60:63" ht="14.25" x14ac:dyDescent="0.2">
      <c r="BH7494" s="25"/>
      <c r="BI7494" s="25"/>
      <c r="BJ7494" s="25"/>
      <c r="BK7494" s="25"/>
    </row>
    <row r="7495" spans="60:63" ht="14.25" x14ac:dyDescent="0.2">
      <c r="BH7495" s="25"/>
      <c r="BI7495" s="25"/>
      <c r="BJ7495" s="25"/>
      <c r="BK7495" s="25"/>
    </row>
    <row r="7496" spans="60:63" ht="14.25" x14ac:dyDescent="0.2">
      <c r="BH7496" s="25"/>
      <c r="BI7496" s="25"/>
      <c r="BJ7496" s="25"/>
      <c r="BK7496" s="25"/>
    </row>
    <row r="7497" spans="60:63" ht="14.25" x14ac:dyDescent="0.2">
      <c r="BH7497" s="25"/>
      <c r="BI7497" s="25"/>
      <c r="BJ7497" s="25"/>
      <c r="BK7497" s="25"/>
    </row>
    <row r="7498" spans="60:63" ht="14.25" x14ac:dyDescent="0.2">
      <c r="BH7498" s="25"/>
      <c r="BI7498" s="25"/>
      <c r="BJ7498" s="25"/>
      <c r="BK7498" s="25"/>
    </row>
    <row r="7499" spans="60:63" ht="14.25" x14ac:dyDescent="0.2">
      <c r="BH7499" s="25"/>
      <c r="BI7499" s="25"/>
      <c r="BJ7499" s="25"/>
      <c r="BK7499" s="25"/>
    </row>
    <row r="7500" spans="60:63" ht="14.25" x14ac:dyDescent="0.2">
      <c r="BH7500" s="25"/>
      <c r="BI7500" s="25"/>
      <c r="BJ7500" s="25"/>
      <c r="BK7500" s="25"/>
    </row>
    <row r="7501" spans="60:63" ht="14.25" x14ac:dyDescent="0.2">
      <c r="BH7501" s="25"/>
      <c r="BI7501" s="25"/>
      <c r="BJ7501" s="25"/>
      <c r="BK7501" s="25"/>
    </row>
    <row r="7502" spans="60:63" ht="14.25" x14ac:dyDescent="0.2">
      <c r="BH7502" s="25"/>
      <c r="BI7502" s="25"/>
      <c r="BJ7502" s="25"/>
      <c r="BK7502" s="25"/>
    </row>
    <row r="7503" spans="60:63" ht="14.25" x14ac:dyDescent="0.2">
      <c r="BH7503" s="25"/>
      <c r="BI7503" s="25"/>
      <c r="BJ7503" s="25"/>
      <c r="BK7503" s="25"/>
    </row>
    <row r="7504" spans="60:63" ht="14.25" x14ac:dyDescent="0.2">
      <c r="BH7504" s="25"/>
      <c r="BI7504" s="25"/>
      <c r="BJ7504" s="25"/>
      <c r="BK7504" s="25"/>
    </row>
    <row r="7505" spans="60:63" ht="14.25" x14ac:dyDescent="0.2">
      <c r="BH7505" s="25"/>
      <c r="BI7505" s="25"/>
      <c r="BJ7505" s="25"/>
      <c r="BK7505" s="25"/>
    </row>
    <row r="7506" spans="60:63" ht="14.25" x14ac:dyDescent="0.2">
      <c r="BH7506" s="25"/>
      <c r="BI7506" s="25"/>
      <c r="BJ7506" s="25"/>
      <c r="BK7506" s="25"/>
    </row>
    <row r="7507" spans="60:63" ht="14.25" x14ac:dyDescent="0.2">
      <c r="BH7507" s="25"/>
      <c r="BI7507" s="25"/>
      <c r="BJ7507" s="25"/>
      <c r="BK7507" s="25"/>
    </row>
    <row r="7508" spans="60:63" ht="14.25" x14ac:dyDescent="0.2">
      <c r="BH7508" s="25"/>
      <c r="BI7508" s="25"/>
      <c r="BJ7508" s="25"/>
      <c r="BK7508" s="25"/>
    </row>
    <row r="7509" spans="60:63" ht="14.25" x14ac:dyDescent="0.2">
      <c r="BH7509" s="25"/>
      <c r="BI7509" s="25"/>
      <c r="BJ7509" s="25"/>
      <c r="BK7509" s="25"/>
    </row>
    <row r="7510" spans="60:63" ht="14.25" x14ac:dyDescent="0.2">
      <c r="BH7510" s="25"/>
      <c r="BI7510" s="25"/>
      <c r="BJ7510" s="25"/>
      <c r="BK7510" s="25"/>
    </row>
    <row r="7511" spans="60:63" ht="14.25" x14ac:dyDescent="0.2">
      <c r="BH7511" s="25"/>
      <c r="BI7511" s="25"/>
      <c r="BJ7511" s="25"/>
      <c r="BK7511" s="25"/>
    </row>
    <row r="7512" spans="60:63" ht="14.25" x14ac:dyDescent="0.2">
      <c r="BH7512" s="25"/>
      <c r="BI7512" s="25"/>
      <c r="BJ7512" s="25"/>
      <c r="BK7512" s="25"/>
    </row>
    <row r="7513" spans="60:63" ht="14.25" x14ac:dyDescent="0.2">
      <c r="BH7513" s="25"/>
      <c r="BI7513" s="25"/>
      <c r="BJ7513" s="25"/>
      <c r="BK7513" s="25"/>
    </row>
    <row r="7514" spans="60:63" ht="14.25" x14ac:dyDescent="0.2">
      <c r="BH7514" s="25"/>
      <c r="BI7514" s="25"/>
      <c r="BJ7514" s="25"/>
      <c r="BK7514" s="25"/>
    </row>
    <row r="7515" spans="60:63" ht="14.25" x14ac:dyDescent="0.2">
      <c r="BH7515" s="25"/>
      <c r="BI7515" s="25"/>
      <c r="BJ7515" s="25"/>
      <c r="BK7515" s="25"/>
    </row>
    <row r="7516" spans="60:63" ht="14.25" x14ac:dyDescent="0.2">
      <c r="BH7516" s="25"/>
      <c r="BI7516" s="25"/>
      <c r="BJ7516" s="25"/>
      <c r="BK7516" s="25"/>
    </row>
    <row r="7517" spans="60:63" ht="14.25" x14ac:dyDescent="0.2">
      <c r="BH7517" s="25"/>
      <c r="BI7517" s="25"/>
      <c r="BJ7517" s="25"/>
      <c r="BK7517" s="25"/>
    </row>
    <row r="7518" spans="60:63" ht="14.25" x14ac:dyDescent="0.2">
      <c r="BH7518" s="25"/>
      <c r="BI7518" s="25"/>
      <c r="BJ7518" s="25"/>
      <c r="BK7518" s="25"/>
    </row>
    <row r="7519" spans="60:63" ht="14.25" x14ac:dyDescent="0.2">
      <c r="BH7519" s="25"/>
      <c r="BI7519" s="25"/>
      <c r="BJ7519" s="25"/>
      <c r="BK7519" s="25"/>
    </row>
    <row r="7520" spans="60:63" ht="14.25" x14ac:dyDescent="0.2">
      <c r="BH7520" s="25"/>
      <c r="BI7520" s="25"/>
      <c r="BJ7520" s="25"/>
      <c r="BK7520" s="25"/>
    </row>
    <row r="7521" spans="60:63" ht="14.25" x14ac:dyDescent="0.2">
      <c r="BH7521" s="25"/>
      <c r="BI7521" s="25"/>
      <c r="BJ7521" s="25"/>
      <c r="BK7521" s="25"/>
    </row>
    <row r="7522" spans="60:63" ht="14.25" x14ac:dyDescent="0.2">
      <c r="BH7522" s="25"/>
      <c r="BI7522" s="25"/>
      <c r="BJ7522" s="25"/>
      <c r="BK7522" s="25"/>
    </row>
    <row r="7523" spans="60:63" ht="14.25" x14ac:dyDescent="0.2">
      <c r="BH7523" s="25"/>
      <c r="BI7523" s="25"/>
      <c r="BJ7523" s="25"/>
      <c r="BK7523" s="25"/>
    </row>
    <row r="7524" spans="60:63" ht="14.25" x14ac:dyDescent="0.2">
      <c r="BH7524" s="25"/>
      <c r="BI7524" s="25"/>
      <c r="BJ7524" s="25"/>
      <c r="BK7524" s="25"/>
    </row>
    <row r="7525" spans="60:63" ht="14.25" x14ac:dyDescent="0.2">
      <c r="BH7525" s="25"/>
      <c r="BI7525" s="25"/>
      <c r="BJ7525" s="25"/>
      <c r="BK7525" s="25"/>
    </row>
    <row r="7526" spans="60:63" ht="14.25" x14ac:dyDescent="0.2">
      <c r="BH7526" s="25"/>
      <c r="BI7526" s="25"/>
      <c r="BJ7526" s="25"/>
      <c r="BK7526" s="25"/>
    </row>
    <row r="7527" spans="60:63" ht="14.25" x14ac:dyDescent="0.2">
      <c r="BH7527" s="25"/>
      <c r="BI7527" s="25"/>
      <c r="BJ7527" s="25"/>
      <c r="BK7527" s="25"/>
    </row>
    <row r="7528" spans="60:63" ht="14.25" x14ac:dyDescent="0.2">
      <c r="BH7528" s="25"/>
      <c r="BI7528" s="25"/>
      <c r="BJ7528" s="25"/>
      <c r="BK7528" s="25"/>
    </row>
    <row r="7529" spans="60:63" ht="14.25" x14ac:dyDescent="0.2">
      <c r="BH7529" s="25"/>
      <c r="BI7529" s="25"/>
      <c r="BJ7529" s="25"/>
      <c r="BK7529" s="25"/>
    </row>
    <row r="7530" spans="60:63" ht="14.25" x14ac:dyDescent="0.2">
      <c r="BH7530" s="25"/>
      <c r="BI7530" s="25"/>
      <c r="BJ7530" s="25"/>
      <c r="BK7530" s="25"/>
    </row>
    <row r="7531" spans="60:63" ht="14.25" x14ac:dyDescent="0.2">
      <c r="BH7531" s="25"/>
      <c r="BI7531" s="25"/>
      <c r="BJ7531" s="25"/>
      <c r="BK7531" s="25"/>
    </row>
    <row r="7532" spans="60:63" ht="14.25" x14ac:dyDescent="0.2">
      <c r="BH7532" s="25"/>
      <c r="BI7532" s="25"/>
      <c r="BJ7532" s="25"/>
      <c r="BK7532" s="25"/>
    </row>
    <row r="7533" spans="60:63" ht="14.25" x14ac:dyDescent="0.2">
      <c r="BH7533" s="25"/>
      <c r="BI7533" s="25"/>
      <c r="BJ7533" s="25"/>
      <c r="BK7533" s="25"/>
    </row>
    <row r="7534" spans="60:63" ht="14.25" x14ac:dyDescent="0.2">
      <c r="BH7534" s="25"/>
      <c r="BI7534" s="25"/>
      <c r="BJ7534" s="25"/>
      <c r="BK7534" s="25"/>
    </row>
    <row r="7535" spans="60:63" ht="14.25" x14ac:dyDescent="0.2">
      <c r="BH7535" s="25"/>
      <c r="BI7535" s="25"/>
      <c r="BJ7535" s="25"/>
      <c r="BK7535" s="25"/>
    </row>
    <row r="7536" spans="60:63" ht="14.25" x14ac:dyDescent="0.2">
      <c r="BH7536" s="25"/>
      <c r="BI7536" s="25"/>
      <c r="BJ7536" s="25"/>
      <c r="BK7536" s="25"/>
    </row>
    <row r="7537" spans="60:63" ht="14.25" x14ac:dyDescent="0.2">
      <c r="BH7537" s="25"/>
      <c r="BI7537" s="25"/>
      <c r="BJ7537" s="25"/>
      <c r="BK7537" s="25"/>
    </row>
    <row r="7538" spans="60:63" ht="14.25" x14ac:dyDescent="0.2">
      <c r="BH7538" s="25"/>
      <c r="BI7538" s="25"/>
      <c r="BJ7538" s="25"/>
      <c r="BK7538" s="25"/>
    </row>
    <row r="7539" spans="60:63" ht="14.25" x14ac:dyDescent="0.2">
      <c r="BH7539" s="25"/>
      <c r="BI7539" s="25"/>
      <c r="BJ7539" s="25"/>
      <c r="BK7539" s="25"/>
    </row>
    <row r="7540" spans="60:63" ht="14.25" x14ac:dyDescent="0.2">
      <c r="BH7540" s="25"/>
      <c r="BI7540" s="25"/>
      <c r="BJ7540" s="25"/>
      <c r="BK7540" s="25"/>
    </row>
    <row r="7541" spans="60:63" ht="14.25" x14ac:dyDescent="0.2">
      <c r="BH7541" s="25"/>
      <c r="BI7541" s="25"/>
      <c r="BJ7541" s="25"/>
      <c r="BK7541" s="25"/>
    </row>
    <row r="7542" spans="60:63" ht="14.25" x14ac:dyDescent="0.2">
      <c r="BH7542" s="25"/>
      <c r="BI7542" s="25"/>
      <c r="BJ7542" s="25"/>
      <c r="BK7542" s="25"/>
    </row>
    <row r="7543" spans="60:63" ht="14.25" x14ac:dyDescent="0.2">
      <c r="BH7543" s="25"/>
      <c r="BI7543" s="25"/>
      <c r="BJ7543" s="25"/>
      <c r="BK7543" s="25"/>
    </row>
    <row r="7544" spans="60:63" ht="14.25" x14ac:dyDescent="0.2">
      <c r="BH7544" s="25"/>
      <c r="BI7544" s="25"/>
      <c r="BJ7544" s="25"/>
      <c r="BK7544" s="25"/>
    </row>
    <row r="7545" spans="60:63" ht="14.25" x14ac:dyDescent="0.2">
      <c r="BH7545" s="25"/>
      <c r="BI7545" s="25"/>
      <c r="BJ7545" s="25"/>
      <c r="BK7545" s="25"/>
    </row>
    <row r="7546" spans="60:63" ht="14.25" x14ac:dyDescent="0.2">
      <c r="BH7546" s="25"/>
      <c r="BI7546" s="25"/>
      <c r="BJ7546" s="25"/>
      <c r="BK7546" s="25"/>
    </row>
    <row r="7547" spans="60:63" ht="14.25" x14ac:dyDescent="0.2">
      <c r="BH7547" s="25"/>
      <c r="BI7547" s="25"/>
      <c r="BJ7547" s="25"/>
      <c r="BK7547" s="25"/>
    </row>
    <row r="7548" spans="60:63" ht="14.25" x14ac:dyDescent="0.2">
      <c r="BH7548" s="25"/>
      <c r="BI7548" s="25"/>
      <c r="BJ7548" s="25"/>
      <c r="BK7548" s="25"/>
    </row>
    <row r="7549" spans="60:63" ht="14.25" x14ac:dyDescent="0.2">
      <c r="BH7549" s="25"/>
      <c r="BI7549" s="25"/>
      <c r="BJ7549" s="25"/>
      <c r="BK7549" s="25"/>
    </row>
    <row r="7550" spans="60:63" ht="14.25" x14ac:dyDescent="0.2">
      <c r="BH7550" s="25"/>
      <c r="BI7550" s="25"/>
      <c r="BJ7550" s="25"/>
      <c r="BK7550" s="25"/>
    </row>
    <row r="7551" spans="60:63" ht="14.25" x14ac:dyDescent="0.2">
      <c r="BH7551" s="25"/>
      <c r="BI7551" s="25"/>
      <c r="BJ7551" s="25"/>
      <c r="BK7551" s="25"/>
    </row>
    <row r="7552" spans="60:63" ht="14.25" x14ac:dyDescent="0.2">
      <c r="BH7552" s="25"/>
      <c r="BI7552" s="25"/>
      <c r="BJ7552" s="25"/>
      <c r="BK7552" s="25"/>
    </row>
    <row r="7553" spans="60:63" ht="14.25" x14ac:dyDescent="0.2">
      <c r="BH7553" s="25"/>
      <c r="BI7553" s="25"/>
      <c r="BJ7553" s="25"/>
      <c r="BK7553" s="25"/>
    </row>
    <row r="7554" spans="60:63" ht="14.25" x14ac:dyDescent="0.2">
      <c r="BH7554" s="25"/>
      <c r="BI7554" s="25"/>
      <c r="BJ7554" s="25"/>
      <c r="BK7554" s="25"/>
    </row>
    <row r="7555" spans="60:63" ht="14.25" x14ac:dyDescent="0.2">
      <c r="BH7555" s="25"/>
      <c r="BI7555" s="25"/>
      <c r="BJ7555" s="25"/>
      <c r="BK7555" s="25"/>
    </row>
    <row r="7556" spans="60:63" ht="14.25" x14ac:dyDescent="0.2">
      <c r="BH7556" s="25"/>
      <c r="BI7556" s="25"/>
      <c r="BJ7556" s="25"/>
      <c r="BK7556" s="25"/>
    </row>
    <row r="7557" spans="60:63" ht="14.25" x14ac:dyDescent="0.2">
      <c r="BH7557" s="25"/>
      <c r="BI7557" s="25"/>
      <c r="BJ7557" s="25"/>
      <c r="BK7557" s="25"/>
    </row>
    <row r="7558" spans="60:63" ht="14.25" x14ac:dyDescent="0.2">
      <c r="BH7558" s="25"/>
      <c r="BI7558" s="25"/>
      <c r="BJ7558" s="25"/>
      <c r="BK7558" s="25"/>
    </row>
    <row r="7559" spans="60:63" ht="14.25" x14ac:dyDescent="0.2">
      <c r="BH7559" s="25"/>
      <c r="BI7559" s="25"/>
      <c r="BJ7559" s="25"/>
      <c r="BK7559" s="25"/>
    </row>
    <row r="7560" spans="60:63" ht="14.25" x14ac:dyDescent="0.2">
      <c r="BH7560" s="25"/>
      <c r="BI7560" s="25"/>
      <c r="BJ7560" s="25"/>
      <c r="BK7560" s="25"/>
    </row>
    <row r="7561" spans="60:63" ht="14.25" x14ac:dyDescent="0.2">
      <c r="BH7561" s="25"/>
      <c r="BI7561" s="25"/>
      <c r="BJ7561" s="25"/>
      <c r="BK7561" s="25"/>
    </row>
    <row r="7562" spans="60:63" ht="14.25" x14ac:dyDescent="0.2">
      <c r="BH7562" s="25"/>
      <c r="BI7562" s="25"/>
      <c r="BJ7562" s="25"/>
      <c r="BK7562" s="25"/>
    </row>
    <row r="7563" spans="60:63" ht="14.25" x14ac:dyDescent="0.2">
      <c r="BH7563" s="25"/>
      <c r="BI7563" s="25"/>
      <c r="BJ7563" s="25"/>
      <c r="BK7563" s="25"/>
    </row>
    <row r="7564" spans="60:63" ht="14.25" x14ac:dyDescent="0.2">
      <c r="BH7564" s="25"/>
      <c r="BI7564" s="25"/>
      <c r="BJ7564" s="25"/>
      <c r="BK7564" s="25"/>
    </row>
    <row r="7565" spans="60:63" ht="14.25" x14ac:dyDescent="0.2">
      <c r="BH7565" s="25"/>
      <c r="BI7565" s="25"/>
      <c r="BJ7565" s="25"/>
      <c r="BK7565" s="25"/>
    </row>
    <row r="7566" spans="60:63" ht="14.25" x14ac:dyDescent="0.2">
      <c r="BH7566" s="25"/>
      <c r="BI7566" s="25"/>
      <c r="BJ7566" s="25"/>
      <c r="BK7566" s="25"/>
    </row>
    <row r="7567" spans="60:63" ht="14.25" x14ac:dyDescent="0.2">
      <c r="BH7567" s="25"/>
      <c r="BI7567" s="25"/>
      <c r="BJ7567" s="25"/>
      <c r="BK7567" s="25"/>
    </row>
    <row r="7568" spans="60:63" ht="14.25" x14ac:dyDescent="0.2">
      <c r="BH7568" s="25"/>
      <c r="BI7568" s="25"/>
      <c r="BJ7568" s="25"/>
      <c r="BK7568" s="25"/>
    </row>
    <row r="7569" spans="60:63" ht="14.25" x14ac:dyDescent="0.2">
      <c r="BH7569" s="25"/>
      <c r="BI7569" s="25"/>
      <c r="BJ7569" s="25"/>
      <c r="BK7569" s="25"/>
    </row>
    <row r="7570" spans="60:63" ht="14.25" x14ac:dyDescent="0.2">
      <c r="BH7570" s="25"/>
      <c r="BI7570" s="25"/>
      <c r="BJ7570" s="25"/>
      <c r="BK7570" s="25"/>
    </row>
    <row r="7571" spans="60:63" ht="14.25" x14ac:dyDescent="0.2">
      <c r="BH7571" s="25"/>
      <c r="BI7571" s="25"/>
      <c r="BJ7571" s="25"/>
      <c r="BK7571" s="25"/>
    </row>
    <row r="7572" spans="60:63" ht="14.25" x14ac:dyDescent="0.2">
      <c r="BH7572" s="25"/>
      <c r="BI7572" s="25"/>
      <c r="BJ7572" s="25"/>
      <c r="BK7572" s="25"/>
    </row>
    <row r="7573" spans="60:63" ht="14.25" x14ac:dyDescent="0.2">
      <c r="BH7573" s="25"/>
      <c r="BI7573" s="25"/>
      <c r="BJ7573" s="25"/>
      <c r="BK7573" s="25"/>
    </row>
    <row r="7574" spans="60:63" ht="14.25" x14ac:dyDescent="0.2">
      <c r="BH7574" s="25"/>
      <c r="BI7574" s="25"/>
      <c r="BJ7574" s="25"/>
      <c r="BK7574" s="25"/>
    </row>
    <row r="7575" spans="60:63" ht="14.25" x14ac:dyDescent="0.2">
      <c r="BH7575" s="25"/>
      <c r="BI7575" s="25"/>
      <c r="BJ7575" s="25"/>
      <c r="BK7575" s="25"/>
    </row>
    <row r="7576" spans="60:63" ht="14.25" x14ac:dyDescent="0.2">
      <c r="BH7576" s="25"/>
      <c r="BI7576" s="25"/>
      <c r="BJ7576" s="25"/>
      <c r="BK7576" s="25"/>
    </row>
    <row r="7577" spans="60:63" ht="14.25" x14ac:dyDescent="0.2">
      <c r="BH7577" s="25"/>
      <c r="BI7577" s="25"/>
      <c r="BJ7577" s="25"/>
      <c r="BK7577" s="25"/>
    </row>
    <row r="7578" spans="60:63" ht="14.25" x14ac:dyDescent="0.2">
      <c r="BH7578" s="25"/>
      <c r="BI7578" s="25"/>
      <c r="BJ7578" s="25"/>
      <c r="BK7578" s="25"/>
    </row>
    <row r="7579" spans="60:63" ht="14.25" x14ac:dyDescent="0.2">
      <c r="BH7579" s="25"/>
      <c r="BI7579" s="25"/>
      <c r="BJ7579" s="25"/>
      <c r="BK7579" s="25"/>
    </row>
    <row r="7580" spans="60:63" ht="14.25" x14ac:dyDescent="0.2">
      <c r="BH7580" s="25"/>
      <c r="BI7580" s="25"/>
      <c r="BJ7580" s="25"/>
      <c r="BK7580" s="25"/>
    </row>
    <row r="7581" spans="60:63" ht="14.25" x14ac:dyDescent="0.2">
      <c r="BH7581" s="25"/>
      <c r="BI7581" s="25"/>
      <c r="BJ7581" s="25"/>
      <c r="BK7581" s="25"/>
    </row>
    <row r="7582" spans="60:63" ht="14.25" x14ac:dyDescent="0.2">
      <c r="BH7582" s="25"/>
      <c r="BI7582" s="25"/>
      <c r="BJ7582" s="25"/>
      <c r="BK7582" s="25"/>
    </row>
    <row r="7583" spans="60:63" ht="14.25" x14ac:dyDescent="0.2">
      <c r="BH7583" s="25"/>
      <c r="BI7583" s="25"/>
      <c r="BJ7583" s="25"/>
      <c r="BK7583" s="25"/>
    </row>
    <row r="7584" spans="60:63" ht="14.25" x14ac:dyDescent="0.2">
      <c r="BH7584" s="25"/>
      <c r="BI7584" s="25"/>
      <c r="BJ7584" s="25"/>
      <c r="BK7584" s="25"/>
    </row>
    <row r="7585" spans="60:63" ht="14.25" x14ac:dyDescent="0.2">
      <c r="BH7585" s="25"/>
      <c r="BI7585" s="25"/>
      <c r="BJ7585" s="25"/>
      <c r="BK7585" s="25"/>
    </row>
    <row r="7586" spans="60:63" ht="14.25" x14ac:dyDescent="0.2">
      <c r="BH7586" s="25"/>
      <c r="BI7586" s="25"/>
      <c r="BJ7586" s="25"/>
      <c r="BK7586" s="25"/>
    </row>
    <row r="7587" spans="60:63" ht="14.25" x14ac:dyDescent="0.2">
      <c r="BH7587" s="25"/>
      <c r="BI7587" s="25"/>
      <c r="BJ7587" s="25"/>
      <c r="BK7587" s="25"/>
    </row>
    <row r="7588" spans="60:63" ht="14.25" x14ac:dyDescent="0.2">
      <c r="BH7588" s="25"/>
      <c r="BI7588" s="25"/>
      <c r="BJ7588" s="25"/>
      <c r="BK7588" s="25"/>
    </row>
    <row r="7589" spans="60:63" ht="14.25" x14ac:dyDescent="0.2">
      <c r="BH7589" s="25"/>
      <c r="BI7589" s="25"/>
      <c r="BJ7589" s="25"/>
      <c r="BK7589" s="25"/>
    </row>
    <row r="7590" spans="60:63" ht="14.25" x14ac:dyDescent="0.2">
      <c r="BH7590" s="25"/>
      <c r="BI7590" s="25"/>
      <c r="BJ7590" s="25"/>
      <c r="BK7590" s="25"/>
    </row>
    <row r="7591" spans="60:63" ht="14.25" x14ac:dyDescent="0.2">
      <c r="BH7591" s="25"/>
      <c r="BI7591" s="25"/>
      <c r="BJ7591" s="25"/>
      <c r="BK7591" s="25"/>
    </row>
    <row r="7592" spans="60:63" ht="14.25" x14ac:dyDescent="0.2">
      <c r="BH7592" s="25"/>
      <c r="BI7592" s="25"/>
      <c r="BJ7592" s="25"/>
      <c r="BK7592" s="25"/>
    </row>
    <row r="7593" spans="60:63" ht="14.25" x14ac:dyDescent="0.2">
      <c r="BH7593" s="25"/>
      <c r="BI7593" s="25"/>
      <c r="BJ7593" s="25"/>
      <c r="BK7593" s="25"/>
    </row>
    <row r="7594" spans="60:63" ht="14.25" x14ac:dyDescent="0.2">
      <c r="BH7594" s="25"/>
      <c r="BI7594" s="25"/>
      <c r="BJ7594" s="25"/>
      <c r="BK7594" s="25"/>
    </row>
    <row r="7595" spans="60:63" ht="14.25" x14ac:dyDescent="0.2">
      <c r="BH7595" s="25"/>
      <c r="BI7595" s="25"/>
      <c r="BJ7595" s="25"/>
      <c r="BK7595" s="25"/>
    </row>
    <row r="7596" spans="60:63" ht="14.25" x14ac:dyDescent="0.2">
      <c r="BH7596" s="25"/>
      <c r="BI7596" s="25"/>
      <c r="BJ7596" s="25"/>
      <c r="BK7596" s="25"/>
    </row>
    <row r="7597" spans="60:63" ht="14.25" x14ac:dyDescent="0.2">
      <c r="BH7597" s="25"/>
      <c r="BI7597" s="25"/>
      <c r="BJ7597" s="25"/>
      <c r="BK7597" s="25"/>
    </row>
    <row r="7598" spans="60:63" ht="14.25" x14ac:dyDescent="0.2">
      <c r="BH7598" s="25"/>
      <c r="BI7598" s="25"/>
      <c r="BJ7598" s="25"/>
      <c r="BK7598" s="25"/>
    </row>
    <row r="7599" spans="60:63" ht="14.25" x14ac:dyDescent="0.2">
      <c r="BH7599" s="25"/>
      <c r="BI7599" s="25"/>
      <c r="BJ7599" s="25"/>
      <c r="BK7599" s="25"/>
    </row>
    <row r="7600" spans="60:63" ht="14.25" x14ac:dyDescent="0.2">
      <c r="BH7600" s="25"/>
      <c r="BI7600" s="25"/>
      <c r="BJ7600" s="25"/>
      <c r="BK7600" s="25"/>
    </row>
    <row r="7601" spans="60:63" ht="14.25" x14ac:dyDescent="0.2">
      <c r="BH7601" s="25"/>
      <c r="BI7601" s="25"/>
      <c r="BJ7601" s="25"/>
      <c r="BK7601" s="25"/>
    </row>
    <row r="7602" spans="60:63" ht="14.25" x14ac:dyDescent="0.2">
      <c r="BH7602" s="25"/>
      <c r="BI7602" s="25"/>
      <c r="BJ7602" s="25"/>
      <c r="BK7602" s="25"/>
    </row>
    <row r="7603" spans="60:63" ht="14.25" x14ac:dyDescent="0.2">
      <c r="BH7603" s="25"/>
      <c r="BI7603" s="25"/>
      <c r="BJ7603" s="25"/>
      <c r="BK7603" s="25"/>
    </row>
    <row r="7604" spans="60:63" ht="14.25" x14ac:dyDescent="0.2">
      <c r="BH7604" s="25"/>
      <c r="BI7604" s="25"/>
      <c r="BJ7604" s="25"/>
      <c r="BK7604" s="25"/>
    </row>
    <row r="7605" spans="60:63" ht="14.25" x14ac:dyDescent="0.2">
      <c r="BH7605" s="25"/>
      <c r="BI7605" s="25"/>
      <c r="BJ7605" s="25"/>
      <c r="BK7605" s="25"/>
    </row>
    <row r="7606" spans="60:63" ht="14.25" x14ac:dyDescent="0.2">
      <c r="BH7606" s="25"/>
      <c r="BI7606" s="25"/>
      <c r="BJ7606" s="25"/>
      <c r="BK7606" s="25"/>
    </row>
    <row r="7607" spans="60:63" ht="14.25" x14ac:dyDescent="0.2">
      <c r="BH7607" s="25"/>
      <c r="BI7607" s="25"/>
      <c r="BJ7607" s="25"/>
      <c r="BK7607" s="25"/>
    </row>
    <row r="7608" spans="60:63" ht="14.25" x14ac:dyDescent="0.2">
      <c r="BH7608" s="25"/>
      <c r="BI7608" s="25"/>
      <c r="BJ7608" s="25"/>
      <c r="BK7608" s="25"/>
    </row>
    <row r="7609" spans="60:63" ht="14.25" x14ac:dyDescent="0.2">
      <c r="BH7609" s="25"/>
      <c r="BI7609" s="25"/>
      <c r="BJ7609" s="25"/>
      <c r="BK7609" s="25"/>
    </row>
    <row r="7610" spans="60:63" ht="14.25" x14ac:dyDescent="0.2">
      <c r="BH7610" s="25"/>
      <c r="BI7610" s="25"/>
      <c r="BJ7610" s="25"/>
      <c r="BK7610" s="25"/>
    </row>
    <row r="7611" spans="60:63" ht="14.25" x14ac:dyDescent="0.2">
      <c r="BH7611" s="25"/>
      <c r="BI7611" s="25"/>
      <c r="BJ7611" s="25"/>
      <c r="BK7611" s="25"/>
    </row>
    <row r="7612" spans="60:63" ht="14.25" x14ac:dyDescent="0.2">
      <c r="BH7612" s="25"/>
      <c r="BI7612" s="25"/>
      <c r="BJ7612" s="25"/>
      <c r="BK7612" s="25"/>
    </row>
    <row r="7613" spans="60:63" ht="14.25" x14ac:dyDescent="0.2">
      <c r="BH7613" s="25"/>
      <c r="BI7613" s="25"/>
      <c r="BJ7613" s="25"/>
      <c r="BK7613" s="25"/>
    </row>
    <row r="7614" spans="60:63" ht="14.25" x14ac:dyDescent="0.2">
      <c r="BH7614" s="25"/>
      <c r="BI7614" s="25"/>
      <c r="BJ7614" s="25"/>
      <c r="BK7614" s="25"/>
    </row>
    <row r="7615" spans="60:63" ht="14.25" x14ac:dyDescent="0.2">
      <c r="BH7615" s="25"/>
      <c r="BI7615" s="25"/>
      <c r="BJ7615" s="25"/>
      <c r="BK7615" s="25"/>
    </row>
    <row r="7616" spans="60:63" ht="14.25" x14ac:dyDescent="0.2">
      <c r="BH7616" s="25"/>
      <c r="BI7616" s="25"/>
      <c r="BJ7616" s="25"/>
      <c r="BK7616" s="25"/>
    </row>
    <row r="7617" spans="60:63" ht="14.25" x14ac:dyDescent="0.2">
      <c r="BH7617" s="25"/>
      <c r="BI7617" s="25"/>
      <c r="BJ7617" s="25"/>
      <c r="BK7617" s="25"/>
    </row>
    <row r="7618" spans="60:63" ht="14.25" x14ac:dyDescent="0.2">
      <c r="BH7618" s="25"/>
      <c r="BI7618" s="25"/>
      <c r="BJ7618" s="25"/>
      <c r="BK7618" s="25"/>
    </row>
    <row r="7619" spans="60:63" ht="14.25" x14ac:dyDescent="0.2">
      <c r="BH7619" s="25"/>
      <c r="BI7619" s="25"/>
      <c r="BJ7619" s="25"/>
      <c r="BK7619" s="25"/>
    </row>
    <row r="7620" spans="60:63" ht="14.25" x14ac:dyDescent="0.2">
      <c r="BH7620" s="25"/>
      <c r="BI7620" s="25"/>
      <c r="BJ7620" s="25"/>
      <c r="BK7620" s="25"/>
    </row>
    <row r="7621" spans="60:63" ht="14.25" x14ac:dyDescent="0.2">
      <c r="BH7621" s="25"/>
      <c r="BI7621" s="25"/>
      <c r="BJ7621" s="25"/>
      <c r="BK7621" s="25"/>
    </row>
    <row r="7622" spans="60:63" ht="14.25" x14ac:dyDescent="0.2">
      <c r="BH7622" s="25"/>
      <c r="BI7622" s="25"/>
      <c r="BJ7622" s="25"/>
      <c r="BK7622" s="25"/>
    </row>
    <row r="7623" spans="60:63" ht="14.25" x14ac:dyDescent="0.2">
      <c r="BH7623" s="25"/>
      <c r="BI7623" s="25"/>
      <c r="BJ7623" s="25"/>
      <c r="BK7623" s="25"/>
    </row>
    <row r="7624" spans="60:63" ht="14.25" x14ac:dyDescent="0.2">
      <c r="BH7624" s="25"/>
      <c r="BI7624" s="25"/>
      <c r="BJ7624" s="25"/>
      <c r="BK7624" s="25"/>
    </row>
    <row r="7625" spans="60:63" ht="14.25" x14ac:dyDescent="0.2">
      <c r="BH7625" s="25"/>
      <c r="BI7625" s="25"/>
      <c r="BJ7625" s="25"/>
      <c r="BK7625" s="25"/>
    </row>
    <row r="7626" spans="60:63" ht="14.25" x14ac:dyDescent="0.2">
      <c r="BH7626" s="25"/>
      <c r="BI7626" s="25"/>
      <c r="BJ7626" s="25"/>
      <c r="BK7626" s="25"/>
    </row>
    <row r="7627" spans="60:63" ht="14.25" x14ac:dyDescent="0.2">
      <c r="BH7627" s="25"/>
      <c r="BI7627" s="25"/>
      <c r="BJ7627" s="25"/>
      <c r="BK7627" s="25"/>
    </row>
    <row r="7628" spans="60:63" ht="14.25" x14ac:dyDescent="0.2">
      <c r="BH7628" s="25"/>
      <c r="BI7628" s="25"/>
      <c r="BJ7628" s="25"/>
      <c r="BK7628" s="25"/>
    </row>
    <row r="7629" spans="60:63" ht="14.25" x14ac:dyDescent="0.2">
      <c r="BH7629" s="25"/>
      <c r="BI7629" s="25"/>
      <c r="BJ7629" s="25"/>
      <c r="BK7629" s="25"/>
    </row>
    <row r="7630" spans="60:63" ht="14.25" x14ac:dyDescent="0.2">
      <c r="BH7630" s="25"/>
      <c r="BI7630" s="25"/>
      <c r="BJ7630" s="25"/>
      <c r="BK7630" s="25"/>
    </row>
    <row r="7631" spans="60:63" ht="14.25" x14ac:dyDescent="0.2">
      <c r="BH7631" s="25"/>
      <c r="BI7631" s="25"/>
      <c r="BJ7631" s="25"/>
      <c r="BK7631" s="25"/>
    </row>
    <row r="7632" spans="60:63" ht="14.25" x14ac:dyDescent="0.2">
      <c r="BH7632" s="25"/>
      <c r="BI7632" s="25"/>
      <c r="BJ7632" s="25"/>
      <c r="BK7632" s="25"/>
    </row>
    <row r="7633" spans="60:63" ht="14.25" x14ac:dyDescent="0.2">
      <c r="BH7633" s="25"/>
      <c r="BI7633" s="25"/>
      <c r="BJ7633" s="25"/>
      <c r="BK7633" s="25"/>
    </row>
    <row r="7634" spans="60:63" ht="14.25" x14ac:dyDescent="0.2">
      <c r="BH7634" s="25"/>
      <c r="BI7634" s="25"/>
      <c r="BJ7634" s="25"/>
      <c r="BK7634" s="25"/>
    </row>
    <row r="7635" spans="60:63" ht="14.25" x14ac:dyDescent="0.2">
      <c r="BH7635" s="25"/>
      <c r="BI7635" s="25"/>
      <c r="BJ7635" s="25"/>
      <c r="BK7635" s="25"/>
    </row>
    <row r="7636" spans="60:63" ht="14.25" x14ac:dyDescent="0.2">
      <c r="BH7636" s="25"/>
      <c r="BI7636" s="25"/>
      <c r="BJ7636" s="25"/>
      <c r="BK7636" s="25"/>
    </row>
    <row r="7637" spans="60:63" ht="14.25" x14ac:dyDescent="0.2">
      <c r="BH7637" s="25"/>
      <c r="BI7637" s="25"/>
      <c r="BJ7637" s="25"/>
      <c r="BK7637" s="25"/>
    </row>
    <row r="7638" spans="60:63" ht="14.25" x14ac:dyDescent="0.2">
      <c r="BH7638" s="25"/>
      <c r="BI7638" s="25"/>
      <c r="BJ7638" s="25"/>
      <c r="BK7638" s="25"/>
    </row>
    <row r="7639" spans="60:63" ht="14.25" x14ac:dyDescent="0.2">
      <c r="BH7639" s="25"/>
      <c r="BI7639" s="25"/>
      <c r="BJ7639" s="25"/>
      <c r="BK7639" s="25"/>
    </row>
    <row r="7640" spans="60:63" ht="14.25" x14ac:dyDescent="0.2">
      <c r="BH7640" s="25"/>
      <c r="BI7640" s="25"/>
      <c r="BJ7640" s="25"/>
      <c r="BK7640" s="25"/>
    </row>
    <row r="7641" spans="60:63" ht="14.25" x14ac:dyDescent="0.2">
      <c r="BH7641" s="25"/>
      <c r="BI7641" s="25"/>
      <c r="BJ7641" s="25"/>
      <c r="BK7641" s="25"/>
    </row>
    <row r="7642" spans="60:63" ht="14.25" x14ac:dyDescent="0.2">
      <c r="BH7642" s="25"/>
      <c r="BI7642" s="25"/>
      <c r="BJ7642" s="25"/>
      <c r="BK7642" s="25"/>
    </row>
    <row r="7643" spans="60:63" ht="14.25" x14ac:dyDescent="0.2">
      <c r="BH7643" s="25"/>
      <c r="BI7643" s="25"/>
      <c r="BJ7643" s="25"/>
      <c r="BK7643" s="25"/>
    </row>
    <row r="7644" spans="60:63" ht="14.25" x14ac:dyDescent="0.2">
      <c r="BH7644" s="25"/>
      <c r="BI7644" s="25"/>
      <c r="BJ7644" s="25"/>
      <c r="BK7644" s="25"/>
    </row>
    <row r="7645" spans="60:63" ht="14.25" x14ac:dyDescent="0.2">
      <c r="BH7645" s="25"/>
      <c r="BI7645" s="25"/>
      <c r="BJ7645" s="25"/>
      <c r="BK7645" s="25"/>
    </row>
    <row r="7646" spans="60:63" ht="14.25" x14ac:dyDescent="0.2">
      <c r="BH7646" s="25"/>
      <c r="BI7646" s="25"/>
      <c r="BJ7646" s="25"/>
      <c r="BK7646" s="25"/>
    </row>
    <row r="7647" spans="60:63" ht="14.25" x14ac:dyDescent="0.2">
      <c r="BH7647" s="25"/>
      <c r="BI7647" s="25"/>
      <c r="BJ7647" s="25"/>
      <c r="BK7647" s="25"/>
    </row>
    <row r="7648" spans="60:63" ht="14.25" x14ac:dyDescent="0.2">
      <c r="BH7648" s="25"/>
      <c r="BI7648" s="25"/>
      <c r="BJ7648" s="25"/>
      <c r="BK7648" s="25"/>
    </row>
    <row r="7649" spans="60:63" ht="14.25" x14ac:dyDescent="0.2">
      <c r="BH7649" s="25"/>
      <c r="BI7649" s="25"/>
      <c r="BJ7649" s="25"/>
      <c r="BK7649" s="25"/>
    </row>
    <row r="7650" spans="60:63" ht="14.25" x14ac:dyDescent="0.2">
      <c r="BH7650" s="25"/>
      <c r="BI7650" s="25"/>
      <c r="BJ7650" s="25"/>
      <c r="BK7650" s="25"/>
    </row>
    <row r="7651" spans="60:63" ht="14.25" x14ac:dyDescent="0.2">
      <c r="BH7651" s="25"/>
      <c r="BI7651" s="25"/>
      <c r="BJ7651" s="25"/>
      <c r="BK7651" s="25"/>
    </row>
    <row r="7652" spans="60:63" ht="14.25" x14ac:dyDescent="0.2">
      <c r="BH7652" s="25"/>
      <c r="BI7652" s="25"/>
      <c r="BJ7652" s="25"/>
      <c r="BK7652" s="25"/>
    </row>
    <row r="7653" spans="60:63" ht="14.25" x14ac:dyDescent="0.2">
      <c r="BH7653" s="25"/>
      <c r="BI7653" s="25"/>
      <c r="BJ7653" s="25"/>
      <c r="BK7653" s="25"/>
    </row>
    <row r="7654" spans="60:63" ht="14.25" x14ac:dyDescent="0.2">
      <c r="BH7654" s="25"/>
      <c r="BI7654" s="25"/>
      <c r="BJ7654" s="25"/>
      <c r="BK7654" s="25"/>
    </row>
    <row r="7655" spans="60:63" ht="14.25" x14ac:dyDescent="0.2">
      <c r="BH7655" s="25"/>
      <c r="BI7655" s="25"/>
      <c r="BJ7655" s="25"/>
      <c r="BK7655" s="25"/>
    </row>
    <row r="7656" spans="60:63" ht="14.25" x14ac:dyDescent="0.2">
      <c r="BH7656" s="25"/>
      <c r="BI7656" s="25"/>
      <c r="BJ7656" s="25"/>
      <c r="BK7656" s="25"/>
    </row>
    <row r="7657" spans="60:63" ht="14.25" x14ac:dyDescent="0.2">
      <c r="BH7657" s="25"/>
      <c r="BI7657" s="25"/>
      <c r="BJ7657" s="25"/>
      <c r="BK7657" s="25"/>
    </row>
    <row r="7658" spans="60:63" ht="14.25" x14ac:dyDescent="0.2">
      <c r="BH7658" s="25"/>
      <c r="BI7658" s="25"/>
      <c r="BJ7658" s="25"/>
      <c r="BK7658" s="25"/>
    </row>
    <row r="7659" spans="60:63" ht="14.25" x14ac:dyDescent="0.2">
      <c r="BH7659" s="25"/>
      <c r="BI7659" s="25"/>
      <c r="BJ7659" s="25"/>
      <c r="BK7659" s="25"/>
    </row>
    <row r="7660" spans="60:63" ht="14.25" x14ac:dyDescent="0.2">
      <c r="BH7660" s="25"/>
      <c r="BI7660" s="25"/>
      <c r="BJ7660" s="25"/>
      <c r="BK7660" s="25"/>
    </row>
    <row r="7661" spans="60:63" ht="14.25" x14ac:dyDescent="0.2">
      <c r="BH7661" s="25"/>
      <c r="BI7661" s="25"/>
      <c r="BJ7661" s="25"/>
      <c r="BK7661" s="25"/>
    </row>
    <row r="7662" spans="60:63" ht="14.25" x14ac:dyDescent="0.2">
      <c r="BH7662" s="25"/>
      <c r="BI7662" s="25"/>
      <c r="BJ7662" s="25"/>
      <c r="BK7662" s="25"/>
    </row>
    <row r="7663" spans="60:63" ht="14.25" x14ac:dyDescent="0.2">
      <c r="BH7663" s="25"/>
      <c r="BI7663" s="25"/>
      <c r="BJ7663" s="25"/>
      <c r="BK7663" s="25"/>
    </row>
    <row r="7664" spans="60:63" ht="14.25" x14ac:dyDescent="0.2">
      <c r="BH7664" s="25"/>
      <c r="BI7664" s="25"/>
      <c r="BJ7664" s="25"/>
      <c r="BK7664" s="25"/>
    </row>
    <row r="7665" spans="60:63" ht="14.25" x14ac:dyDescent="0.2">
      <c r="BH7665" s="25"/>
      <c r="BI7665" s="25"/>
      <c r="BJ7665" s="25"/>
      <c r="BK7665" s="25"/>
    </row>
    <row r="7666" spans="60:63" ht="14.25" x14ac:dyDescent="0.2">
      <c r="BH7666" s="25"/>
      <c r="BI7666" s="25"/>
      <c r="BJ7666" s="25"/>
      <c r="BK7666" s="25"/>
    </row>
    <row r="7667" spans="60:63" ht="14.25" x14ac:dyDescent="0.2">
      <c r="BH7667" s="25"/>
      <c r="BI7667" s="25"/>
      <c r="BJ7667" s="25"/>
      <c r="BK7667" s="25"/>
    </row>
    <row r="7668" spans="60:63" ht="14.25" x14ac:dyDescent="0.2">
      <c r="BH7668" s="25"/>
      <c r="BI7668" s="25"/>
      <c r="BJ7668" s="25"/>
      <c r="BK7668" s="25"/>
    </row>
    <row r="7669" spans="60:63" ht="14.25" x14ac:dyDescent="0.2">
      <c r="BH7669" s="25"/>
      <c r="BI7669" s="25"/>
      <c r="BJ7669" s="25"/>
      <c r="BK7669" s="25"/>
    </row>
    <row r="7670" spans="60:63" ht="14.25" x14ac:dyDescent="0.2">
      <c r="BH7670" s="25"/>
      <c r="BI7670" s="25"/>
      <c r="BJ7670" s="25"/>
      <c r="BK7670" s="25"/>
    </row>
    <row r="7671" spans="60:63" ht="14.25" x14ac:dyDescent="0.2">
      <c r="BH7671" s="25"/>
      <c r="BI7671" s="25"/>
      <c r="BJ7671" s="25"/>
      <c r="BK7671" s="25"/>
    </row>
    <row r="7672" spans="60:63" ht="14.25" x14ac:dyDescent="0.2">
      <c r="BH7672" s="25"/>
      <c r="BI7672" s="25"/>
      <c r="BJ7672" s="25"/>
      <c r="BK7672" s="25"/>
    </row>
    <row r="7673" spans="60:63" ht="14.25" x14ac:dyDescent="0.2">
      <c r="BH7673" s="25"/>
      <c r="BI7673" s="25"/>
      <c r="BJ7673" s="25"/>
      <c r="BK7673" s="25"/>
    </row>
    <row r="7674" spans="60:63" ht="14.25" x14ac:dyDescent="0.2">
      <c r="BH7674" s="25"/>
      <c r="BI7674" s="25"/>
      <c r="BJ7674" s="25"/>
      <c r="BK7674" s="25"/>
    </row>
    <row r="7675" spans="60:63" ht="14.25" x14ac:dyDescent="0.2">
      <c r="BH7675" s="25"/>
      <c r="BI7675" s="25"/>
      <c r="BJ7675" s="25"/>
      <c r="BK7675" s="25"/>
    </row>
    <row r="7676" spans="60:63" ht="14.25" x14ac:dyDescent="0.2">
      <c r="BH7676" s="25"/>
      <c r="BI7676" s="25"/>
      <c r="BJ7676" s="25"/>
      <c r="BK7676" s="25"/>
    </row>
    <row r="7677" spans="60:63" ht="14.25" x14ac:dyDescent="0.2">
      <c r="BH7677" s="25"/>
      <c r="BI7677" s="25"/>
      <c r="BJ7677" s="25"/>
      <c r="BK7677" s="25"/>
    </row>
    <row r="7678" spans="60:63" ht="14.25" x14ac:dyDescent="0.2">
      <c r="BH7678" s="25"/>
      <c r="BI7678" s="25"/>
      <c r="BJ7678" s="25"/>
      <c r="BK7678" s="25"/>
    </row>
    <row r="7679" spans="60:63" ht="14.25" x14ac:dyDescent="0.2">
      <c r="BH7679" s="25"/>
      <c r="BI7679" s="25"/>
      <c r="BJ7679" s="25"/>
      <c r="BK7679" s="25"/>
    </row>
    <row r="7680" spans="60:63" ht="14.25" x14ac:dyDescent="0.2">
      <c r="BH7680" s="25"/>
      <c r="BI7680" s="25"/>
      <c r="BJ7680" s="25"/>
      <c r="BK7680" s="25"/>
    </row>
    <row r="7681" spans="60:63" ht="14.25" x14ac:dyDescent="0.2">
      <c r="BH7681" s="25"/>
      <c r="BI7681" s="25"/>
      <c r="BJ7681" s="25"/>
      <c r="BK7681" s="25"/>
    </row>
    <row r="7682" spans="60:63" ht="14.25" x14ac:dyDescent="0.2">
      <c r="BH7682" s="25"/>
      <c r="BI7682" s="25"/>
      <c r="BJ7682" s="25"/>
      <c r="BK7682" s="25"/>
    </row>
    <row r="7683" spans="60:63" ht="14.25" x14ac:dyDescent="0.2">
      <c r="BH7683" s="25"/>
      <c r="BI7683" s="25"/>
      <c r="BJ7683" s="25"/>
      <c r="BK7683" s="25"/>
    </row>
    <row r="7684" spans="60:63" ht="14.25" x14ac:dyDescent="0.2">
      <c r="BH7684" s="25"/>
      <c r="BI7684" s="25"/>
      <c r="BJ7684" s="25"/>
      <c r="BK7684" s="25"/>
    </row>
    <row r="7685" spans="60:63" ht="14.25" x14ac:dyDescent="0.2">
      <c r="BH7685" s="25"/>
      <c r="BI7685" s="25"/>
      <c r="BJ7685" s="25"/>
      <c r="BK7685" s="25"/>
    </row>
    <row r="7686" spans="60:63" ht="14.25" x14ac:dyDescent="0.2">
      <c r="BH7686" s="25"/>
      <c r="BI7686" s="25"/>
      <c r="BJ7686" s="25"/>
      <c r="BK7686" s="25"/>
    </row>
    <row r="7687" spans="60:63" ht="14.25" x14ac:dyDescent="0.2">
      <c r="BH7687" s="25"/>
      <c r="BI7687" s="25"/>
      <c r="BJ7687" s="25"/>
      <c r="BK7687" s="25"/>
    </row>
    <row r="7688" spans="60:63" ht="14.25" x14ac:dyDescent="0.2">
      <c r="BH7688" s="25"/>
      <c r="BI7688" s="25"/>
      <c r="BJ7688" s="25"/>
      <c r="BK7688" s="25"/>
    </row>
    <row r="7689" spans="60:63" ht="14.25" x14ac:dyDescent="0.2">
      <c r="BH7689" s="25"/>
      <c r="BI7689" s="25"/>
      <c r="BJ7689" s="25"/>
      <c r="BK7689" s="25"/>
    </row>
    <row r="7690" spans="60:63" ht="14.25" x14ac:dyDescent="0.2">
      <c r="BH7690" s="25"/>
      <c r="BI7690" s="25"/>
      <c r="BJ7690" s="25"/>
      <c r="BK7690" s="25"/>
    </row>
    <row r="7691" spans="60:63" ht="14.25" x14ac:dyDescent="0.2">
      <c r="BH7691" s="25"/>
      <c r="BI7691" s="25"/>
      <c r="BJ7691" s="25"/>
      <c r="BK7691" s="25"/>
    </row>
    <row r="7692" spans="60:63" ht="14.25" x14ac:dyDescent="0.2">
      <c r="BH7692" s="25"/>
      <c r="BI7692" s="25"/>
      <c r="BJ7692" s="25"/>
      <c r="BK7692" s="25"/>
    </row>
    <row r="7693" spans="60:63" ht="14.25" x14ac:dyDescent="0.2">
      <c r="BH7693" s="25"/>
      <c r="BI7693" s="25"/>
      <c r="BJ7693" s="25"/>
      <c r="BK7693" s="25"/>
    </row>
    <row r="7694" spans="60:63" ht="14.25" x14ac:dyDescent="0.2">
      <c r="BH7694" s="25"/>
      <c r="BI7694" s="25"/>
      <c r="BJ7694" s="25"/>
      <c r="BK7694" s="25"/>
    </row>
    <row r="7695" spans="60:63" ht="14.25" x14ac:dyDescent="0.2">
      <c r="BH7695" s="25"/>
      <c r="BI7695" s="25"/>
      <c r="BJ7695" s="25"/>
      <c r="BK7695" s="25"/>
    </row>
    <row r="7696" spans="60:63" ht="14.25" x14ac:dyDescent="0.2">
      <c r="BH7696" s="25"/>
      <c r="BI7696" s="25"/>
      <c r="BJ7696" s="25"/>
      <c r="BK7696" s="25"/>
    </row>
    <row r="7697" spans="60:63" ht="14.25" x14ac:dyDescent="0.2">
      <c r="BH7697" s="25"/>
      <c r="BI7697" s="25"/>
      <c r="BJ7697" s="25"/>
      <c r="BK7697" s="25"/>
    </row>
    <row r="7698" spans="60:63" ht="14.25" x14ac:dyDescent="0.2">
      <c r="BH7698" s="25"/>
      <c r="BI7698" s="25"/>
      <c r="BJ7698" s="25"/>
      <c r="BK7698" s="25"/>
    </row>
    <row r="7699" spans="60:63" ht="14.25" x14ac:dyDescent="0.2">
      <c r="BH7699" s="25"/>
      <c r="BI7699" s="25"/>
      <c r="BJ7699" s="25"/>
      <c r="BK7699" s="25"/>
    </row>
    <row r="7700" spans="60:63" ht="14.25" x14ac:dyDescent="0.2">
      <c r="BH7700" s="25"/>
      <c r="BI7700" s="25"/>
      <c r="BJ7700" s="25"/>
      <c r="BK7700" s="25"/>
    </row>
    <row r="7701" spans="60:63" ht="14.25" x14ac:dyDescent="0.2">
      <c r="BH7701" s="25"/>
      <c r="BI7701" s="25"/>
      <c r="BJ7701" s="25"/>
      <c r="BK7701" s="25"/>
    </row>
    <row r="7702" spans="60:63" ht="14.25" x14ac:dyDescent="0.2">
      <c r="BH7702" s="25"/>
      <c r="BI7702" s="25"/>
      <c r="BJ7702" s="25"/>
      <c r="BK7702" s="25"/>
    </row>
    <row r="7703" spans="60:63" ht="14.25" x14ac:dyDescent="0.2">
      <c r="BH7703" s="25"/>
      <c r="BI7703" s="25"/>
      <c r="BJ7703" s="25"/>
      <c r="BK7703" s="25"/>
    </row>
    <row r="7704" spans="60:63" ht="14.25" x14ac:dyDescent="0.2">
      <c r="BH7704" s="25"/>
      <c r="BI7704" s="25"/>
      <c r="BJ7704" s="25"/>
      <c r="BK7704" s="25"/>
    </row>
    <row r="7705" spans="60:63" ht="14.25" x14ac:dyDescent="0.2">
      <c r="BH7705" s="25"/>
      <c r="BI7705" s="25"/>
      <c r="BJ7705" s="25"/>
      <c r="BK7705" s="25"/>
    </row>
    <row r="7706" spans="60:63" ht="14.25" x14ac:dyDescent="0.2">
      <c r="BH7706" s="25"/>
      <c r="BI7706" s="25"/>
      <c r="BJ7706" s="25"/>
      <c r="BK7706" s="25"/>
    </row>
    <row r="7707" spans="60:63" ht="14.25" x14ac:dyDescent="0.2">
      <c r="BH7707" s="25"/>
      <c r="BI7707" s="25"/>
      <c r="BJ7707" s="25"/>
      <c r="BK7707" s="25"/>
    </row>
    <row r="7708" spans="60:63" ht="14.25" x14ac:dyDescent="0.2">
      <c r="BH7708" s="25"/>
      <c r="BI7708" s="25"/>
      <c r="BJ7708" s="25"/>
      <c r="BK7708" s="25"/>
    </row>
    <row r="7709" spans="60:63" ht="14.25" x14ac:dyDescent="0.2">
      <c r="BH7709" s="25"/>
      <c r="BI7709" s="25"/>
      <c r="BJ7709" s="25"/>
      <c r="BK7709" s="25"/>
    </row>
    <row r="7710" spans="60:63" ht="14.25" x14ac:dyDescent="0.2">
      <c r="BH7710" s="25"/>
      <c r="BI7710" s="25"/>
      <c r="BJ7710" s="25"/>
      <c r="BK7710" s="25"/>
    </row>
    <row r="7711" spans="60:63" ht="14.25" x14ac:dyDescent="0.2">
      <c r="BH7711" s="25"/>
      <c r="BI7711" s="25"/>
      <c r="BJ7711" s="25"/>
      <c r="BK7711" s="25"/>
    </row>
    <row r="7712" spans="60:63" ht="14.25" x14ac:dyDescent="0.2">
      <c r="BH7712" s="25"/>
      <c r="BI7712" s="25"/>
      <c r="BJ7712" s="25"/>
      <c r="BK7712" s="25"/>
    </row>
    <row r="7713" spans="60:63" ht="14.25" x14ac:dyDescent="0.2">
      <c r="BH7713" s="25"/>
      <c r="BI7713" s="25"/>
      <c r="BJ7713" s="25"/>
      <c r="BK7713" s="25"/>
    </row>
    <row r="7714" spans="60:63" ht="14.25" x14ac:dyDescent="0.2">
      <c r="BH7714" s="25"/>
      <c r="BI7714" s="25"/>
      <c r="BJ7714" s="25"/>
      <c r="BK7714" s="25"/>
    </row>
    <row r="7715" spans="60:63" ht="14.25" x14ac:dyDescent="0.2">
      <c r="BH7715" s="25"/>
      <c r="BI7715" s="25"/>
      <c r="BJ7715" s="25"/>
      <c r="BK7715" s="25"/>
    </row>
    <row r="7716" spans="60:63" ht="14.25" x14ac:dyDescent="0.2">
      <c r="BH7716" s="25"/>
      <c r="BI7716" s="25"/>
      <c r="BJ7716" s="25"/>
      <c r="BK7716" s="25"/>
    </row>
    <row r="7717" spans="60:63" ht="14.25" x14ac:dyDescent="0.2">
      <c r="BH7717" s="25"/>
      <c r="BI7717" s="25"/>
      <c r="BJ7717" s="25"/>
      <c r="BK7717" s="25"/>
    </row>
    <row r="7718" spans="60:63" ht="14.25" x14ac:dyDescent="0.2">
      <c r="BH7718" s="25"/>
      <c r="BI7718" s="25"/>
      <c r="BJ7718" s="25"/>
      <c r="BK7718" s="25"/>
    </row>
    <row r="7719" spans="60:63" ht="14.25" x14ac:dyDescent="0.2">
      <c r="BH7719" s="25"/>
      <c r="BI7719" s="25"/>
      <c r="BJ7719" s="25"/>
      <c r="BK7719" s="25"/>
    </row>
    <row r="7720" spans="60:63" ht="14.25" x14ac:dyDescent="0.2">
      <c r="BH7720" s="25"/>
      <c r="BI7720" s="25"/>
      <c r="BJ7720" s="25"/>
      <c r="BK7720" s="25"/>
    </row>
    <row r="7721" spans="60:63" ht="14.25" x14ac:dyDescent="0.2">
      <c r="BH7721" s="25"/>
      <c r="BI7721" s="25"/>
      <c r="BJ7721" s="25"/>
      <c r="BK7721" s="25"/>
    </row>
    <row r="7722" spans="60:63" ht="14.25" x14ac:dyDescent="0.2">
      <c r="BH7722" s="25"/>
      <c r="BI7722" s="25"/>
      <c r="BJ7722" s="25"/>
      <c r="BK7722" s="25"/>
    </row>
    <row r="7723" spans="60:63" ht="14.25" x14ac:dyDescent="0.2">
      <c r="BH7723" s="25"/>
      <c r="BI7723" s="25"/>
      <c r="BJ7723" s="25"/>
      <c r="BK7723" s="25"/>
    </row>
    <row r="7724" spans="60:63" ht="14.25" x14ac:dyDescent="0.2">
      <c r="BH7724" s="25"/>
      <c r="BI7724" s="25"/>
      <c r="BJ7724" s="25"/>
      <c r="BK7724" s="25"/>
    </row>
    <row r="7725" spans="60:63" ht="14.25" x14ac:dyDescent="0.2">
      <c r="BH7725" s="25"/>
      <c r="BI7725" s="25"/>
      <c r="BJ7725" s="25"/>
      <c r="BK7725" s="25"/>
    </row>
    <row r="7726" spans="60:63" ht="14.25" x14ac:dyDescent="0.2">
      <c r="BH7726" s="25"/>
      <c r="BI7726" s="25"/>
      <c r="BJ7726" s="25"/>
      <c r="BK7726" s="25"/>
    </row>
    <row r="7727" spans="60:63" ht="14.25" x14ac:dyDescent="0.2">
      <c r="BH7727" s="25"/>
      <c r="BI7727" s="25"/>
      <c r="BJ7727" s="25"/>
      <c r="BK7727" s="25"/>
    </row>
    <row r="7728" spans="60:63" ht="14.25" x14ac:dyDescent="0.2">
      <c r="BH7728" s="25"/>
      <c r="BI7728" s="25"/>
      <c r="BJ7728" s="25"/>
      <c r="BK7728" s="25"/>
    </row>
    <row r="7729" spans="60:63" ht="14.25" x14ac:dyDescent="0.2">
      <c r="BH7729" s="25"/>
      <c r="BI7729" s="25"/>
      <c r="BJ7729" s="25"/>
      <c r="BK7729" s="25"/>
    </row>
    <row r="7730" spans="60:63" ht="14.25" x14ac:dyDescent="0.2">
      <c r="BH7730" s="25"/>
      <c r="BI7730" s="25"/>
      <c r="BJ7730" s="25"/>
      <c r="BK7730" s="25"/>
    </row>
    <row r="7731" spans="60:63" ht="14.25" x14ac:dyDescent="0.2">
      <c r="BH7731" s="25"/>
      <c r="BI7731" s="25"/>
      <c r="BJ7731" s="25"/>
      <c r="BK7731" s="25"/>
    </row>
    <row r="7732" spans="60:63" ht="14.25" x14ac:dyDescent="0.2">
      <c r="BH7732" s="25"/>
      <c r="BI7732" s="25"/>
      <c r="BJ7732" s="25"/>
      <c r="BK7732" s="25"/>
    </row>
    <row r="7733" spans="60:63" ht="14.25" x14ac:dyDescent="0.2">
      <c r="BH7733" s="25"/>
      <c r="BI7733" s="25"/>
      <c r="BJ7733" s="25"/>
      <c r="BK7733" s="25"/>
    </row>
    <row r="7734" spans="60:63" ht="14.25" x14ac:dyDescent="0.2">
      <c r="BH7734" s="25"/>
      <c r="BI7734" s="25"/>
      <c r="BJ7734" s="25"/>
      <c r="BK7734" s="25"/>
    </row>
    <row r="7735" spans="60:63" ht="14.25" x14ac:dyDescent="0.2">
      <c r="BH7735" s="25"/>
      <c r="BI7735" s="25"/>
      <c r="BJ7735" s="25"/>
      <c r="BK7735" s="25"/>
    </row>
    <row r="7736" spans="60:63" ht="14.25" x14ac:dyDescent="0.2">
      <c r="BH7736" s="25"/>
      <c r="BI7736" s="25"/>
      <c r="BJ7736" s="25"/>
      <c r="BK7736" s="25"/>
    </row>
    <row r="7737" spans="60:63" ht="14.25" x14ac:dyDescent="0.2">
      <c r="BH7737" s="25"/>
      <c r="BI7737" s="25"/>
      <c r="BJ7737" s="25"/>
      <c r="BK7737" s="25"/>
    </row>
    <row r="7738" spans="60:63" ht="14.25" x14ac:dyDescent="0.2">
      <c r="BH7738" s="25"/>
      <c r="BI7738" s="25"/>
      <c r="BJ7738" s="25"/>
      <c r="BK7738" s="25"/>
    </row>
    <row r="7739" spans="60:63" ht="14.25" x14ac:dyDescent="0.2">
      <c r="BH7739" s="25"/>
      <c r="BI7739" s="25"/>
      <c r="BJ7739" s="25"/>
      <c r="BK7739" s="25"/>
    </row>
    <row r="7740" spans="60:63" ht="14.25" x14ac:dyDescent="0.2">
      <c r="BH7740" s="25"/>
      <c r="BI7740" s="25"/>
      <c r="BJ7740" s="25"/>
      <c r="BK7740" s="25"/>
    </row>
    <row r="7741" spans="60:63" ht="14.25" x14ac:dyDescent="0.2">
      <c r="BH7741" s="25"/>
      <c r="BI7741" s="25"/>
      <c r="BJ7741" s="25"/>
      <c r="BK7741" s="25"/>
    </row>
    <row r="7742" spans="60:63" ht="14.25" x14ac:dyDescent="0.2">
      <c r="BH7742" s="25"/>
      <c r="BI7742" s="25"/>
      <c r="BJ7742" s="25"/>
      <c r="BK7742" s="25"/>
    </row>
    <row r="7743" spans="60:63" ht="14.25" x14ac:dyDescent="0.2">
      <c r="BH7743" s="25"/>
      <c r="BI7743" s="25"/>
      <c r="BJ7743" s="25"/>
      <c r="BK7743" s="25"/>
    </row>
    <row r="7744" spans="60:63" ht="14.25" x14ac:dyDescent="0.2">
      <c r="BH7744" s="25"/>
      <c r="BI7744" s="25"/>
      <c r="BJ7744" s="25"/>
      <c r="BK7744" s="25"/>
    </row>
    <row r="7745" spans="60:63" ht="14.25" x14ac:dyDescent="0.2">
      <c r="BH7745" s="25"/>
      <c r="BI7745" s="25"/>
      <c r="BJ7745" s="25"/>
      <c r="BK7745" s="25"/>
    </row>
    <row r="7746" spans="60:63" ht="14.25" x14ac:dyDescent="0.2">
      <c r="BH7746" s="25"/>
      <c r="BI7746" s="25"/>
      <c r="BJ7746" s="25"/>
      <c r="BK7746" s="25"/>
    </row>
    <row r="7747" spans="60:63" ht="14.25" x14ac:dyDescent="0.2">
      <c r="BH7747" s="25"/>
      <c r="BI7747" s="25"/>
      <c r="BJ7747" s="25"/>
      <c r="BK7747" s="25"/>
    </row>
    <row r="7748" spans="60:63" ht="14.25" x14ac:dyDescent="0.2">
      <c r="BH7748" s="25"/>
      <c r="BI7748" s="25"/>
      <c r="BJ7748" s="25"/>
      <c r="BK7748" s="25"/>
    </row>
    <row r="7749" spans="60:63" ht="14.25" x14ac:dyDescent="0.2">
      <c r="BH7749" s="25"/>
      <c r="BI7749" s="25"/>
      <c r="BJ7749" s="25"/>
      <c r="BK7749" s="25"/>
    </row>
    <row r="7750" spans="60:63" ht="14.25" x14ac:dyDescent="0.2">
      <c r="BH7750" s="25"/>
      <c r="BI7750" s="25"/>
      <c r="BJ7750" s="25"/>
      <c r="BK7750" s="25"/>
    </row>
    <row r="7751" spans="60:63" ht="14.25" x14ac:dyDescent="0.2">
      <c r="BH7751" s="25"/>
      <c r="BI7751" s="25"/>
      <c r="BJ7751" s="25"/>
      <c r="BK7751" s="25"/>
    </row>
    <row r="7752" spans="60:63" ht="14.25" x14ac:dyDescent="0.2">
      <c r="BH7752" s="25"/>
      <c r="BI7752" s="25"/>
      <c r="BJ7752" s="25"/>
      <c r="BK7752" s="25"/>
    </row>
    <row r="7753" spans="60:63" ht="14.25" x14ac:dyDescent="0.2">
      <c r="BH7753" s="25"/>
      <c r="BI7753" s="25"/>
      <c r="BJ7753" s="25"/>
      <c r="BK7753" s="25"/>
    </row>
    <row r="7754" spans="60:63" ht="14.25" x14ac:dyDescent="0.2">
      <c r="BH7754" s="25"/>
      <c r="BI7754" s="25"/>
      <c r="BJ7754" s="25"/>
      <c r="BK7754" s="25"/>
    </row>
    <row r="7755" spans="60:63" ht="14.25" x14ac:dyDescent="0.2">
      <c r="BH7755" s="25"/>
      <c r="BI7755" s="25"/>
      <c r="BJ7755" s="25"/>
      <c r="BK7755" s="25"/>
    </row>
    <row r="7756" spans="60:63" ht="14.25" x14ac:dyDescent="0.2">
      <c r="BH7756" s="25"/>
      <c r="BI7756" s="25"/>
      <c r="BJ7756" s="25"/>
      <c r="BK7756" s="25"/>
    </row>
    <row r="7757" spans="60:63" ht="14.25" x14ac:dyDescent="0.2">
      <c r="BH7757" s="25"/>
      <c r="BI7757" s="25"/>
      <c r="BJ7757" s="25"/>
      <c r="BK7757" s="25"/>
    </row>
    <row r="7758" spans="60:63" ht="14.25" x14ac:dyDescent="0.2">
      <c r="BH7758" s="25"/>
      <c r="BI7758" s="25"/>
      <c r="BJ7758" s="25"/>
      <c r="BK7758" s="25"/>
    </row>
    <row r="7759" spans="60:63" ht="14.25" x14ac:dyDescent="0.2">
      <c r="BH7759" s="25"/>
      <c r="BI7759" s="25"/>
      <c r="BJ7759" s="25"/>
      <c r="BK7759" s="25"/>
    </row>
    <row r="7760" spans="60:63" ht="14.25" x14ac:dyDescent="0.2">
      <c r="BH7760" s="25"/>
      <c r="BI7760" s="25"/>
      <c r="BJ7760" s="25"/>
      <c r="BK7760" s="25"/>
    </row>
    <row r="7761" spans="60:63" ht="14.25" x14ac:dyDescent="0.2">
      <c r="BH7761" s="25"/>
      <c r="BI7761" s="25"/>
      <c r="BJ7761" s="25"/>
      <c r="BK7761" s="25"/>
    </row>
    <row r="7762" spans="60:63" ht="14.25" x14ac:dyDescent="0.2">
      <c r="BH7762" s="25"/>
      <c r="BI7762" s="25"/>
      <c r="BJ7762" s="25"/>
      <c r="BK7762" s="25"/>
    </row>
    <row r="7763" spans="60:63" ht="14.25" x14ac:dyDescent="0.2">
      <c r="BH7763" s="25"/>
      <c r="BI7763" s="25"/>
      <c r="BJ7763" s="25"/>
      <c r="BK7763" s="25"/>
    </row>
    <row r="7764" spans="60:63" ht="14.25" x14ac:dyDescent="0.2">
      <c r="BH7764" s="25"/>
      <c r="BI7764" s="25"/>
      <c r="BJ7764" s="25"/>
      <c r="BK7764" s="25"/>
    </row>
    <row r="7765" spans="60:63" ht="14.25" x14ac:dyDescent="0.2">
      <c r="BH7765" s="25"/>
      <c r="BI7765" s="25"/>
      <c r="BJ7765" s="25"/>
      <c r="BK7765" s="25"/>
    </row>
    <row r="7766" spans="60:63" ht="14.25" x14ac:dyDescent="0.2">
      <c r="BH7766" s="25"/>
      <c r="BI7766" s="25"/>
      <c r="BJ7766" s="25"/>
      <c r="BK7766" s="25"/>
    </row>
    <row r="7767" spans="60:63" ht="14.25" x14ac:dyDescent="0.2">
      <c r="BH7767" s="25"/>
      <c r="BI7767" s="25"/>
      <c r="BJ7767" s="25"/>
      <c r="BK7767" s="25"/>
    </row>
    <row r="7768" spans="60:63" ht="14.25" x14ac:dyDescent="0.2">
      <c r="BH7768" s="25"/>
      <c r="BI7768" s="25"/>
      <c r="BJ7768" s="25"/>
      <c r="BK7768" s="25"/>
    </row>
    <row r="7769" spans="60:63" ht="14.25" x14ac:dyDescent="0.2">
      <c r="BH7769" s="25"/>
      <c r="BI7769" s="25"/>
      <c r="BJ7769" s="25"/>
      <c r="BK7769" s="25"/>
    </row>
    <row r="7770" spans="60:63" ht="14.25" x14ac:dyDescent="0.2">
      <c r="BH7770" s="25"/>
      <c r="BI7770" s="25"/>
      <c r="BJ7770" s="25"/>
      <c r="BK7770" s="25"/>
    </row>
    <row r="7771" spans="60:63" ht="14.25" x14ac:dyDescent="0.2">
      <c r="BH7771" s="25"/>
      <c r="BI7771" s="25"/>
      <c r="BJ7771" s="25"/>
      <c r="BK7771" s="25"/>
    </row>
    <row r="7772" spans="60:63" ht="14.25" x14ac:dyDescent="0.2">
      <c r="BH7772" s="25"/>
      <c r="BI7772" s="25"/>
      <c r="BJ7772" s="25"/>
      <c r="BK7772" s="25"/>
    </row>
    <row r="7773" spans="60:63" ht="14.25" x14ac:dyDescent="0.2">
      <c r="BH7773" s="25"/>
      <c r="BI7773" s="25"/>
      <c r="BJ7773" s="25"/>
      <c r="BK7773" s="25"/>
    </row>
    <row r="7774" spans="60:63" ht="14.25" x14ac:dyDescent="0.2">
      <c r="BH7774" s="25"/>
      <c r="BI7774" s="25"/>
      <c r="BJ7774" s="25"/>
      <c r="BK7774" s="25"/>
    </row>
    <row r="7775" spans="60:63" ht="14.25" x14ac:dyDescent="0.2">
      <c r="BH7775" s="25"/>
      <c r="BI7775" s="25"/>
      <c r="BJ7775" s="25"/>
      <c r="BK7775" s="25"/>
    </row>
    <row r="7776" spans="60:63" ht="14.25" x14ac:dyDescent="0.2">
      <c r="BH7776" s="25"/>
      <c r="BI7776" s="25"/>
      <c r="BJ7776" s="25"/>
      <c r="BK7776" s="25"/>
    </row>
    <row r="7777" spans="60:63" ht="14.25" x14ac:dyDescent="0.2">
      <c r="BH7777" s="25"/>
      <c r="BI7777" s="25"/>
      <c r="BJ7777" s="25"/>
      <c r="BK7777" s="25"/>
    </row>
    <row r="7778" spans="60:63" ht="14.25" x14ac:dyDescent="0.2">
      <c r="BH7778" s="25"/>
      <c r="BI7778" s="25"/>
      <c r="BJ7778" s="25"/>
      <c r="BK7778" s="25"/>
    </row>
    <row r="7779" spans="60:63" ht="14.25" x14ac:dyDescent="0.2">
      <c r="BH7779" s="25"/>
      <c r="BI7779" s="25"/>
      <c r="BJ7779" s="25"/>
      <c r="BK7779" s="25"/>
    </row>
    <row r="7780" spans="60:63" ht="14.25" x14ac:dyDescent="0.2">
      <c r="BH7780" s="25"/>
      <c r="BI7780" s="25"/>
      <c r="BJ7780" s="25"/>
      <c r="BK7780" s="25"/>
    </row>
    <row r="7781" spans="60:63" ht="14.25" x14ac:dyDescent="0.2">
      <c r="BH7781" s="25"/>
      <c r="BI7781" s="25"/>
      <c r="BJ7781" s="25"/>
      <c r="BK7781" s="25"/>
    </row>
    <row r="7782" spans="60:63" ht="14.25" x14ac:dyDescent="0.2">
      <c r="BH7782" s="25"/>
      <c r="BI7782" s="25"/>
      <c r="BJ7782" s="25"/>
      <c r="BK7782" s="25"/>
    </row>
    <row r="7783" spans="60:63" ht="14.25" x14ac:dyDescent="0.2">
      <c r="BH7783" s="25"/>
      <c r="BI7783" s="25"/>
      <c r="BJ7783" s="25"/>
      <c r="BK7783" s="25"/>
    </row>
    <row r="7784" spans="60:63" ht="14.25" x14ac:dyDescent="0.2">
      <c r="BH7784" s="25"/>
      <c r="BI7784" s="25"/>
      <c r="BJ7784" s="25"/>
      <c r="BK7784" s="25"/>
    </row>
    <row r="7785" spans="60:63" ht="14.25" x14ac:dyDescent="0.2">
      <c r="BH7785" s="25"/>
      <c r="BI7785" s="25"/>
      <c r="BJ7785" s="25"/>
      <c r="BK7785" s="25"/>
    </row>
    <row r="7786" spans="60:63" ht="14.25" x14ac:dyDescent="0.2">
      <c r="BH7786" s="25"/>
      <c r="BI7786" s="25"/>
      <c r="BJ7786" s="25"/>
      <c r="BK7786" s="25"/>
    </row>
    <row r="7787" spans="60:63" ht="14.25" x14ac:dyDescent="0.2">
      <c r="BH7787" s="25"/>
      <c r="BI7787" s="25"/>
      <c r="BJ7787" s="25"/>
      <c r="BK7787" s="25"/>
    </row>
    <row r="7788" spans="60:63" ht="14.25" x14ac:dyDescent="0.2">
      <c r="BH7788" s="25"/>
      <c r="BI7788" s="25"/>
      <c r="BJ7788" s="25"/>
      <c r="BK7788" s="25"/>
    </row>
    <row r="7789" spans="60:63" ht="14.25" x14ac:dyDescent="0.2">
      <c r="BH7789" s="25"/>
      <c r="BI7789" s="25"/>
      <c r="BJ7789" s="25"/>
      <c r="BK7789" s="25"/>
    </row>
    <row r="7790" spans="60:63" ht="14.25" x14ac:dyDescent="0.2">
      <c r="BH7790" s="25"/>
      <c r="BI7790" s="25"/>
      <c r="BJ7790" s="25"/>
      <c r="BK7790" s="25"/>
    </row>
    <row r="7791" spans="60:63" ht="14.25" x14ac:dyDescent="0.2">
      <c r="BH7791" s="25"/>
      <c r="BI7791" s="25"/>
      <c r="BJ7791" s="25"/>
      <c r="BK7791" s="25"/>
    </row>
    <row r="7792" spans="60:63" ht="14.25" x14ac:dyDescent="0.2">
      <c r="BH7792" s="25"/>
      <c r="BI7792" s="25"/>
      <c r="BJ7792" s="25"/>
      <c r="BK7792" s="25"/>
    </row>
    <row r="7793" spans="60:63" ht="14.25" x14ac:dyDescent="0.2">
      <c r="BH7793" s="25"/>
      <c r="BI7793" s="25"/>
      <c r="BJ7793" s="25"/>
      <c r="BK7793" s="25"/>
    </row>
    <row r="7794" spans="60:63" ht="14.25" x14ac:dyDescent="0.2">
      <c r="BH7794" s="25"/>
      <c r="BI7794" s="25"/>
      <c r="BJ7794" s="25"/>
      <c r="BK7794" s="25"/>
    </row>
    <row r="7795" spans="60:63" ht="14.25" x14ac:dyDescent="0.2">
      <c r="BH7795" s="25"/>
      <c r="BI7795" s="25"/>
      <c r="BJ7795" s="25"/>
      <c r="BK7795" s="25"/>
    </row>
    <row r="7796" spans="60:63" ht="14.25" x14ac:dyDescent="0.2">
      <c r="BH7796" s="25"/>
      <c r="BI7796" s="25"/>
      <c r="BJ7796" s="25"/>
      <c r="BK7796" s="25"/>
    </row>
    <row r="7797" spans="60:63" ht="14.25" x14ac:dyDescent="0.2">
      <c r="BH7797" s="25"/>
      <c r="BI7797" s="25"/>
      <c r="BJ7797" s="25"/>
      <c r="BK7797" s="25"/>
    </row>
    <row r="7798" spans="60:63" ht="14.25" x14ac:dyDescent="0.2">
      <c r="BH7798" s="25"/>
      <c r="BI7798" s="25"/>
      <c r="BJ7798" s="25"/>
      <c r="BK7798" s="25"/>
    </row>
    <row r="7799" spans="60:63" ht="14.25" x14ac:dyDescent="0.2">
      <c r="BH7799" s="25"/>
      <c r="BI7799" s="25"/>
      <c r="BJ7799" s="25"/>
      <c r="BK7799" s="25"/>
    </row>
    <row r="7800" spans="60:63" ht="14.25" x14ac:dyDescent="0.2">
      <c r="BH7800" s="25"/>
      <c r="BI7800" s="25"/>
      <c r="BJ7800" s="25"/>
      <c r="BK7800" s="25"/>
    </row>
    <row r="7801" spans="60:63" ht="14.25" x14ac:dyDescent="0.2">
      <c r="BH7801" s="25"/>
      <c r="BI7801" s="25"/>
      <c r="BJ7801" s="25"/>
      <c r="BK7801" s="25"/>
    </row>
    <row r="7802" spans="60:63" ht="14.25" x14ac:dyDescent="0.2">
      <c r="BH7802" s="25"/>
      <c r="BI7802" s="25"/>
      <c r="BJ7802" s="25"/>
      <c r="BK7802" s="25"/>
    </row>
    <row r="7803" spans="60:63" ht="14.25" x14ac:dyDescent="0.2">
      <c r="BH7803" s="25"/>
      <c r="BI7803" s="25"/>
      <c r="BJ7803" s="25"/>
      <c r="BK7803" s="25"/>
    </row>
    <row r="7804" spans="60:63" ht="14.25" x14ac:dyDescent="0.2">
      <c r="BH7804" s="25"/>
      <c r="BI7804" s="25"/>
      <c r="BJ7804" s="25"/>
      <c r="BK7804" s="25"/>
    </row>
    <row r="7805" spans="60:63" ht="14.25" x14ac:dyDescent="0.2">
      <c r="BH7805" s="25"/>
      <c r="BI7805" s="25"/>
      <c r="BJ7805" s="25"/>
      <c r="BK7805" s="25"/>
    </row>
    <row r="7806" spans="60:63" ht="14.25" x14ac:dyDescent="0.2">
      <c r="BH7806" s="25"/>
      <c r="BI7806" s="25"/>
      <c r="BJ7806" s="25"/>
      <c r="BK7806" s="25"/>
    </row>
    <row r="7807" spans="60:63" ht="14.25" x14ac:dyDescent="0.2">
      <c r="BH7807" s="25"/>
      <c r="BI7807" s="25"/>
      <c r="BJ7807" s="25"/>
      <c r="BK7807" s="25"/>
    </row>
    <row r="7808" spans="60:63" ht="14.25" x14ac:dyDescent="0.2">
      <c r="BH7808" s="25"/>
      <c r="BI7808" s="25"/>
      <c r="BJ7808" s="25"/>
      <c r="BK7808" s="25"/>
    </row>
    <row r="7809" spans="60:63" ht="14.25" x14ac:dyDescent="0.2">
      <c r="BH7809" s="25"/>
      <c r="BI7809" s="25"/>
      <c r="BJ7809" s="25"/>
      <c r="BK7809" s="25"/>
    </row>
    <row r="7810" spans="60:63" ht="14.25" x14ac:dyDescent="0.2">
      <c r="BH7810" s="25"/>
      <c r="BI7810" s="25"/>
      <c r="BJ7810" s="25"/>
      <c r="BK7810" s="25"/>
    </row>
    <row r="7811" spans="60:63" ht="14.25" x14ac:dyDescent="0.2">
      <c r="BH7811" s="25"/>
      <c r="BI7811" s="25"/>
      <c r="BJ7811" s="25"/>
      <c r="BK7811" s="25"/>
    </row>
    <row r="7812" spans="60:63" ht="14.25" x14ac:dyDescent="0.2">
      <c r="BH7812" s="25"/>
      <c r="BI7812" s="25"/>
      <c r="BJ7812" s="25"/>
      <c r="BK7812" s="25"/>
    </row>
    <row r="7813" spans="60:63" ht="14.25" x14ac:dyDescent="0.2">
      <c r="BH7813" s="25"/>
      <c r="BI7813" s="25"/>
      <c r="BJ7813" s="25"/>
      <c r="BK7813" s="25"/>
    </row>
    <row r="7814" spans="60:63" ht="14.25" x14ac:dyDescent="0.2">
      <c r="BH7814" s="25"/>
      <c r="BI7814" s="25"/>
      <c r="BJ7814" s="25"/>
      <c r="BK7814" s="25"/>
    </row>
    <row r="7815" spans="60:63" ht="14.25" x14ac:dyDescent="0.2">
      <c r="BH7815" s="25"/>
      <c r="BI7815" s="25"/>
      <c r="BJ7815" s="25"/>
      <c r="BK7815" s="25"/>
    </row>
    <row r="7816" spans="60:63" ht="14.25" x14ac:dyDescent="0.2">
      <c r="BH7816" s="25"/>
      <c r="BI7816" s="25"/>
      <c r="BJ7816" s="25"/>
      <c r="BK7816" s="25"/>
    </row>
    <row r="7817" spans="60:63" ht="14.25" x14ac:dyDescent="0.2">
      <c r="BH7817" s="25"/>
      <c r="BI7817" s="25"/>
      <c r="BJ7817" s="25"/>
      <c r="BK7817" s="25"/>
    </row>
    <row r="7818" spans="60:63" ht="14.25" x14ac:dyDescent="0.2">
      <c r="BH7818" s="25"/>
      <c r="BI7818" s="25"/>
      <c r="BJ7818" s="25"/>
      <c r="BK7818" s="25"/>
    </row>
    <row r="7819" spans="60:63" ht="14.25" x14ac:dyDescent="0.2">
      <c r="BH7819" s="25"/>
      <c r="BI7819" s="25"/>
      <c r="BJ7819" s="25"/>
      <c r="BK7819" s="25"/>
    </row>
    <row r="7820" spans="60:63" ht="14.25" x14ac:dyDescent="0.2">
      <c r="BH7820" s="25"/>
      <c r="BI7820" s="25"/>
      <c r="BJ7820" s="25"/>
      <c r="BK7820" s="25"/>
    </row>
    <row r="7821" spans="60:63" ht="14.25" x14ac:dyDescent="0.2">
      <c r="BH7821" s="25"/>
      <c r="BI7821" s="25"/>
      <c r="BJ7821" s="25"/>
      <c r="BK7821" s="25"/>
    </row>
    <row r="7822" spans="60:63" ht="14.25" x14ac:dyDescent="0.2">
      <c r="BH7822" s="25"/>
      <c r="BI7822" s="25"/>
      <c r="BJ7822" s="25"/>
      <c r="BK7822" s="25"/>
    </row>
    <row r="7823" spans="60:63" ht="14.25" x14ac:dyDescent="0.2">
      <c r="BH7823" s="25"/>
      <c r="BI7823" s="25"/>
      <c r="BJ7823" s="25"/>
      <c r="BK7823" s="25"/>
    </row>
    <row r="7824" spans="60:63" ht="14.25" x14ac:dyDescent="0.2">
      <c r="BH7824" s="25"/>
      <c r="BI7824" s="25"/>
      <c r="BJ7824" s="25"/>
      <c r="BK7824" s="25"/>
    </row>
    <row r="7825" spans="60:63" ht="14.25" x14ac:dyDescent="0.2">
      <c r="BH7825" s="25"/>
      <c r="BI7825" s="25"/>
      <c r="BJ7825" s="25"/>
      <c r="BK7825" s="25"/>
    </row>
    <row r="7826" spans="60:63" ht="14.25" x14ac:dyDescent="0.2">
      <c r="BH7826" s="25"/>
      <c r="BI7826" s="25"/>
      <c r="BJ7826" s="25"/>
      <c r="BK7826" s="25"/>
    </row>
    <row r="7827" spans="60:63" ht="14.25" x14ac:dyDescent="0.2">
      <c r="BH7827" s="25"/>
      <c r="BI7827" s="25"/>
      <c r="BJ7827" s="25"/>
      <c r="BK7827" s="25"/>
    </row>
    <row r="7828" spans="60:63" ht="14.25" x14ac:dyDescent="0.2">
      <c r="BH7828" s="25"/>
      <c r="BI7828" s="25"/>
      <c r="BJ7828" s="25"/>
      <c r="BK7828" s="25"/>
    </row>
    <row r="7829" spans="60:63" ht="14.25" x14ac:dyDescent="0.2">
      <c r="BH7829" s="25"/>
      <c r="BI7829" s="25"/>
      <c r="BJ7829" s="25"/>
      <c r="BK7829" s="25"/>
    </row>
    <row r="7830" spans="60:63" ht="14.25" x14ac:dyDescent="0.2">
      <c r="BH7830" s="25"/>
      <c r="BI7830" s="25"/>
      <c r="BJ7830" s="25"/>
      <c r="BK7830" s="25"/>
    </row>
    <row r="7831" spans="60:63" ht="14.25" x14ac:dyDescent="0.2">
      <c r="BH7831" s="25"/>
      <c r="BI7831" s="25"/>
      <c r="BJ7831" s="25"/>
      <c r="BK7831" s="25"/>
    </row>
    <row r="7832" spans="60:63" ht="14.25" x14ac:dyDescent="0.2">
      <c r="BH7832" s="25"/>
      <c r="BI7832" s="25"/>
      <c r="BJ7832" s="25"/>
      <c r="BK7832" s="25"/>
    </row>
    <row r="7833" spans="60:63" ht="14.25" x14ac:dyDescent="0.2">
      <c r="BH7833" s="25"/>
      <c r="BI7833" s="25"/>
      <c r="BJ7833" s="25"/>
      <c r="BK7833" s="25"/>
    </row>
    <row r="7834" spans="60:63" ht="14.25" x14ac:dyDescent="0.2">
      <c r="BH7834" s="25"/>
      <c r="BI7834" s="25"/>
      <c r="BJ7834" s="25"/>
      <c r="BK7834" s="25"/>
    </row>
    <row r="7835" spans="60:63" ht="14.25" x14ac:dyDescent="0.2">
      <c r="BH7835" s="25"/>
      <c r="BI7835" s="25"/>
      <c r="BJ7835" s="25"/>
      <c r="BK7835" s="25"/>
    </row>
    <row r="7836" spans="60:63" ht="14.25" x14ac:dyDescent="0.2">
      <c r="BH7836" s="25"/>
      <c r="BI7836" s="25"/>
      <c r="BJ7836" s="25"/>
      <c r="BK7836" s="25"/>
    </row>
    <row r="7837" spans="60:63" ht="14.25" x14ac:dyDescent="0.2">
      <c r="BH7837" s="25"/>
      <c r="BI7837" s="25"/>
      <c r="BJ7837" s="25"/>
      <c r="BK7837" s="25"/>
    </row>
    <row r="7838" spans="60:63" ht="14.25" x14ac:dyDescent="0.2">
      <c r="BH7838" s="25"/>
      <c r="BI7838" s="25"/>
      <c r="BJ7838" s="25"/>
      <c r="BK7838" s="25"/>
    </row>
    <row r="7839" spans="60:63" ht="14.25" x14ac:dyDescent="0.2">
      <c r="BH7839" s="25"/>
      <c r="BI7839" s="25"/>
      <c r="BJ7839" s="25"/>
      <c r="BK7839" s="25"/>
    </row>
    <row r="7840" spans="60:63" ht="14.25" x14ac:dyDescent="0.2">
      <c r="BH7840" s="25"/>
      <c r="BI7840" s="25"/>
      <c r="BJ7840" s="25"/>
      <c r="BK7840" s="25"/>
    </row>
    <row r="7841" spans="60:63" ht="14.25" x14ac:dyDescent="0.2">
      <c r="BH7841" s="25"/>
      <c r="BI7841" s="25"/>
      <c r="BJ7841" s="25"/>
      <c r="BK7841" s="25"/>
    </row>
    <row r="7842" spans="60:63" ht="14.25" x14ac:dyDescent="0.2">
      <c r="BH7842" s="25"/>
      <c r="BI7842" s="25"/>
      <c r="BJ7842" s="25"/>
      <c r="BK7842" s="25"/>
    </row>
    <row r="7843" spans="60:63" ht="14.25" x14ac:dyDescent="0.2">
      <c r="BH7843" s="25"/>
      <c r="BI7843" s="25"/>
      <c r="BJ7843" s="25"/>
      <c r="BK7843" s="25"/>
    </row>
    <row r="7844" spans="60:63" ht="14.25" x14ac:dyDescent="0.2">
      <c r="BH7844" s="25"/>
      <c r="BI7844" s="25"/>
      <c r="BJ7844" s="25"/>
      <c r="BK7844" s="25"/>
    </row>
    <row r="7845" spans="60:63" ht="14.25" x14ac:dyDescent="0.2">
      <c r="BH7845" s="25"/>
      <c r="BI7845" s="25"/>
      <c r="BJ7845" s="25"/>
      <c r="BK7845" s="25"/>
    </row>
    <row r="7846" spans="60:63" ht="14.25" x14ac:dyDescent="0.2">
      <c r="BH7846" s="25"/>
      <c r="BI7846" s="25"/>
      <c r="BJ7846" s="25"/>
      <c r="BK7846" s="25"/>
    </row>
    <row r="7847" spans="60:63" ht="14.25" x14ac:dyDescent="0.2">
      <c r="BH7847" s="25"/>
      <c r="BI7847" s="25"/>
      <c r="BJ7847" s="25"/>
      <c r="BK7847" s="25"/>
    </row>
    <row r="7848" spans="60:63" ht="14.25" x14ac:dyDescent="0.2">
      <c r="BH7848" s="25"/>
      <c r="BI7848" s="25"/>
      <c r="BJ7848" s="25"/>
      <c r="BK7848" s="25"/>
    </row>
    <row r="7849" spans="60:63" ht="14.25" x14ac:dyDescent="0.2">
      <c r="BH7849" s="25"/>
      <c r="BI7849" s="25"/>
      <c r="BJ7849" s="25"/>
      <c r="BK7849" s="25"/>
    </row>
    <row r="7850" spans="60:63" ht="14.25" x14ac:dyDescent="0.2">
      <c r="BH7850" s="25"/>
      <c r="BI7850" s="25"/>
      <c r="BJ7850" s="25"/>
      <c r="BK7850" s="25"/>
    </row>
    <row r="7851" spans="60:63" ht="14.25" x14ac:dyDescent="0.2">
      <c r="BH7851" s="25"/>
      <c r="BI7851" s="25"/>
      <c r="BJ7851" s="25"/>
      <c r="BK7851" s="25"/>
    </row>
    <row r="7852" spans="60:63" ht="14.25" x14ac:dyDescent="0.2">
      <c r="BH7852" s="25"/>
      <c r="BI7852" s="25"/>
      <c r="BJ7852" s="25"/>
      <c r="BK7852" s="25"/>
    </row>
    <row r="7853" spans="60:63" ht="14.25" x14ac:dyDescent="0.2">
      <c r="BH7853" s="25"/>
      <c r="BI7853" s="25"/>
      <c r="BJ7853" s="25"/>
      <c r="BK7853" s="25"/>
    </row>
    <row r="7854" spans="60:63" ht="14.25" x14ac:dyDescent="0.2">
      <c r="BH7854" s="25"/>
      <c r="BI7854" s="25"/>
      <c r="BJ7854" s="25"/>
      <c r="BK7854" s="25"/>
    </row>
    <row r="7855" spans="60:63" ht="14.25" x14ac:dyDescent="0.2">
      <c r="BH7855" s="25"/>
      <c r="BI7855" s="25"/>
      <c r="BJ7855" s="25"/>
      <c r="BK7855" s="25"/>
    </row>
    <row r="7856" spans="60:63" ht="14.25" x14ac:dyDescent="0.2">
      <c r="BH7856" s="25"/>
      <c r="BI7856" s="25"/>
      <c r="BJ7856" s="25"/>
      <c r="BK7856" s="25"/>
    </row>
    <row r="7857" spans="60:63" ht="14.25" x14ac:dyDescent="0.2">
      <c r="BH7857" s="25"/>
      <c r="BI7857" s="25"/>
      <c r="BJ7857" s="25"/>
      <c r="BK7857" s="25"/>
    </row>
    <row r="7858" spans="60:63" ht="14.25" x14ac:dyDescent="0.2">
      <c r="BH7858" s="25"/>
      <c r="BI7858" s="25"/>
      <c r="BJ7858" s="25"/>
      <c r="BK7858" s="25"/>
    </row>
    <row r="7859" spans="60:63" ht="14.25" x14ac:dyDescent="0.2">
      <c r="BH7859" s="25"/>
      <c r="BI7859" s="25"/>
      <c r="BJ7859" s="25"/>
      <c r="BK7859" s="25"/>
    </row>
    <row r="7860" spans="60:63" ht="14.25" x14ac:dyDescent="0.2">
      <c r="BH7860" s="25"/>
      <c r="BI7860" s="25"/>
      <c r="BJ7860" s="25"/>
      <c r="BK7860" s="25"/>
    </row>
    <row r="7861" spans="60:63" ht="14.25" x14ac:dyDescent="0.2">
      <c r="BH7861" s="25"/>
      <c r="BI7861" s="25"/>
      <c r="BJ7861" s="25"/>
      <c r="BK7861" s="25"/>
    </row>
    <row r="7862" spans="60:63" ht="14.25" x14ac:dyDescent="0.2">
      <c r="BH7862" s="25"/>
      <c r="BI7862" s="25"/>
      <c r="BJ7862" s="25"/>
      <c r="BK7862" s="25"/>
    </row>
    <row r="7863" spans="60:63" ht="14.25" x14ac:dyDescent="0.2">
      <c r="BH7863" s="25"/>
      <c r="BI7863" s="25"/>
      <c r="BJ7863" s="25"/>
      <c r="BK7863" s="25"/>
    </row>
    <row r="7864" spans="60:63" ht="14.25" x14ac:dyDescent="0.2">
      <c r="BH7864" s="25"/>
      <c r="BI7864" s="25"/>
      <c r="BJ7864" s="25"/>
      <c r="BK7864" s="25"/>
    </row>
    <row r="7865" spans="60:63" ht="14.25" x14ac:dyDescent="0.2">
      <c r="BH7865" s="25"/>
      <c r="BI7865" s="25"/>
      <c r="BJ7865" s="25"/>
      <c r="BK7865" s="25"/>
    </row>
    <row r="7866" spans="60:63" ht="14.25" x14ac:dyDescent="0.2">
      <c r="BH7866" s="25"/>
      <c r="BI7866" s="25"/>
      <c r="BJ7866" s="25"/>
      <c r="BK7866" s="25"/>
    </row>
    <row r="7867" spans="60:63" ht="14.25" x14ac:dyDescent="0.2">
      <c r="BH7867" s="25"/>
      <c r="BI7867" s="25"/>
      <c r="BJ7867" s="25"/>
      <c r="BK7867" s="25"/>
    </row>
    <row r="7868" spans="60:63" ht="14.25" x14ac:dyDescent="0.2">
      <c r="BH7868" s="25"/>
      <c r="BI7868" s="25"/>
      <c r="BJ7868" s="25"/>
      <c r="BK7868" s="25"/>
    </row>
    <row r="7869" spans="60:63" ht="14.25" x14ac:dyDescent="0.2">
      <c r="BH7869" s="25"/>
      <c r="BI7869" s="25"/>
      <c r="BJ7869" s="25"/>
      <c r="BK7869" s="25"/>
    </row>
    <row r="7870" spans="60:63" ht="14.25" x14ac:dyDescent="0.2">
      <c r="BH7870" s="25"/>
      <c r="BI7870" s="25"/>
      <c r="BJ7870" s="25"/>
      <c r="BK7870" s="25"/>
    </row>
    <row r="7871" spans="60:63" ht="14.25" x14ac:dyDescent="0.2">
      <c r="BH7871" s="25"/>
      <c r="BI7871" s="25"/>
      <c r="BJ7871" s="25"/>
      <c r="BK7871" s="25"/>
    </row>
    <row r="7872" spans="60:63" ht="14.25" x14ac:dyDescent="0.2">
      <c r="BH7872" s="25"/>
      <c r="BI7872" s="25"/>
      <c r="BJ7872" s="25"/>
      <c r="BK7872" s="25"/>
    </row>
    <row r="7873" spans="60:63" ht="14.25" x14ac:dyDescent="0.2">
      <c r="BH7873" s="25"/>
      <c r="BI7873" s="25"/>
      <c r="BJ7873" s="25"/>
      <c r="BK7873" s="25"/>
    </row>
    <row r="7874" spans="60:63" ht="14.25" x14ac:dyDescent="0.2">
      <c r="BH7874" s="25"/>
      <c r="BI7874" s="25"/>
      <c r="BJ7874" s="25"/>
      <c r="BK7874" s="25"/>
    </row>
    <row r="7875" spans="60:63" ht="14.25" x14ac:dyDescent="0.2">
      <c r="BH7875" s="25"/>
      <c r="BI7875" s="25"/>
      <c r="BJ7875" s="25"/>
      <c r="BK7875" s="25"/>
    </row>
    <row r="7876" spans="60:63" ht="14.25" x14ac:dyDescent="0.2">
      <c r="BH7876" s="25"/>
      <c r="BI7876" s="25"/>
      <c r="BJ7876" s="25"/>
      <c r="BK7876" s="25"/>
    </row>
    <row r="7877" spans="60:63" ht="14.25" x14ac:dyDescent="0.2">
      <c r="BH7877" s="25"/>
      <c r="BI7877" s="25"/>
      <c r="BJ7877" s="25"/>
      <c r="BK7877" s="25"/>
    </row>
    <row r="7878" spans="60:63" ht="14.25" x14ac:dyDescent="0.2">
      <c r="BH7878" s="25"/>
      <c r="BI7878" s="25"/>
      <c r="BJ7878" s="25"/>
      <c r="BK7878" s="25"/>
    </row>
    <row r="7879" spans="60:63" ht="14.25" x14ac:dyDescent="0.2">
      <c r="BH7879" s="25"/>
      <c r="BI7879" s="25"/>
      <c r="BJ7879" s="25"/>
      <c r="BK7879" s="25"/>
    </row>
    <row r="7880" spans="60:63" ht="14.25" x14ac:dyDescent="0.2">
      <c r="BH7880" s="25"/>
      <c r="BI7880" s="25"/>
      <c r="BJ7880" s="25"/>
      <c r="BK7880" s="25"/>
    </row>
    <row r="7881" spans="60:63" ht="14.25" x14ac:dyDescent="0.2">
      <c r="BH7881" s="25"/>
      <c r="BI7881" s="25"/>
      <c r="BJ7881" s="25"/>
      <c r="BK7881" s="25"/>
    </row>
    <row r="7882" spans="60:63" ht="14.25" x14ac:dyDescent="0.2">
      <c r="BH7882" s="25"/>
      <c r="BI7882" s="25"/>
      <c r="BJ7882" s="25"/>
      <c r="BK7882" s="25"/>
    </row>
    <row r="7883" spans="60:63" ht="14.25" x14ac:dyDescent="0.2">
      <c r="BH7883" s="25"/>
      <c r="BI7883" s="25"/>
      <c r="BJ7883" s="25"/>
      <c r="BK7883" s="25"/>
    </row>
    <row r="7884" spans="60:63" ht="14.25" x14ac:dyDescent="0.2">
      <c r="BH7884" s="25"/>
      <c r="BI7884" s="25"/>
      <c r="BJ7884" s="25"/>
      <c r="BK7884" s="25"/>
    </row>
    <row r="7885" spans="60:63" ht="14.25" x14ac:dyDescent="0.2">
      <c r="BH7885" s="25"/>
      <c r="BI7885" s="25"/>
      <c r="BJ7885" s="25"/>
      <c r="BK7885" s="25"/>
    </row>
    <row r="7886" spans="60:63" ht="14.25" x14ac:dyDescent="0.2">
      <c r="BH7886" s="25"/>
      <c r="BI7886" s="25"/>
      <c r="BJ7886" s="25"/>
      <c r="BK7886" s="25"/>
    </row>
    <row r="7887" spans="60:63" ht="14.25" x14ac:dyDescent="0.2">
      <c r="BH7887" s="25"/>
      <c r="BI7887" s="25"/>
      <c r="BJ7887" s="25"/>
      <c r="BK7887" s="25"/>
    </row>
    <row r="7888" spans="60:63" ht="14.25" x14ac:dyDescent="0.2">
      <c r="BH7888" s="25"/>
      <c r="BI7888" s="25"/>
      <c r="BJ7888" s="25"/>
      <c r="BK7888" s="25"/>
    </row>
    <row r="7889" spans="60:63" ht="14.25" x14ac:dyDescent="0.2">
      <c r="BH7889" s="25"/>
      <c r="BI7889" s="25"/>
      <c r="BJ7889" s="25"/>
      <c r="BK7889" s="25"/>
    </row>
    <row r="7890" spans="60:63" ht="14.25" x14ac:dyDescent="0.2">
      <c r="BH7890" s="25"/>
      <c r="BI7890" s="25"/>
      <c r="BJ7890" s="25"/>
      <c r="BK7890" s="25"/>
    </row>
    <row r="7891" spans="60:63" ht="14.25" x14ac:dyDescent="0.2">
      <c r="BH7891" s="25"/>
      <c r="BI7891" s="25"/>
      <c r="BJ7891" s="25"/>
      <c r="BK7891" s="25"/>
    </row>
    <row r="7892" spans="60:63" ht="14.25" x14ac:dyDescent="0.2">
      <c r="BH7892" s="25"/>
      <c r="BI7892" s="25"/>
      <c r="BJ7892" s="25"/>
      <c r="BK7892" s="25"/>
    </row>
    <row r="7893" spans="60:63" ht="14.25" x14ac:dyDescent="0.2">
      <c r="BH7893" s="25"/>
      <c r="BI7893" s="25"/>
      <c r="BJ7893" s="25"/>
      <c r="BK7893" s="25"/>
    </row>
    <row r="7894" spans="60:63" ht="14.25" x14ac:dyDescent="0.2">
      <c r="BH7894" s="25"/>
      <c r="BI7894" s="25"/>
      <c r="BJ7894" s="25"/>
      <c r="BK7894" s="25"/>
    </row>
    <row r="7895" spans="60:63" ht="14.25" x14ac:dyDescent="0.2">
      <c r="BH7895" s="25"/>
      <c r="BI7895" s="25"/>
      <c r="BJ7895" s="25"/>
      <c r="BK7895" s="25"/>
    </row>
    <row r="7896" spans="60:63" ht="14.25" x14ac:dyDescent="0.2">
      <c r="BH7896" s="25"/>
      <c r="BI7896" s="25"/>
      <c r="BJ7896" s="25"/>
      <c r="BK7896" s="25"/>
    </row>
    <row r="7897" spans="60:63" ht="14.25" x14ac:dyDescent="0.2">
      <c r="BH7897" s="25"/>
      <c r="BI7897" s="25"/>
      <c r="BJ7897" s="25"/>
      <c r="BK7897" s="25"/>
    </row>
    <row r="7898" spans="60:63" ht="14.25" x14ac:dyDescent="0.2">
      <c r="BH7898" s="25"/>
      <c r="BI7898" s="25"/>
      <c r="BJ7898" s="25"/>
      <c r="BK7898" s="25"/>
    </row>
    <row r="7899" spans="60:63" ht="14.25" x14ac:dyDescent="0.2">
      <c r="BH7899" s="25"/>
      <c r="BI7899" s="25"/>
      <c r="BJ7899" s="25"/>
      <c r="BK7899" s="25"/>
    </row>
    <row r="7900" spans="60:63" ht="14.25" x14ac:dyDescent="0.2">
      <c r="BH7900" s="25"/>
      <c r="BI7900" s="25"/>
      <c r="BJ7900" s="25"/>
      <c r="BK7900" s="25"/>
    </row>
    <row r="7901" spans="60:63" ht="14.25" x14ac:dyDescent="0.2">
      <c r="BH7901" s="25"/>
      <c r="BI7901" s="25"/>
      <c r="BJ7901" s="25"/>
      <c r="BK7901" s="25"/>
    </row>
    <row r="7902" spans="60:63" ht="14.25" x14ac:dyDescent="0.2">
      <c r="BH7902" s="25"/>
      <c r="BI7902" s="25"/>
      <c r="BJ7902" s="25"/>
      <c r="BK7902" s="25"/>
    </row>
    <row r="7903" spans="60:63" ht="14.25" x14ac:dyDescent="0.2">
      <c r="BH7903" s="25"/>
      <c r="BI7903" s="25"/>
      <c r="BJ7903" s="25"/>
      <c r="BK7903" s="25"/>
    </row>
    <row r="7904" spans="60:63" ht="14.25" x14ac:dyDescent="0.2">
      <c r="BH7904" s="25"/>
      <c r="BI7904" s="25"/>
      <c r="BJ7904" s="25"/>
      <c r="BK7904" s="25"/>
    </row>
    <row r="7905" spans="60:63" ht="14.25" x14ac:dyDescent="0.2">
      <c r="BH7905" s="25"/>
      <c r="BI7905" s="25"/>
      <c r="BJ7905" s="25"/>
      <c r="BK7905" s="25"/>
    </row>
    <row r="7906" spans="60:63" ht="14.25" x14ac:dyDescent="0.2">
      <c r="BH7906" s="25"/>
      <c r="BI7906" s="25"/>
      <c r="BJ7906" s="25"/>
      <c r="BK7906" s="25"/>
    </row>
    <row r="7907" spans="60:63" ht="14.25" x14ac:dyDescent="0.2">
      <c r="BH7907" s="25"/>
      <c r="BI7907" s="25"/>
      <c r="BJ7907" s="25"/>
      <c r="BK7907" s="25"/>
    </row>
    <row r="7908" spans="60:63" ht="14.25" x14ac:dyDescent="0.2">
      <c r="BH7908" s="25"/>
      <c r="BI7908" s="25"/>
      <c r="BJ7908" s="25"/>
      <c r="BK7908" s="25"/>
    </row>
    <row r="7909" spans="60:63" ht="14.25" x14ac:dyDescent="0.2">
      <c r="BH7909" s="25"/>
      <c r="BI7909" s="25"/>
      <c r="BJ7909" s="25"/>
      <c r="BK7909" s="25"/>
    </row>
    <row r="7910" spans="60:63" ht="14.25" x14ac:dyDescent="0.2">
      <c r="BH7910" s="25"/>
      <c r="BI7910" s="25"/>
      <c r="BJ7910" s="25"/>
      <c r="BK7910" s="25"/>
    </row>
    <row r="7911" spans="60:63" ht="14.25" x14ac:dyDescent="0.2">
      <c r="BH7911" s="25"/>
      <c r="BI7911" s="25"/>
      <c r="BJ7911" s="25"/>
      <c r="BK7911" s="25"/>
    </row>
    <row r="7912" spans="60:63" ht="14.25" x14ac:dyDescent="0.2">
      <c r="BH7912" s="25"/>
      <c r="BI7912" s="25"/>
      <c r="BJ7912" s="25"/>
      <c r="BK7912" s="25"/>
    </row>
    <row r="7913" spans="60:63" ht="14.25" x14ac:dyDescent="0.2">
      <c r="BH7913" s="25"/>
      <c r="BI7913" s="25"/>
      <c r="BJ7913" s="25"/>
      <c r="BK7913" s="25"/>
    </row>
    <row r="7914" spans="60:63" ht="14.25" x14ac:dyDescent="0.2">
      <c r="BH7914" s="25"/>
      <c r="BI7914" s="25"/>
      <c r="BJ7914" s="25"/>
      <c r="BK7914" s="25"/>
    </row>
    <row r="7915" spans="60:63" ht="14.25" x14ac:dyDescent="0.2">
      <c r="BH7915" s="25"/>
      <c r="BI7915" s="25"/>
      <c r="BJ7915" s="25"/>
      <c r="BK7915" s="25"/>
    </row>
    <row r="7916" spans="60:63" ht="14.25" x14ac:dyDescent="0.2">
      <c r="BH7916" s="25"/>
      <c r="BI7916" s="25"/>
      <c r="BJ7916" s="25"/>
      <c r="BK7916" s="25"/>
    </row>
    <row r="7917" spans="60:63" ht="14.25" x14ac:dyDescent="0.2">
      <c r="BH7917" s="25"/>
      <c r="BI7917" s="25"/>
      <c r="BJ7917" s="25"/>
      <c r="BK7917" s="25"/>
    </row>
    <row r="7918" spans="60:63" ht="14.25" x14ac:dyDescent="0.2">
      <c r="BH7918" s="25"/>
      <c r="BI7918" s="25"/>
      <c r="BJ7918" s="25"/>
      <c r="BK7918" s="25"/>
    </row>
    <row r="7919" spans="60:63" ht="14.25" x14ac:dyDescent="0.2">
      <c r="BH7919" s="25"/>
      <c r="BI7919" s="25"/>
      <c r="BJ7919" s="25"/>
      <c r="BK7919" s="25"/>
    </row>
    <row r="7920" spans="60:63" ht="14.25" x14ac:dyDescent="0.2">
      <c r="BH7920" s="25"/>
      <c r="BI7920" s="25"/>
      <c r="BJ7920" s="25"/>
      <c r="BK7920" s="25"/>
    </row>
    <row r="7921" spans="60:63" ht="14.25" x14ac:dyDescent="0.2">
      <c r="BH7921" s="25"/>
      <c r="BI7921" s="25"/>
      <c r="BJ7921" s="25"/>
      <c r="BK7921" s="25"/>
    </row>
    <row r="7922" spans="60:63" ht="14.25" x14ac:dyDescent="0.2">
      <c r="BH7922" s="25"/>
      <c r="BI7922" s="25"/>
      <c r="BJ7922" s="25"/>
      <c r="BK7922" s="25"/>
    </row>
    <row r="7923" spans="60:63" ht="14.25" x14ac:dyDescent="0.2">
      <c r="BH7923" s="25"/>
      <c r="BI7923" s="25"/>
      <c r="BJ7923" s="25"/>
      <c r="BK7923" s="25"/>
    </row>
    <row r="7924" spans="60:63" ht="14.25" x14ac:dyDescent="0.2">
      <c r="BH7924" s="25"/>
      <c r="BI7924" s="25"/>
      <c r="BJ7924" s="25"/>
      <c r="BK7924" s="25"/>
    </row>
    <row r="7925" spans="60:63" ht="14.25" x14ac:dyDescent="0.2">
      <c r="BH7925" s="25"/>
      <c r="BI7925" s="25"/>
      <c r="BJ7925" s="25"/>
      <c r="BK7925" s="25"/>
    </row>
    <row r="7926" spans="60:63" ht="14.25" x14ac:dyDescent="0.2">
      <c r="BH7926" s="25"/>
      <c r="BI7926" s="25"/>
      <c r="BJ7926" s="25"/>
      <c r="BK7926" s="25"/>
    </row>
    <row r="7927" spans="60:63" ht="14.25" x14ac:dyDescent="0.2">
      <c r="BH7927" s="25"/>
      <c r="BI7927" s="25"/>
      <c r="BJ7927" s="25"/>
      <c r="BK7927" s="25"/>
    </row>
    <row r="7928" spans="60:63" ht="14.25" x14ac:dyDescent="0.2">
      <c r="BH7928" s="25"/>
      <c r="BI7928" s="25"/>
      <c r="BJ7928" s="25"/>
      <c r="BK7928" s="25"/>
    </row>
    <row r="7929" spans="60:63" ht="14.25" x14ac:dyDescent="0.2">
      <c r="BH7929" s="25"/>
      <c r="BI7929" s="25"/>
      <c r="BJ7929" s="25"/>
      <c r="BK7929" s="25"/>
    </row>
    <row r="7930" spans="60:63" ht="14.25" x14ac:dyDescent="0.2">
      <c r="BH7930" s="25"/>
      <c r="BI7930" s="25"/>
      <c r="BJ7930" s="25"/>
      <c r="BK7930" s="25"/>
    </row>
    <row r="7931" spans="60:63" ht="14.25" x14ac:dyDescent="0.2">
      <c r="BH7931" s="25"/>
      <c r="BI7931" s="25"/>
      <c r="BJ7931" s="25"/>
      <c r="BK7931" s="25"/>
    </row>
    <row r="7932" spans="60:63" ht="14.25" x14ac:dyDescent="0.2">
      <c r="BH7932" s="25"/>
      <c r="BI7932" s="25"/>
      <c r="BJ7932" s="25"/>
      <c r="BK7932" s="25"/>
    </row>
    <row r="7933" spans="60:63" ht="14.25" x14ac:dyDescent="0.2">
      <c r="BH7933" s="25"/>
      <c r="BI7933" s="25"/>
      <c r="BJ7933" s="25"/>
      <c r="BK7933" s="25"/>
    </row>
    <row r="7934" spans="60:63" ht="14.25" x14ac:dyDescent="0.2">
      <c r="BH7934" s="25"/>
      <c r="BI7934" s="25"/>
      <c r="BJ7934" s="25"/>
      <c r="BK7934" s="25"/>
    </row>
    <row r="7935" spans="60:63" ht="14.25" x14ac:dyDescent="0.2">
      <c r="BH7935" s="25"/>
      <c r="BI7935" s="25"/>
      <c r="BJ7935" s="25"/>
      <c r="BK7935" s="25"/>
    </row>
    <row r="7936" spans="60:63" ht="14.25" x14ac:dyDescent="0.2">
      <c r="BH7936" s="25"/>
      <c r="BI7936" s="25"/>
      <c r="BJ7936" s="25"/>
      <c r="BK7936" s="25"/>
    </row>
    <row r="7937" spans="60:63" ht="14.25" x14ac:dyDescent="0.2">
      <c r="BH7937" s="25"/>
      <c r="BI7937" s="25"/>
      <c r="BJ7937" s="25"/>
      <c r="BK7937" s="25"/>
    </row>
    <row r="7938" spans="60:63" ht="14.25" x14ac:dyDescent="0.2">
      <c r="BH7938" s="25"/>
      <c r="BI7938" s="25"/>
      <c r="BJ7938" s="25"/>
      <c r="BK7938" s="25"/>
    </row>
    <row r="7939" spans="60:63" ht="14.25" x14ac:dyDescent="0.2">
      <c r="BH7939" s="25"/>
      <c r="BI7939" s="25"/>
      <c r="BJ7939" s="25"/>
      <c r="BK7939" s="25"/>
    </row>
    <row r="7940" spans="60:63" ht="14.25" x14ac:dyDescent="0.2">
      <c r="BH7940" s="25"/>
      <c r="BI7940" s="25"/>
      <c r="BJ7940" s="25"/>
      <c r="BK7940" s="25"/>
    </row>
    <row r="7941" spans="60:63" ht="14.25" x14ac:dyDescent="0.2">
      <c r="BH7941" s="25"/>
      <c r="BI7941" s="25"/>
      <c r="BJ7941" s="25"/>
      <c r="BK7941" s="25"/>
    </row>
    <row r="7942" spans="60:63" ht="14.25" x14ac:dyDescent="0.2">
      <c r="BH7942" s="25"/>
      <c r="BI7942" s="25"/>
      <c r="BJ7942" s="25"/>
      <c r="BK7942" s="25"/>
    </row>
    <row r="7943" spans="60:63" ht="14.25" x14ac:dyDescent="0.2">
      <c r="BH7943" s="25"/>
      <c r="BI7943" s="25"/>
      <c r="BJ7943" s="25"/>
      <c r="BK7943" s="25"/>
    </row>
    <row r="7944" spans="60:63" ht="14.25" x14ac:dyDescent="0.2">
      <c r="BH7944" s="25"/>
      <c r="BI7944" s="25"/>
      <c r="BJ7944" s="25"/>
      <c r="BK7944" s="25"/>
    </row>
    <row r="7945" spans="60:63" ht="14.25" x14ac:dyDescent="0.2">
      <c r="BH7945" s="25"/>
      <c r="BI7945" s="25"/>
      <c r="BJ7945" s="25"/>
      <c r="BK7945" s="25"/>
    </row>
    <row r="7946" spans="60:63" ht="14.25" x14ac:dyDescent="0.2">
      <c r="BH7946" s="25"/>
      <c r="BI7946" s="25"/>
      <c r="BJ7946" s="25"/>
      <c r="BK7946" s="25"/>
    </row>
    <row r="7947" spans="60:63" ht="14.25" x14ac:dyDescent="0.2">
      <c r="BH7947" s="25"/>
      <c r="BI7947" s="25"/>
      <c r="BJ7947" s="25"/>
      <c r="BK7947" s="25"/>
    </row>
    <row r="7948" spans="60:63" ht="14.25" x14ac:dyDescent="0.2">
      <c r="BH7948" s="25"/>
      <c r="BI7948" s="25"/>
      <c r="BJ7948" s="25"/>
      <c r="BK7948" s="25"/>
    </row>
    <row r="7949" spans="60:63" ht="14.25" x14ac:dyDescent="0.2">
      <c r="BH7949" s="25"/>
      <c r="BI7949" s="25"/>
      <c r="BJ7949" s="25"/>
      <c r="BK7949" s="25"/>
    </row>
    <row r="7950" spans="60:63" ht="14.25" x14ac:dyDescent="0.2">
      <c r="BH7950" s="25"/>
      <c r="BI7950" s="25"/>
      <c r="BJ7950" s="25"/>
      <c r="BK7950" s="25"/>
    </row>
    <row r="7951" spans="60:63" ht="14.25" x14ac:dyDescent="0.2">
      <c r="BH7951" s="25"/>
      <c r="BI7951" s="25"/>
      <c r="BJ7951" s="25"/>
      <c r="BK7951" s="25"/>
    </row>
    <row r="7952" spans="60:63" ht="14.25" x14ac:dyDescent="0.2">
      <c r="BH7952" s="25"/>
      <c r="BI7952" s="25"/>
      <c r="BJ7952" s="25"/>
      <c r="BK7952" s="25"/>
    </row>
    <row r="7953" spans="60:63" ht="14.25" x14ac:dyDescent="0.2">
      <c r="BH7953" s="25"/>
      <c r="BI7953" s="25"/>
      <c r="BJ7953" s="25"/>
      <c r="BK7953" s="25"/>
    </row>
    <row r="7954" spans="60:63" ht="14.25" x14ac:dyDescent="0.2">
      <c r="BH7954" s="25"/>
      <c r="BI7954" s="25"/>
      <c r="BJ7954" s="25"/>
      <c r="BK7954" s="25"/>
    </row>
    <row r="7955" spans="60:63" ht="14.25" x14ac:dyDescent="0.2">
      <c r="BH7955" s="25"/>
      <c r="BI7955" s="25"/>
      <c r="BJ7955" s="25"/>
      <c r="BK7955" s="25"/>
    </row>
    <row r="7956" spans="60:63" ht="14.25" x14ac:dyDescent="0.2">
      <c r="BH7956" s="25"/>
      <c r="BI7956" s="25"/>
      <c r="BJ7956" s="25"/>
      <c r="BK7956" s="25"/>
    </row>
    <row r="7957" spans="60:63" ht="14.25" x14ac:dyDescent="0.2">
      <c r="BH7957" s="25"/>
      <c r="BI7957" s="25"/>
      <c r="BJ7957" s="25"/>
      <c r="BK7957" s="25"/>
    </row>
    <row r="7958" spans="60:63" ht="14.25" x14ac:dyDescent="0.2">
      <c r="BH7958" s="25"/>
      <c r="BI7958" s="25"/>
      <c r="BJ7958" s="25"/>
      <c r="BK7958" s="25"/>
    </row>
    <row r="7959" spans="60:63" ht="14.25" x14ac:dyDescent="0.2">
      <c r="BH7959" s="25"/>
      <c r="BI7959" s="25"/>
      <c r="BJ7959" s="25"/>
      <c r="BK7959" s="25"/>
    </row>
    <row r="7960" spans="60:63" ht="14.25" x14ac:dyDescent="0.2">
      <c r="BH7960" s="25"/>
      <c r="BI7960" s="25"/>
      <c r="BJ7960" s="25"/>
      <c r="BK7960" s="25"/>
    </row>
    <row r="7961" spans="60:63" ht="14.25" x14ac:dyDescent="0.2">
      <c r="BH7961" s="25"/>
      <c r="BI7961" s="25"/>
      <c r="BJ7961" s="25"/>
      <c r="BK7961" s="25"/>
    </row>
    <row r="7962" spans="60:63" ht="14.25" x14ac:dyDescent="0.2">
      <c r="BH7962" s="25"/>
      <c r="BI7962" s="25"/>
      <c r="BJ7962" s="25"/>
      <c r="BK7962" s="25"/>
    </row>
    <row r="7963" spans="60:63" ht="14.25" x14ac:dyDescent="0.2">
      <c r="BH7963" s="25"/>
      <c r="BI7963" s="25"/>
      <c r="BJ7963" s="25"/>
      <c r="BK7963" s="25"/>
    </row>
    <row r="7964" spans="60:63" ht="14.25" x14ac:dyDescent="0.2">
      <c r="BH7964" s="25"/>
      <c r="BI7964" s="25"/>
      <c r="BJ7964" s="25"/>
      <c r="BK7964" s="25"/>
    </row>
    <row r="7965" spans="60:63" ht="14.25" x14ac:dyDescent="0.2">
      <c r="BH7965" s="25"/>
      <c r="BI7965" s="25"/>
      <c r="BJ7965" s="25"/>
      <c r="BK7965" s="25"/>
    </row>
    <row r="7966" spans="60:63" ht="14.25" x14ac:dyDescent="0.2">
      <c r="BH7966" s="25"/>
      <c r="BI7966" s="25"/>
      <c r="BJ7966" s="25"/>
      <c r="BK7966" s="25"/>
    </row>
    <row r="7967" spans="60:63" ht="14.25" x14ac:dyDescent="0.2">
      <c r="BH7967" s="25"/>
      <c r="BI7967" s="25"/>
      <c r="BJ7967" s="25"/>
      <c r="BK7967" s="25"/>
    </row>
    <row r="7968" spans="60:63" ht="14.25" x14ac:dyDescent="0.2">
      <c r="BH7968" s="25"/>
      <c r="BI7968" s="25"/>
      <c r="BJ7968" s="25"/>
      <c r="BK7968" s="25"/>
    </row>
    <row r="7969" spans="60:63" ht="14.25" x14ac:dyDescent="0.2">
      <c r="BH7969" s="25"/>
      <c r="BI7969" s="25"/>
      <c r="BJ7969" s="25"/>
      <c r="BK7969" s="25"/>
    </row>
    <row r="7970" spans="60:63" ht="14.25" x14ac:dyDescent="0.2">
      <c r="BH7970" s="25"/>
      <c r="BI7970" s="25"/>
      <c r="BJ7970" s="25"/>
      <c r="BK7970" s="25"/>
    </row>
    <row r="7971" spans="60:63" ht="14.25" x14ac:dyDescent="0.2">
      <c r="BH7971" s="25"/>
      <c r="BI7971" s="25"/>
      <c r="BJ7971" s="25"/>
      <c r="BK7971" s="25"/>
    </row>
    <row r="7972" spans="60:63" ht="14.25" x14ac:dyDescent="0.2">
      <c r="BH7972" s="25"/>
      <c r="BI7972" s="25"/>
      <c r="BJ7972" s="25"/>
      <c r="BK7972" s="25"/>
    </row>
    <row r="7973" spans="60:63" ht="14.25" x14ac:dyDescent="0.2">
      <c r="BH7973" s="25"/>
      <c r="BI7973" s="25"/>
      <c r="BJ7973" s="25"/>
      <c r="BK7973" s="25"/>
    </row>
    <row r="7974" spans="60:63" ht="14.25" x14ac:dyDescent="0.2">
      <c r="BH7974" s="25"/>
      <c r="BI7974" s="25"/>
      <c r="BJ7974" s="25"/>
      <c r="BK7974" s="25"/>
    </row>
    <row r="7975" spans="60:63" ht="14.25" x14ac:dyDescent="0.2">
      <c r="BH7975" s="25"/>
      <c r="BI7975" s="25"/>
      <c r="BJ7975" s="25"/>
      <c r="BK7975" s="25"/>
    </row>
    <row r="7976" spans="60:63" ht="14.25" x14ac:dyDescent="0.2">
      <c r="BH7976" s="25"/>
      <c r="BI7976" s="25"/>
      <c r="BJ7976" s="25"/>
      <c r="BK7976" s="25"/>
    </row>
    <row r="7977" spans="60:63" ht="14.25" x14ac:dyDescent="0.2">
      <c r="BH7977" s="25"/>
      <c r="BI7977" s="25"/>
      <c r="BJ7977" s="25"/>
      <c r="BK7977" s="25"/>
    </row>
    <row r="7978" spans="60:63" ht="14.25" x14ac:dyDescent="0.2">
      <c r="BH7978" s="25"/>
      <c r="BI7978" s="25"/>
      <c r="BJ7978" s="25"/>
      <c r="BK7978" s="25"/>
    </row>
    <row r="7979" spans="60:63" ht="14.25" x14ac:dyDescent="0.2">
      <c r="BH7979" s="25"/>
      <c r="BI7979" s="25"/>
      <c r="BJ7979" s="25"/>
      <c r="BK7979" s="25"/>
    </row>
    <row r="7980" spans="60:63" ht="14.25" x14ac:dyDescent="0.2">
      <c r="BH7980" s="25"/>
      <c r="BI7980" s="25"/>
      <c r="BJ7980" s="25"/>
      <c r="BK7980" s="25"/>
    </row>
    <row r="7981" spans="60:63" ht="14.25" x14ac:dyDescent="0.2">
      <c r="BH7981" s="25"/>
      <c r="BI7981" s="25"/>
      <c r="BJ7981" s="25"/>
      <c r="BK7981" s="25"/>
    </row>
    <row r="7982" spans="60:63" ht="14.25" x14ac:dyDescent="0.2">
      <c r="BH7982" s="25"/>
      <c r="BI7982" s="25"/>
      <c r="BJ7982" s="25"/>
      <c r="BK7982" s="25"/>
    </row>
    <row r="7983" spans="60:63" ht="14.25" x14ac:dyDescent="0.2">
      <c r="BH7983" s="25"/>
      <c r="BI7983" s="25"/>
      <c r="BJ7983" s="25"/>
      <c r="BK7983" s="25"/>
    </row>
    <row r="7984" spans="60:63" ht="14.25" x14ac:dyDescent="0.2">
      <c r="BH7984" s="25"/>
      <c r="BI7984" s="25"/>
      <c r="BJ7984" s="25"/>
      <c r="BK7984" s="25"/>
    </row>
    <row r="7985" spans="60:63" ht="14.25" x14ac:dyDescent="0.2">
      <c r="BH7985" s="25"/>
      <c r="BI7985" s="25"/>
      <c r="BJ7985" s="25"/>
      <c r="BK7985" s="25"/>
    </row>
    <row r="7986" spans="60:63" ht="14.25" x14ac:dyDescent="0.2">
      <c r="BH7986" s="25"/>
      <c r="BI7986" s="25"/>
      <c r="BJ7986" s="25"/>
      <c r="BK7986" s="25"/>
    </row>
    <row r="7987" spans="60:63" ht="14.25" x14ac:dyDescent="0.2">
      <c r="BH7987" s="25"/>
      <c r="BI7987" s="25"/>
      <c r="BJ7987" s="25"/>
      <c r="BK7987" s="25"/>
    </row>
    <row r="7988" spans="60:63" ht="14.25" x14ac:dyDescent="0.2">
      <c r="BH7988" s="25"/>
      <c r="BI7988" s="25"/>
      <c r="BJ7988" s="25"/>
      <c r="BK7988" s="25"/>
    </row>
    <row r="7989" spans="60:63" ht="14.25" x14ac:dyDescent="0.2">
      <c r="BH7989" s="25"/>
      <c r="BI7989" s="25"/>
      <c r="BJ7989" s="25"/>
      <c r="BK7989" s="25"/>
    </row>
    <row r="7990" spans="60:63" ht="14.25" x14ac:dyDescent="0.2">
      <c r="BH7990" s="25"/>
      <c r="BI7990" s="25"/>
      <c r="BJ7990" s="25"/>
      <c r="BK7990" s="25"/>
    </row>
    <row r="7991" spans="60:63" ht="14.25" x14ac:dyDescent="0.2">
      <c r="BH7991" s="25"/>
      <c r="BI7991" s="25"/>
      <c r="BJ7991" s="25"/>
      <c r="BK7991" s="25"/>
    </row>
    <row r="7992" spans="60:63" ht="14.25" x14ac:dyDescent="0.2">
      <c r="BH7992" s="25"/>
      <c r="BI7992" s="25"/>
      <c r="BJ7992" s="25"/>
      <c r="BK7992" s="25"/>
    </row>
    <row r="7993" spans="60:63" ht="14.25" x14ac:dyDescent="0.2">
      <c r="BH7993" s="25"/>
      <c r="BI7993" s="25"/>
      <c r="BJ7993" s="25"/>
      <c r="BK7993" s="25"/>
    </row>
    <row r="7994" spans="60:63" ht="14.25" x14ac:dyDescent="0.2">
      <c r="BH7994" s="25"/>
      <c r="BI7994" s="25"/>
      <c r="BJ7994" s="25"/>
      <c r="BK7994" s="25"/>
    </row>
    <row r="7995" spans="60:63" ht="14.25" x14ac:dyDescent="0.2">
      <c r="BH7995" s="25"/>
      <c r="BI7995" s="25"/>
      <c r="BJ7995" s="25"/>
      <c r="BK7995" s="25"/>
    </row>
    <row r="7996" spans="60:63" ht="14.25" x14ac:dyDescent="0.2">
      <c r="BH7996" s="25"/>
      <c r="BI7996" s="25"/>
      <c r="BJ7996" s="25"/>
      <c r="BK7996" s="25"/>
    </row>
    <row r="7997" spans="60:63" ht="14.25" x14ac:dyDescent="0.2">
      <c r="BH7997" s="25"/>
      <c r="BI7997" s="25"/>
      <c r="BJ7997" s="25"/>
      <c r="BK7997" s="25"/>
    </row>
    <row r="7998" spans="60:63" ht="14.25" x14ac:dyDescent="0.2">
      <c r="BH7998" s="25"/>
      <c r="BI7998" s="25"/>
      <c r="BJ7998" s="25"/>
      <c r="BK7998" s="25"/>
    </row>
    <row r="7999" spans="60:63" ht="14.25" x14ac:dyDescent="0.2">
      <c r="BH7999" s="25"/>
      <c r="BI7999" s="25"/>
      <c r="BJ7999" s="25"/>
      <c r="BK7999" s="25"/>
    </row>
    <row r="8000" spans="60:63" ht="14.25" x14ac:dyDescent="0.2">
      <c r="BH8000" s="25"/>
      <c r="BI8000" s="25"/>
      <c r="BJ8000" s="25"/>
      <c r="BK8000" s="25"/>
    </row>
    <row r="8001" spans="60:63" ht="14.25" x14ac:dyDescent="0.2">
      <c r="BH8001" s="25"/>
      <c r="BI8001" s="25"/>
      <c r="BJ8001" s="25"/>
      <c r="BK8001" s="25"/>
    </row>
    <row r="8002" spans="60:63" ht="14.25" x14ac:dyDescent="0.2">
      <c r="BH8002" s="25"/>
      <c r="BI8002" s="25"/>
      <c r="BJ8002" s="25"/>
      <c r="BK8002" s="25"/>
    </row>
    <row r="8003" spans="60:63" ht="14.25" x14ac:dyDescent="0.2">
      <c r="BH8003" s="25"/>
      <c r="BI8003" s="25"/>
      <c r="BJ8003" s="25"/>
      <c r="BK8003" s="25"/>
    </row>
    <row r="8004" spans="60:63" ht="14.25" x14ac:dyDescent="0.2">
      <c r="BH8004" s="25"/>
      <c r="BI8004" s="25"/>
      <c r="BJ8004" s="25"/>
      <c r="BK8004" s="25"/>
    </row>
    <row r="8005" spans="60:63" ht="14.25" x14ac:dyDescent="0.2">
      <c r="BH8005" s="25"/>
      <c r="BI8005" s="25"/>
      <c r="BJ8005" s="25"/>
      <c r="BK8005" s="25"/>
    </row>
    <row r="8006" spans="60:63" ht="14.25" x14ac:dyDescent="0.2">
      <c r="BH8006" s="25"/>
      <c r="BI8006" s="25"/>
      <c r="BJ8006" s="25"/>
      <c r="BK8006" s="25"/>
    </row>
    <row r="8007" spans="60:63" ht="14.25" x14ac:dyDescent="0.2">
      <c r="BH8007" s="25"/>
      <c r="BI8007" s="25"/>
      <c r="BJ8007" s="25"/>
      <c r="BK8007" s="25"/>
    </row>
    <row r="8008" spans="60:63" ht="14.25" x14ac:dyDescent="0.2">
      <c r="BH8008" s="25"/>
      <c r="BI8008" s="25"/>
      <c r="BJ8008" s="25"/>
      <c r="BK8008" s="25"/>
    </row>
    <row r="8009" spans="60:63" ht="14.25" x14ac:dyDescent="0.2">
      <c r="BH8009" s="25"/>
      <c r="BI8009" s="25"/>
      <c r="BJ8009" s="25"/>
      <c r="BK8009" s="25"/>
    </row>
    <row r="8010" spans="60:63" ht="14.25" x14ac:dyDescent="0.2">
      <c r="BH8010" s="25"/>
      <c r="BI8010" s="25"/>
      <c r="BJ8010" s="25"/>
      <c r="BK8010" s="25"/>
    </row>
    <row r="8011" spans="60:63" ht="14.25" x14ac:dyDescent="0.2">
      <c r="BH8011" s="25"/>
      <c r="BI8011" s="25"/>
      <c r="BJ8011" s="25"/>
      <c r="BK8011" s="25"/>
    </row>
    <row r="8012" spans="60:63" ht="14.25" x14ac:dyDescent="0.2">
      <c r="BH8012" s="25"/>
      <c r="BI8012" s="25"/>
      <c r="BJ8012" s="25"/>
      <c r="BK8012" s="25"/>
    </row>
    <row r="8013" spans="60:63" ht="14.25" x14ac:dyDescent="0.2">
      <c r="BH8013" s="25"/>
      <c r="BI8013" s="25"/>
      <c r="BJ8013" s="25"/>
      <c r="BK8013" s="25"/>
    </row>
    <row r="8014" spans="60:63" ht="14.25" x14ac:dyDescent="0.2">
      <c r="BH8014" s="25"/>
      <c r="BI8014" s="25"/>
      <c r="BJ8014" s="25"/>
      <c r="BK8014" s="25"/>
    </row>
    <row r="8015" spans="60:63" ht="14.25" x14ac:dyDescent="0.2">
      <c r="BH8015" s="25"/>
      <c r="BI8015" s="25"/>
      <c r="BJ8015" s="25"/>
      <c r="BK8015" s="25"/>
    </row>
    <row r="8016" spans="60:63" ht="14.25" x14ac:dyDescent="0.2">
      <c r="BH8016" s="25"/>
      <c r="BI8016" s="25"/>
      <c r="BJ8016" s="25"/>
      <c r="BK8016" s="25"/>
    </row>
    <row r="8017" spans="60:63" ht="14.25" x14ac:dyDescent="0.2">
      <c r="BH8017" s="25"/>
      <c r="BI8017" s="25"/>
      <c r="BJ8017" s="25"/>
      <c r="BK8017" s="25"/>
    </row>
    <row r="8018" spans="60:63" ht="14.25" x14ac:dyDescent="0.2">
      <c r="BH8018" s="25"/>
      <c r="BI8018" s="25"/>
      <c r="BJ8018" s="25"/>
      <c r="BK8018" s="25"/>
    </row>
    <row r="8019" spans="60:63" ht="14.25" x14ac:dyDescent="0.2">
      <c r="BH8019" s="25"/>
      <c r="BI8019" s="25"/>
      <c r="BJ8019" s="25"/>
      <c r="BK8019" s="25"/>
    </row>
    <row r="8020" spans="60:63" ht="14.25" x14ac:dyDescent="0.2">
      <c r="BH8020" s="25"/>
      <c r="BI8020" s="25"/>
      <c r="BJ8020" s="25"/>
      <c r="BK8020" s="25"/>
    </row>
    <row r="8021" spans="60:63" ht="14.25" x14ac:dyDescent="0.2">
      <c r="BH8021" s="25"/>
      <c r="BI8021" s="25"/>
      <c r="BJ8021" s="25"/>
      <c r="BK8021" s="25"/>
    </row>
    <row r="8022" spans="60:63" ht="14.25" x14ac:dyDescent="0.2">
      <c r="BH8022" s="25"/>
      <c r="BI8022" s="25"/>
      <c r="BJ8022" s="25"/>
      <c r="BK8022" s="25"/>
    </row>
    <row r="8023" spans="60:63" ht="14.25" x14ac:dyDescent="0.2">
      <c r="BH8023" s="25"/>
      <c r="BI8023" s="25"/>
      <c r="BJ8023" s="25"/>
      <c r="BK8023" s="25"/>
    </row>
    <row r="8024" spans="60:63" ht="14.25" x14ac:dyDescent="0.2">
      <c r="BH8024" s="25"/>
      <c r="BI8024" s="25"/>
      <c r="BJ8024" s="25"/>
      <c r="BK8024" s="25"/>
    </row>
    <row r="8025" spans="60:63" ht="14.25" x14ac:dyDescent="0.2">
      <c r="BH8025" s="25"/>
      <c r="BI8025" s="25"/>
      <c r="BJ8025" s="25"/>
      <c r="BK8025" s="25"/>
    </row>
    <row r="8026" spans="60:63" ht="14.25" x14ac:dyDescent="0.2">
      <c r="BH8026" s="25"/>
      <c r="BI8026" s="25"/>
      <c r="BJ8026" s="25"/>
      <c r="BK8026" s="25"/>
    </row>
    <row r="8027" spans="60:63" ht="14.25" x14ac:dyDescent="0.2">
      <c r="BH8027" s="25"/>
      <c r="BI8027" s="25"/>
      <c r="BJ8027" s="25"/>
      <c r="BK8027" s="25"/>
    </row>
    <row r="8028" spans="60:63" ht="14.25" x14ac:dyDescent="0.2">
      <c r="BH8028" s="25"/>
      <c r="BI8028" s="25"/>
      <c r="BJ8028" s="25"/>
      <c r="BK8028" s="25"/>
    </row>
    <row r="8029" spans="60:63" ht="14.25" x14ac:dyDescent="0.2">
      <c r="BH8029" s="25"/>
      <c r="BI8029" s="25"/>
      <c r="BJ8029" s="25"/>
      <c r="BK8029" s="25"/>
    </row>
    <row r="8030" spans="60:63" ht="14.25" x14ac:dyDescent="0.2">
      <c r="BH8030" s="25"/>
      <c r="BI8030" s="25"/>
      <c r="BJ8030" s="25"/>
      <c r="BK8030" s="25"/>
    </row>
    <row r="8031" spans="60:63" ht="14.25" x14ac:dyDescent="0.2">
      <c r="BH8031" s="25"/>
      <c r="BI8031" s="25"/>
      <c r="BJ8031" s="25"/>
      <c r="BK8031" s="25"/>
    </row>
    <row r="8032" spans="60:63" ht="14.25" x14ac:dyDescent="0.2">
      <c r="BH8032" s="25"/>
      <c r="BI8032" s="25"/>
      <c r="BJ8032" s="25"/>
      <c r="BK8032" s="25"/>
    </row>
    <row r="8033" spans="60:63" ht="14.25" x14ac:dyDescent="0.2">
      <c r="BH8033" s="25"/>
      <c r="BI8033" s="25"/>
      <c r="BJ8033" s="25"/>
      <c r="BK8033" s="25"/>
    </row>
    <row r="8034" spans="60:63" ht="14.25" x14ac:dyDescent="0.2">
      <c r="BH8034" s="25"/>
      <c r="BI8034" s="25"/>
      <c r="BJ8034" s="25"/>
      <c r="BK8034" s="25"/>
    </row>
    <row r="8035" spans="60:63" ht="14.25" x14ac:dyDescent="0.2">
      <c r="BH8035" s="25"/>
      <c r="BI8035" s="25"/>
      <c r="BJ8035" s="25"/>
      <c r="BK8035" s="25"/>
    </row>
    <row r="8036" spans="60:63" ht="14.25" x14ac:dyDescent="0.2">
      <c r="BH8036" s="25"/>
      <c r="BI8036" s="25"/>
      <c r="BJ8036" s="25"/>
      <c r="BK8036" s="25"/>
    </row>
    <row r="8037" spans="60:63" ht="14.25" x14ac:dyDescent="0.2">
      <c r="BH8037" s="25"/>
      <c r="BI8037" s="25"/>
      <c r="BJ8037" s="25"/>
      <c r="BK8037" s="25"/>
    </row>
    <row r="8038" spans="60:63" ht="14.25" x14ac:dyDescent="0.2">
      <c r="BH8038" s="25"/>
      <c r="BI8038" s="25"/>
      <c r="BJ8038" s="25"/>
      <c r="BK8038" s="25"/>
    </row>
    <row r="8039" spans="60:63" ht="14.25" x14ac:dyDescent="0.2">
      <c r="BH8039" s="25"/>
      <c r="BI8039" s="25"/>
      <c r="BJ8039" s="25"/>
      <c r="BK8039" s="25"/>
    </row>
    <row r="8040" spans="60:63" ht="14.25" x14ac:dyDescent="0.2">
      <c r="BH8040" s="25"/>
      <c r="BI8040" s="25"/>
      <c r="BJ8040" s="25"/>
      <c r="BK8040" s="25"/>
    </row>
    <row r="8041" spans="60:63" ht="14.25" x14ac:dyDescent="0.2">
      <c r="BH8041" s="25"/>
      <c r="BI8041" s="25"/>
      <c r="BJ8041" s="25"/>
      <c r="BK8041" s="25"/>
    </row>
    <row r="8042" spans="60:63" ht="14.25" x14ac:dyDescent="0.2">
      <c r="BH8042" s="25"/>
      <c r="BI8042" s="25"/>
      <c r="BJ8042" s="25"/>
      <c r="BK8042" s="25"/>
    </row>
    <row r="8043" spans="60:63" ht="14.25" x14ac:dyDescent="0.2">
      <c r="BH8043" s="25"/>
      <c r="BI8043" s="25"/>
      <c r="BJ8043" s="25"/>
      <c r="BK8043" s="25"/>
    </row>
    <row r="8044" spans="60:63" ht="14.25" x14ac:dyDescent="0.2">
      <c r="BH8044" s="25"/>
      <c r="BI8044" s="25"/>
      <c r="BJ8044" s="25"/>
      <c r="BK8044" s="25"/>
    </row>
    <row r="8045" spans="60:63" ht="14.25" x14ac:dyDescent="0.2">
      <c r="BH8045" s="25"/>
      <c r="BI8045" s="25"/>
      <c r="BJ8045" s="25"/>
      <c r="BK8045" s="25"/>
    </row>
    <row r="8046" spans="60:63" ht="14.25" x14ac:dyDescent="0.2">
      <c r="BH8046" s="25"/>
      <c r="BI8046" s="25"/>
      <c r="BJ8046" s="25"/>
      <c r="BK8046" s="25"/>
    </row>
    <row r="8047" spans="60:63" ht="14.25" x14ac:dyDescent="0.2">
      <c r="BH8047" s="25"/>
      <c r="BI8047" s="25"/>
      <c r="BJ8047" s="25"/>
      <c r="BK8047" s="25"/>
    </row>
    <row r="8048" spans="60:63" ht="14.25" x14ac:dyDescent="0.2">
      <c r="BH8048" s="25"/>
      <c r="BI8048" s="25"/>
      <c r="BJ8048" s="25"/>
      <c r="BK8048" s="25"/>
    </row>
    <row r="8049" spans="60:63" ht="14.25" x14ac:dyDescent="0.2">
      <c r="BH8049" s="25"/>
      <c r="BI8049" s="25"/>
      <c r="BJ8049" s="25"/>
      <c r="BK8049" s="25"/>
    </row>
    <row r="8050" spans="60:63" ht="14.25" x14ac:dyDescent="0.2">
      <c r="BH8050" s="25"/>
      <c r="BI8050" s="25"/>
      <c r="BJ8050" s="25"/>
      <c r="BK8050" s="25"/>
    </row>
    <row r="8051" spans="60:63" ht="14.25" x14ac:dyDescent="0.2">
      <c r="BH8051" s="25"/>
      <c r="BI8051" s="25"/>
      <c r="BJ8051" s="25"/>
      <c r="BK8051" s="25"/>
    </row>
    <row r="8052" spans="60:63" ht="14.25" x14ac:dyDescent="0.2">
      <c r="BH8052" s="25"/>
      <c r="BI8052" s="25"/>
      <c r="BJ8052" s="25"/>
      <c r="BK8052" s="25"/>
    </row>
    <row r="8053" spans="60:63" ht="14.25" x14ac:dyDescent="0.2">
      <c r="BH8053" s="25"/>
      <c r="BI8053" s="25"/>
      <c r="BJ8053" s="25"/>
      <c r="BK8053" s="25"/>
    </row>
    <row r="8054" spans="60:63" ht="14.25" x14ac:dyDescent="0.2">
      <c r="BH8054" s="25"/>
      <c r="BI8054" s="25"/>
      <c r="BJ8054" s="25"/>
      <c r="BK8054" s="25"/>
    </row>
    <row r="8055" spans="60:63" ht="14.25" x14ac:dyDescent="0.2">
      <c r="BH8055" s="25"/>
      <c r="BI8055" s="25"/>
      <c r="BJ8055" s="25"/>
      <c r="BK8055" s="25"/>
    </row>
    <row r="8056" spans="60:63" ht="14.25" x14ac:dyDescent="0.2">
      <c r="BH8056" s="25"/>
      <c r="BI8056" s="25"/>
      <c r="BJ8056" s="25"/>
      <c r="BK8056" s="25"/>
    </row>
    <row r="8057" spans="60:63" ht="14.25" x14ac:dyDescent="0.2">
      <c r="BH8057" s="25"/>
      <c r="BI8057" s="25"/>
      <c r="BJ8057" s="25"/>
      <c r="BK8057" s="25"/>
    </row>
    <row r="8058" spans="60:63" ht="14.25" x14ac:dyDescent="0.2">
      <c r="BH8058" s="25"/>
      <c r="BI8058" s="25"/>
      <c r="BJ8058" s="25"/>
      <c r="BK8058" s="25"/>
    </row>
    <row r="8059" spans="60:63" ht="14.25" x14ac:dyDescent="0.2">
      <c r="BH8059" s="25"/>
      <c r="BI8059" s="25"/>
      <c r="BJ8059" s="25"/>
      <c r="BK8059" s="25"/>
    </row>
    <row r="8060" spans="60:63" ht="14.25" x14ac:dyDescent="0.2">
      <c r="BH8060" s="25"/>
      <c r="BI8060" s="25"/>
      <c r="BJ8060" s="25"/>
      <c r="BK8060" s="25"/>
    </row>
    <row r="8061" spans="60:63" ht="14.25" x14ac:dyDescent="0.2">
      <c r="BH8061" s="25"/>
      <c r="BI8061" s="25"/>
      <c r="BJ8061" s="25"/>
      <c r="BK8061" s="25"/>
    </row>
    <row r="8062" spans="60:63" ht="14.25" x14ac:dyDescent="0.2">
      <c r="BH8062" s="25"/>
      <c r="BI8062" s="25"/>
      <c r="BJ8062" s="25"/>
      <c r="BK8062" s="25"/>
    </row>
    <row r="8063" spans="60:63" ht="14.25" x14ac:dyDescent="0.2">
      <c r="BH8063" s="25"/>
      <c r="BI8063" s="25"/>
      <c r="BJ8063" s="25"/>
      <c r="BK8063" s="25"/>
    </row>
    <row r="8064" spans="60:63" ht="14.25" x14ac:dyDescent="0.2">
      <c r="BH8064" s="25"/>
      <c r="BI8064" s="25"/>
      <c r="BJ8064" s="25"/>
      <c r="BK8064" s="25"/>
    </row>
    <row r="8065" spans="60:63" ht="14.25" x14ac:dyDescent="0.2">
      <c r="BH8065" s="25"/>
      <c r="BI8065" s="25"/>
      <c r="BJ8065" s="25"/>
      <c r="BK8065" s="25"/>
    </row>
    <row r="8066" spans="60:63" ht="14.25" x14ac:dyDescent="0.2">
      <c r="BH8066" s="25"/>
      <c r="BI8066" s="25"/>
      <c r="BJ8066" s="25"/>
      <c r="BK8066" s="25"/>
    </row>
    <row r="8067" spans="60:63" ht="14.25" x14ac:dyDescent="0.2">
      <c r="BH8067" s="25"/>
      <c r="BI8067" s="25"/>
      <c r="BJ8067" s="25"/>
      <c r="BK8067" s="25"/>
    </row>
    <row r="8068" spans="60:63" ht="14.25" x14ac:dyDescent="0.2">
      <c r="BH8068" s="25"/>
      <c r="BI8068" s="25"/>
      <c r="BJ8068" s="25"/>
      <c r="BK8068" s="25"/>
    </row>
    <row r="8069" spans="60:63" ht="14.25" x14ac:dyDescent="0.2">
      <c r="BH8069" s="25"/>
      <c r="BI8069" s="25"/>
      <c r="BJ8069" s="25"/>
      <c r="BK8069" s="25"/>
    </row>
    <row r="8070" spans="60:63" ht="14.25" x14ac:dyDescent="0.2">
      <c r="BH8070" s="25"/>
      <c r="BI8070" s="25"/>
      <c r="BJ8070" s="25"/>
      <c r="BK8070" s="25"/>
    </row>
    <row r="8071" spans="60:63" ht="14.25" x14ac:dyDescent="0.2">
      <c r="BH8071" s="25"/>
      <c r="BI8071" s="25"/>
      <c r="BJ8071" s="25"/>
      <c r="BK8071" s="25"/>
    </row>
    <row r="8072" spans="60:63" ht="14.25" x14ac:dyDescent="0.2">
      <c r="BH8072" s="25"/>
      <c r="BI8072" s="25"/>
      <c r="BJ8072" s="25"/>
      <c r="BK8072" s="25"/>
    </row>
    <row r="8073" spans="60:63" ht="14.25" x14ac:dyDescent="0.2">
      <c r="BH8073" s="25"/>
      <c r="BI8073" s="25"/>
      <c r="BJ8073" s="25"/>
      <c r="BK8073" s="25"/>
    </row>
    <row r="8074" spans="60:63" ht="14.25" x14ac:dyDescent="0.2">
      <c r="BH8074" s="25"/>
      <c r="BI8074" s="25"/>
      <c r="BJ8074" s="25"/>
      <c r="BK8074" s="25"/>
    </row>
    <row r="8075" spans="60:63" ht="14.25" x14ac:dyDescent="0.2">
      <c r="BH8075" s="25"/>
      <c r="BI8075" s="25"/>
      <c r="BJ8075" s="25"/>
      <c r="BK8075" s="25"/>
    </row>
    <row r="8076" spans="60:63" ht="14.25" x14ac:dyDescent="0.2">
      <c r="BH8076" s="25"/>
      <c r="BI8076" s="25"/>
      <c r="BJ8076" s="25"/>
      <c r="BK8076" s="25"/>
    </row>
    <row r="8077" spans="60:63" ht="14.25" x14ac:dyDescent="0.2">
      <c r="BH8077" s="25"/>
      <c r="BI8077" s="25"/>
      <c r="BJ8077" s="25"/>
      <c r="BK8077" s="25"/>
    </row>
    <row r="8078" spans="60:63" ht="14.25" x14ac:dyDescent="0.2">
      <c r="BH8078" s="25"/>
      <c r="BI8078" s="25"/>
      <c r="BJ8078" s="25"/>
      <c r="BK8078" s="25"/>
    </row>
    <row r="8079" spans="60:63" ht="14.25" x14ac:dyDescent="0.2">
      <c r="BH8079" s="25"/>
      <c r="BI8079" s="25"/>
      <c r="BJ8079" s="25"/>
      <c r="BK8079" s="25"/>
    </row>
    <row r="8080" spans="60:63" ht="14.25" x14ac:dyDescent="0.2">
      <c r="BH8080" s="25"/>
      <c r="BI8080" s="25"/>
      <c r="BJ8080" s="25"/>
      <c r="BK8080" s="25"/>
    </row>
    <row r="8081" spans="60:63" ht="14.25" x14ac:dyDescent="0.2">
      <c r="BH8081" s="25"/>
      <c r="BI8081" s="25"/>
      <c r="BJ8081" s="25"/>
      <c r="BK8081" s="25"/>
    </row>
    <row r="8082" spans="60:63" ht="14.25" x14ac:dyDescent="0.2">
      <c r="BH8082" s="25"/>
      <c r="BI8082" s="25"/>
      <c r="BJ8082" s="25"/>
      <c r="BK8082" s="25"/>
    </row>
    <row r="8083" spans="60:63" ht="14.25" x14ac:dyDescent="0.2">
      <c r="BH8083" s="25"/>
      <c r="BI8083" s="25"/>
      <c r="BJ8083" s="25"/>
      <c r="BK8083" s="25"/>
    </row>
    <row r="8084" spans="60:63" ht="14.25" x14ac:dyDescent="0.2">
      <c r="BH8084" s="25"/>
      <c r="BI8084" s="25"/>
      <c r="BJ8084" s="25"/>
      <c r="BK8084" s="25"/>
    </row>
    <row r="8085" spans="60:63" ht="14.25" x14ac:dyDescent="0.2">
      <c r="BH8085" s="25"/>
      <c r="BI8085" s="25"/>
      <c r="BJ8085" s="25"/>
      <c r="BK8085" s="25"/>
    </row>
    <row r="8086" spans="60:63" ht="14.25" x14ac:dyDescent="0.2">
      <c r="BH8086" s="25"/>
      <c r="BI8086" s="25"/>
      <c r="BJ8086" s="25"/>
      <c r="BK8086" s="25"/>
    </row>
    <row r="8087" spans="60:63" ht="14.25" x14ac:dyDescent="0.2">
      <c r="BH8087" s="25"/>
      <c r="BI8087" s="25"/>
      <c r="BJ8087" s="25"/>
      <c r="BK8087" s="25"/>
    </row>
    <row r="8088" spans="60:63" ht="14.25" x14ac:dyDescent="0.2">
      <c r="BH8088" s="25"/>
      <c r="BI8088" s="25"/>
      <c r="BJ8088" s="25"/>
      <c r="BK8088" s="25"/>
    </row>
    <row r="8089" spans="60:63" ht="14.25" x14ac:dyDescent="0.2">
      <c r="BH8089" s="25"/>
      <c r="BI8089" s="25"/>
      <c r="BJ8089" s="25"/>
      <c r="BK8089" s="25"/>
    </row>
    <row r="8090" spans="60:63" ht="14.25" x14ac:dyDescent="0.2">
      <c r="BH8090" s="25"/>
      <c r="BI8090" s="25"/>
      <c r="BJ8090" s="25"/>
      <c r="BK8090" s="25"/>
    </row>
    <row r="8091" spans="60:63" ht="14.25" x14ac:dyDescent="0.2">
      <c r="BH8091" s="25"/>
      <c r="BI8091" s="25"/>
      <c r="BJ8091" s="25"/>
      <c r="BK8091" s="25"/>
    </row>
    <row r="8092" spans="60:63" ht="14.25" x14ac:dyDescent="0.2">
      <c r="BH8092" s="25"/>
      <c r="BI8092" s="25"/>
      <c r="BJ8092" s="25"/>
      <c r="BK8092" s="25"/>
    </row>
    <row r="8093" spans="60:63" ht="14.25" x14ac:dyDescent="0.2">
      <c r="BH8093" s="25"/>
      <c r="BI8093" s="25"/>
      <c r="BJ8093" s="25"/>
      <c r="BK8093" s="25"/>
    </row>
    <row r="8094" spans="60:63" ht="14.25" x14ac:dyDescent="0.2">
      <c r="BH8094" s="25"/>
      <c r="BI8094" s="25"/>
      <c r="BJ8094" s="25"/>
      <c r="BK8094" s="25"/>
    </row>
    <row r="8095" spans="60:63" ht="14.25" x14ac:dyDescent="0.2">
      <c r="BH8095" s="25"/>
      <c r="BI8095" s="25"/>
      <c r="BJ8095" s="25"/>
      <c r="BK8095" s="25"/>
    </row>
    <row r="8096" spans="60:63" ht="14.25" x14ac:dyDescent="0.2">
      <c r="BH8096" s="25"/>
      <c r="BI8096" s="25"/>
      <c r="BJ8096" s="25"/>
      <c r="BK8096" s="25"/>
    </row>
    <row r="8097" spans="60:63" ht="14.25" x14ac:dyDescent="0.2">
      <c r="BH8097" s="25"/>
      <c r="BI8097" s="25"/>
      <c r="BJ8097" s="25"/>
      <c r="BK8097" s="25"/>
    </row>
    <row r="8098" spans="60:63" ht="14.25" x14ac:dyDescent="0.2">
      <c r="BH8098" s="25"/>
      <c r="BI8098" s="25"/>
      <c r="BJ8098" s="25"/>
      <c r="BK8098" s="25"/>
    </row>
    <row r="8099" spans="60:63" ht="14.25" x14ac:dyDescent="0.2">
      <c r="BH8099" s="25"/>
      <c r="BI8099" s="25"/>
      <c r="BJ8099" s="25"/>
      <c r="BK8099" s="25"/>
    </row>
    <row r="8100" spans="60:63" ht="14.25" x14ac:dyDescent="0.2">
      <c r="BH8100" s="25"/>
      <c r="BI8100" s="25"/>
      <c r="BJ8100" s="25"/>
      <c r="BK8100" s="25"/>
    </row>
    <row r="8101" spans="60:63" ht="14.25" x14ac:dyDescent="0.2">
      <c r="BH8101" s="25"/>
      <c r="BI8101" s="25"/>
      <c r="BJ8101" s="25"/>
      <c r="BK8101" s="25"/>
    </row>
    <row r="8102" spans="60:63" ht="14.25" x14ac:dyDescent="0.2">
      <c r="BH8102" s="25"/>
      <c r="BI8102" s="25"/>
      <c r="BJ8102" s="25"/>
      <c r="BK8102" s="25"/>
    </row>
    <row r="8103" spans="60:63" ht="14.25" x14ac:dyDescent="0.2">
      <c r="BH8103" s="25"/>
      <c r="BI8103" s="25"/>
      <c r="BJ8103" s="25"/>
      <c r="BK8103" s="25"/>
    </row>
    <row r="8104" spans="60:63" ht="14.25" x14ac:dyDescent="0.2">
      <c r="BH8104" s="25"/>
      <c r="BI8104" s="25"/>
      <c r="BJ8104" s="25"/>
      <c r="BK8104" s="25"/>
    </row>
    <row r="8105" spans="60:63" ht="14.25" x14ac:dyDescent="0.2">
      <c r="BH8105" s="25"/>
      <c r="BI8105" s="25"/>
      <c r="BJ8105" s="25"/>
      <c r="BK8105" s="25"/>
    </row>
    <row r="8106" spans="60:63" ht="14.25" x14ac:dyDescent="0.2">
      <c r="BH8106" s="25"/>
      <c r="BI8106" s="25"/>
      <c r="BJ8106" s="25"/>
      <c r="BK8106" s="25"/>
    </row>
    <row r="8107" spans="60:63" ht="14.25" x14ac:dyDescent="0.2">
      <c r="BH8107" s="25"/>
      <c r="BI8107" s="25"/>
      <c r="BJ8107" s="25"/>
      <c r="BK8107" s="25"/>
    </row>
    <row r="8108" spans="60:63" ht="14.25" x14ac:dyDescent="0.2">
      <c r="BH8108" s="25"/>
      <c r="BI8108" s="25"/>
      <c r="BJ8108" s="25"/>
      <c r="BK8108" s="25"/>
    </row>
    <row r="8109" spans="60:63" ht="14.25" x14ac:dyDescent="0.2">
      <c r="BH8109" s="25"/>
      <c r="BI8109" s="25"/>
      <c r="BJ8109" s="25"/>
      <c r="BK8109" s="25"/>
    </row>
    <row r="8110" spans="60:63" ht="14.25" x14ac:dyDescent="0.2">
      <c r="BH8110" s="25"/>
      <c r="BI8110" s="25"/>
      <c r="BJ8110" s="25"/>
      <c r="BK8110" s="25"/>
    </row>
    <row r="8111" spans="60:63" ht="14.25" x14ac:dyDescent="0.2">
      <c r="BH8111" s="25"/>
      <c r="BI8111" s="25"/>
      <c r="BJ8111" s="25"/>
      <c r="BK8111" s="25"/>
    </row>
    <row r="8112" spans="60:63" ht="14.25" x14ac:dyDescent="0.2">
      <c r="BH8112" s="25"/>
      <c r="BI8112" s="25"/>
      <c r="BJ8112" s="25"/>
      <c r="BK8112" s="25"/>
    </row>
    <row r="8113" spans="60:63" ht="14.25" x14ac:dyDescent="0.2">
      <c r="BH8113" s="25"/>
      <c r="BI8113" s="25"/>
      <c r="BJ8113" s="25"/>
      <c r="BK8113" s="25"/>
    </row>
    <row r="8114" spans="60:63" ht="14.25" x14ac:dyDescent="0.2">
      <c r="BH8114" s="25"/>
      <c r="BI8114" s="25"/>
      <c r="BJ8114" s="25"/>
      <c r="BK8114" s="25"/>
    </row>
    <row r="8115" spans="60:63" ht="14.25" x14ac:dyDescent="0.2">
      <c r="BH8115" s="25"/>
      <c r="BI8115" s="25"/>
      <c r="BJ8115" s="25"/>
      <c r="BK8115" s="25"/>
    </row>
    <row r="8116" spans="60:63" ht="14.25" x14ac:dyDescent="0.2">
      <c r="BH8116" s="25"/>
      <c r="BI8116" s="25"/>
      <c r="BJ8116" s="25"/>
      <c r="BK8116" s="25"/>
    </row>
    <row r="8117" spans="60:63" ht="14.25" x14ac:dyDescent="0.2">
      <c r="BH8117" s="25"/>
      <c r="BI8117" s="25"/>
      <c r="BJ8117" s="25"/>
      <c r="BK8117" s="25"/>
    </row>
    <row r="8118" spans="60:63" ht="14.25" x14ac:dyDescent="0.2">
      <c r="BH8118" s="25"/>
      <c r="BI8118" s="25"/>
      <c r="BJ8118" s="25"/>
      <c r="BK8118" s="25"/>
    </row>
    <row r="8119" spans="60:63" ht="14.25" x14ac:dyDescent="0.2">
      <c r="BH8119" s="25"/>
      <c r="BI8119" s="25"/>
      <c r="BJ8119" s="25"/>
      <c r="BK8119" s="25"/>
    </row>
    <row r="8120" spans="60:63" ht="14.25" x14ac:dyDescent="0.2">
      <c r="BH8120" s="25"/>
      <c r="BI8120" s="25"/>
      <c r="BJ8120" s="25"/>
      <c r="BK8120" s="25"/>
    </row>
    <row r="8121" spans="60:63" ht="14.25" x14ac:dyDescent="0.2">
      <c r="BH8121" s="25"/>
      <c r="BI8121" s="25"/>
      <c r="BJ8121" s="25"/>
      <c r="BK8121" s="25"/>
    </row>
    <row r="8122" spans="60:63" ht="14.25" x14ac:dyDescent="0.2">
      <c r="BH8122" s="25"/>
      <c r="BI8122" s="25"/>
      <c r="BJ8122" s="25"/>
      <c r="BK8122" s="25"/>
    </row>
    <row r="8123" spans="60:63" ht="14.25" x14ac:dyDescent="0.2">
      <c r="BH8123" s="25"/>
      <c r="BI8123" s="25"/>
      <c r="BJ8123" s="25"/>
      <c r="BK8123" s="25"/>
    </row>
    <row r="8124" spans="60:63" ht="14.25" x14ac:dyDescent="0.2">
      <c r="BH8124" s="25"/>
      <c r="BI8124" s="25"/>
      <c r="BJ8124" s="25"/>
      <c r="BK8124" s="25"/>
    </row>
    <row r="8125" spans="60:63" ht="14.25" x14ac:dyDescent="0.2">
      <c r="BH8125" s="25"/>
      <c r="BI8125" s="25"/>
      <c r="BJ8125" s="25"/>
      <c r="BK8125" s="25"/>
    </row>
    <row r="8126" spans="60:63" ht="14.25" x14ac:dyDescent="0.2">
      <c r="BH8126" s="25"/>
      <c r="BI8126" s="25"/>
      <c r="BJ8126" s="25"/>
      <c r="BK8126" s="25"/>
    </row>
    <row r="8127" spans="60:63" ht="14.25" x14ac:dyDescent="0.2">
      <c r="BH8127" s="25"/>
      <c r="BI8127" s="25"/>
      <c r="BJ8127" s="25"/>
      <c r="BK8127" s="25"/>
    </row>
    <row r="8128" spans="60:63" ht="14.25" x14ac:dyDescent="0.2">
      <c r="BH8128" s="25"/>
      <c r="BI8128" s="25"/>
      <c r="BJ8128" s="25"/>
      <c r="BK8128" s="25"/>
    </row>
    <row r="8129" spans="60:63" ht="14.25" x14ac:dyDescent="0.2">
      <c r="BH8129" s="25"/>
      <c r="BI8129" s="25"/>
      <c r="BJ8129" s="25"/>
      <c r="BK8129" s="25"/>
    </row>
    <row r="8130" spans="60:63" ht="14.25" x14ac:dyDescent="0.2">
      <c r="BH8130" s="25"/>
      <c r="BI8130" s="25"/>
      <c r="BJ8130" s="25"/>
      <c r="BK8130" s="25"/>
    </row>
    <row r="8131" spans="60:63" ht="14.25" x14ac:dyDescent="0.2">
      <c r="BH8131" s="25"/>
      <c r="BI8131" s="25"/>
      <c r="BJ8131" s="25"/>
      <c r="BK8131" s="25"/>
    </row>
    <row r="8132" spans="60:63" ht="14.25" x14ac:dyDescent="0.2">
      <c r="BH8132" s="25"/>
      <c r="BI8132" s="25"/>
      <c r="BJ8132" s="25"/>
      <c r="BK8132" s="25"/>
    </row>
    <row r="8133" spans="60:63" ht="14.25" x14ac:dyDescent="0.2">
      <c r="BH8133" s="25"/>
      <c r="BI8133" s="25"/>
      <c r="BJ8133" s="25"/>
      <c r="BK8133" s="25"/>
    </row>
    <row r="8134" spans="60:63" ht="14.25" x14ac:dyDescent="0.2">
      <c r="BH8134" s="25"/>
      <c r="BI8134" s="25"/>
      <c r="BJ8134" s="25"/>
      <c r="BK8134" s="25"/>
    </row>
    <row r="8135" spans="60:63" ht="14.25" x14ac:dyDescent="0.2">
      <c r="BH8135" s="25"/>
      <c r="BI8135" s="25"/>
      <c r="BJ8135" s="25"/>
      <c r="BK8135" s="25"/>
    </row>
    <row r="8136" spans="60:63" ht="14.25" x14ac:dyDescent="0.2">
      <c r="BH8136" s="25"/>
      <c r="BI8136" s="25"/>
      <c r="BJ8136" s="25"/>
      <c r="BK8136" s="25"/>
    </row>
    <row r="8137" spans="60:63" ht="14.25" x14ac:dyDescent="0.2">
      <c r="BH8137" s="25"/>
      <c r="BI8137" s="25"/>
      <c r="BJ8137" s="25"/>
      <c r="BK8137" s="25"/>
    </row>
    <row r="8138" spans="60:63" ht="14.25" x14ac:dyDescent="0.2">
      <c r="BH8138" s="25"/>
      <c r="BI8138" s="25"/>
      <c r="BJ8138" s="25"/>
      <c r="BK8138" s="25"/>
    </row>
    <row r="8139" spans="60:63" ht="14.25" x14ac:dyDescent="0.2">
      <c r="BH8139" s="25"/>
      <c r="BI8139" s="25"/>
      <c r="BJ8139" s="25"/>
      <c r="BK8139" s="25"/>
    </row>
    <row r="8140" spans="60:63" ht="14.25" x14ac:dyDescent="0.2">
      <c r="BH8140" s="25"/>
      <c r="BI8140" s="25"/>
      <c r="BJ8140" s="25"/>
      <c r="BK8140" s="25"/>
    </row>
    <row r="8141" spans="60:63" ht="14.25" x14ac:dyDescent="0.2">
      <c r="BH8141" s="25"/>
      <c r="BI8141" s="25"/>
      <c r="BJ8141" s="25"/>
      <c r="BK8141" s="25"/>
    </row>
    <row r="8142" spans="60:63" ht="14.25" x14ac:dyDescent="0.2">
      <c r="BH8142" s="25"/>
      <c r="BI8142" s="25"/>
      <c r="BJ8142" s="25"/>
      <c r="BK8142" s="25"/>
    </row>
    <row r="8143" spans="60:63" ht="14.25" x14ac:dyDescent="0.2">
      <c r="BH8143" s="25"/>
      <c r="BI8143" s="25"/>
      <c r="BJ8143" s="25"/>
      <c r="BK8143" s="25"/>
    </row>
    <row r="8144" spans="60:63" ht="14.25" x14ac:dyDescent="0.2">
      <c r="BH8144" s="25"/>
      <c r="BI8144" s="25"/>
      <c r="BJ8144" s="25"/>
      <c r="BK8144" s="25"/>
    </row>
    <row r="8145" spans="60:63" ht="14.25" x14ac:dyDescent="0.2">
      <c r="BH8145" s="25"/>
      <c r="BI8145" s="25"/>
      <c r="BJ8145" s="25"/>
      <c r="BK8145" s="25"/>
    </row>
    <row r="8146" spans="60:63" ht="14.25" x14ac:dyDescent="0.2">
      <c r="BH8146" s="25"/>
      <c r="BI8146" s="25"/>
      <c r="BJ8146" s="25"/>
      <c r="BK8146" s="25"/>
    </row>
    <row r="8147" spans="60:63" ht="14.25" x14ac:dyDescent="0.2">
      <c r="BH8147" s="25"/>
      <c r="BI8147" s="25"/>
      <c r="BJ8147" s="25"/>
      <c r="BK8147" s="25"/>
    </row>
    <row r="8148" spans="60:63" ht="14.25" x14ac:dyDescent="0.2">
      <c r="BH8148" s="25"/>
      <c r="BI8148" s="25"/>
      <c r="BJ8148" s="25"/>
      <c r="BK8148" s="25"/>
    </row>
    <row r="8149" spans="60:63" ht="14.25" x14ac:dyDescent="0.2">
      <c r="BH8149" s="25"/>
      <c r="BI8149" s="25"/>
      <c r="BJ8149" s="25"/>
      <c r="BK8149" s="25"/>
    </row>
    <row r="8150" spans="60:63" ht="14.25" x14ac:dyDescent="0.2">
      <c r="BH8150" s="25"/>
      <c r="BI8150" s="25"/>
      <c r="BJ8150" s="25"/>
      <c r="BK8150" s="25"/>
    </row>
    <row r="8151" spans="60:63" ht="14.25" x14ac:dyDescent="0.2">
      <c r="BH8151" s="25"/>
      <c r="BI8151" s="25"/>
      <c r="BJ8151" s="25"/>
      <c r="BK8151" s="25"/>
    </row>
    <row r="8152" spans="60:63" ht="14.25" x14ac:dyDescent="0.2">
      <c r="BH8152" s="25"/>
      <c r="BI8152" s="25"/>
      <c r="BJ8152" s="25"/>
      <c r="BK8152" s="25"/>
    </row>
    <row r="8153" spans="60:63" ht="14.25" x14ac:dyDescent="0.2">
      <c r="BH8153" s="25"/>
      <c r="BI8153" s="25"/>
      <c r="BJ8153" s="25"/>
      <c r="BK8153" s="25"/>
    </row>
    <row r="8154" spans="60:63" ht="14.25" x14ac:dyDescent="0.2">
      <c r="BH8154" s="25"/>
      <c r="BI8154" s="25"/>
      <c r="BJ8154" s="25"/>
      <c r="BK8154" s="25"/>
    </row>
    <row r="8155" spans="60:63" ht="14.25" x14ac:dyDescent="0.2">
      <c r="BH8155" s="25"/>
      <c r="BI8155" s="25"/>
      <c r="BJ8155" s="25"/>
      <c r="BK8155" s="25"/>
    </row>
    <row r="8156" spans="60:63" ht="14.25" x14ac:dyDescent="0.2">
      <c r="BH8156" s="25"/>
      <c r="BI8156" s="25"/>
      <c r="BJ8156" s="25"/>
      <c r="BK8156" s="25"/>
    </row>
    <row r="8157" spans="60:63" ht="14.25" x14ac:dyDescent="0.2">
      <c r="BH8157" s="25"/>
      <c r="BI8157" s="25"/>
      <c r="BJ8157" s="25"/>
      <c r="BK8157" s="25"/>
    </row>
    <row r="8158" spans="60:63" ht="14.25" x14ac:dyDescent="0.2">
      <c r="BH8158" s="25"/>
      <c r="BI8158" s="25"/>
      <c r="BJ8158" s="25"/>
      <c r="BK8158" s="25"/>
    </row>
    <row r="8159" spans="60:63" ht="14.25" x14ac:dyDescent="0.2">
      <c r="BH8159" s="25"/>
      <c r="BI8159" s="25"/>
      <c r="BJ8159" s="25"/>
      <c r="BK8159" s="25"/>
    </row>
    <row r="8160" spans="60:63" ht="14.25" x14ac:dyDescent="0.2">
      <c r="BH8160" s="25"/>
      <c r="BI8160" s="25"/>
      <c r="BJ8160" s="25"/>
      <c r="BK8160" s="25"/>
    </row>
    <row r="8161" spans="60:63" ht="14.25" x14ac:dyDescent="0.2">
      <c r="BH8161" s="25"/>
      <c r="BI8161" s="25"/>
      <c r="BJ8161" s="25"/>
      <c r="BK8161" s="25"/>
    </row>
    <row r="8162" spans="60:63" ht="14.25" x14ac:dyDescent="0.2">
      <c r="BH8162" s="25"/>
      <c r="BI8162" s="25"/>
      <c r="BJ8162" s="25"/>
      <c r="BK8162" s="25"/>
    </row>
    <row r="8163" spans="60:63" ht="14.25" x14ac:dyDescent="0.2">
      <c r="BH8163" s="25"/>
      <c r="BI8163" s="25"/>
      <c r="BJ8163" s="25"/>
      <c r="BK8163" s="25"/>
    </row>
    <row r="8164" spans="60:63" ht="14.25" x14ac:dyDescent="0.2">
      <c r="BH8164" s="25"/>
      <c r="BI8164" s="25"/>
      <c r="BJ8164" s="25"/>
      <c r="BK8164" s="25"/>
    </row>
    <row r="8165" spans="60:63" ht="14.25" x14ac:dyDescent="0.2">
      <c r="BH8165" s="25"/>
      <c r="BI8165" s="25"/>
      <c r="BJ8165" s="25"/>
      <c r="BK8165" s="25"/>
    </row>
    <row r="8166" spans="60:63" ht="14.25" x14ac:dyDescent="0.2">
      <c r="BH8166" s="25"/>
      <c r="BI8166" s="25"/>
      <c r="BJ8166" s="25"/>
      <c r="BK8166" s="25"/>
    </row>
    <row r="8167" spans="60:63" ht="14.25" x14ac:dyDescent="0.2">
      <c r="BH8167" s="25"/>
      <c r="BI8167" s="25"/>
      <c r="BJ8167" s="25"/>
      <c r="BK8167" s="25"/>
    </row>
    <row r="8168" spans="60:63" ht="14.25" x14ac:dyDescent="0.2">
      <c r="BH8168" s="25"/>
      <c r="BI8168" s="25"/>
      <c r="BJ8168" s="25"/>
      <c r="BK8168" s="25"/>
    </row>
    <row r="8169" spans="60:63" ht="14.25" x14ac:dyDescent="0.2">
      <c r="BH8169" s="25"/>
      <c r="BI8169" s="25"/>
      <c r="BJ8169" s="25"/>
      <c r="BK8169" s="25"/>
    </row>
    <row r="8170" spans="60:63" ht="14.25" x14ac:dyDescent="0.2">
      <c r="BH8170" s="25"/>
      <c r="BI8170" s="25"/>
      <c r="BJ8170" s="25"/>
      <c r="BK8170" s="25"/>
    </row>
    <row r="8171" spans="60:63" ht="14.25" x14ac:dyDescent="0.2">
      <c r="BH8171" s="25"/>
      <c r="BI8171" s="25"/>
      <c r="BJ8171" s="25"/>
      <c r="BK8171" s="25"/>
    </row>
    <row r="8172" spans="60:63" ht="14.25" x14ac:dyDescent="0.2">
      <c r="BH8172" s="25"/>
      <c r="BI8172" s="25"/>
      <c r="BJ8172" s="25"/>
      <c r="BK8172" s="25"/>
    </row>
    <row r="8173" spans="60:63" ht="14.25" x14ac:dyDescent="0.2">
      <c r="BH8173" s="25"/>
      <c r="BI8173" s="25"/>
      <c r="BJ8173" s="25"/>
      <c r="BK8173" s="25"/>
    </row>
    <row r="8174" spans="60:63" ht="14.25" x14ac:dyDescent="0.2">
      <c r="BH8174" s="25"/>
      <c r="BI8174" s="25"/>
      <c r="BJ8174" s="25"/>
      <c r="BK8174" s="25"/>
    </row>
    <row r="8175" spans="60:63" ht="14.25" x14ac:dyDescent="0.2">
      <c r="BH8175" s="25"/>
      <c r="BI8175" s="25"/>
      <c r="BJ8175" s="25"/>
      <c r="BK8175" s="25"/>
    </row>
    <row r="8176" spans="60:63" ht="14.25" x14ac:dyDescent="0.2">
      <c r="BH8176" s="25"/>
      <c r="BI8176" s="25"/>
      <c r="BJ8176" s="25"/>
      <c r="BK8176" s="25"/>
    </row>
    <row r="8177" spans="60:63" ht="14.25" x14ac:dyDescent="0.2">
      <c r="BH8177" s="25"/>
      <c r="BI8177" s="25"/>
      <c r="BJ8177" s="25"/>
      <c r="BK8177" s="25"/>
    </row>
    <row r="8178" spans="60:63" ht="14.25" x14ac:dyDescent="0.2">
      <c r="BH8178" s="25"/>
      <c r="BI8178" s="25"/>
      <c r="BJ8178" s="25"/>
      <c r="BK8178" s="25"/>
    </row>
    <row r="8179" spans="60:63" ht="14.25" x14ac:dyDescent="0.2">
      <c r="BH8179" s="25"/>
      <c r="BI8179" s="25"/>
      <c r="BJ8179" s="25"/>
      <c r="BK8179" s="25"/>
    </row>
    <row r="8180" spans="60:63" ht="14.25" x14ac:dyDescent="0.2">
      <c r="BH8180" s="25"/>
      <c r="BI8180" s="25"/>
      <c r="BJ8180" s="25"/>
      <c r="BK8180" s="25"/>
    </row>
    <row r="8181" spans="60:63" ht="14.25" x14ac:dyDescent="0.2">
      <c r="BH8181" s="25"/>
      <c r="BI8181" s="25"/>
      <c r="BJ8181" s="25"/>
      <c r="BK8181" s="25"/>
    </row>
    <row r="8182" spans="60:63" ht="14.25" x14ac:dyDescent="0.2">
      <c r="BH8182" s="25"/>
      <c r="BI8182" s="25"/>
      <c r="BJ8182" s="25"/>
      <c r="BK8182" s="25"/>
    </row>
    <row r="8183" spans="60:63" ht="14.25" x14ac:dyDescent="0.2">
      <c r="BH8183" s="25"/>
      <c r="BI8183" s="25"/>
      <c r="BJ8183" s="25"/>
      <c r="BK8183" s="25"/>
    </row>
    <row r="8184" spans="60:63" ht="14.25" x14ac:dyDescent="0.2">
      <c r="BH8184" s="25"/>
      <c r="BI8184" s="25"/>
      <c r="BJ8184" s="25"/>
      <c r="BK8184" s="25"/>
    </row>
    <row r="8185" spans="60:63" ht="14.25" x14ac:dyDescent="0.2">
      <c r="BH8185" s="25"/>
      <c r="BI8185" s="25"/>
      <c r="BJ8185" s="25"/>
      <c r="BK8185" s="25"/>
    </row>
    <row r="8186" spans="60:63" ht="14.25" x14ac:dyDescent="0.2">
      <c r="BH8186" s="25"/>
      <c r="BI8186" s="25"/>
      <c r="BJ8186" s="25"/>
      <c r="BK8186" s="25"/>
    </row>
    <row r="8187" spans="60:63" ht="14.25" x14ac:dyDescent="0.2">
      <c r="BH8187" s="25"/>
      <c r="BI8187" s="25"/>
      <c r="BJ8187" s="25"/>
      <c r="BK8187" s="25"/>
    </row>
    <row r="8188" spans="60:63" ht="14.25" x14ac:dyDescent="0.2">
      <c r="BH8188" s="25"/>
      <c r="BI8188" s="25"/>
      <c r="BJ8188" s="25"/>
      <c r="BK8188" s="25"/>
    </row>
    <row r="8189" spans="60:63" ht="14.25" x14ac:dyDescent="0.2">
      <c r="BH8189" s="25"/>
      <c r="BI8189" s="25"/>
      <c r="BJ8189" s="25"/>
      <c r="BK8189" s="25"/>
    </row>
    <row r="8190" spans="60:63" ht="14.25" x14ac:dyDescent="0.2">
      <c r="BH8190" s="25"/>
      <c r="BI8190" s="25"/>
      <c r="BJ8190" s="25"/>
      <c r="BK8190" s="25"/>
    </row>
    <row r="8191" spans="60:63" ht="14.25" x14ac:dyDescent="0.2">
      <c r="BH8191" s="25"/>
      <c r="BI8191" s="25"/>
      <c r="BJ8191" s="25"/>
      <c r="BK8191" s="25"/>
    </row>
    <row r="8192" spans="60:63" ht="14.25" x14ac:dyDescent="0.2">
      <c r="BH8192" s="25"/>
      <c r="BI8192" s="25"/>
      <c r="BJ8192" s="25"/>
      <c r="BK8192" s="25"/>
    </row>
    <row r="8193" spans="60:63" ht="14.25" x14ac:dyDescent="0.2">
      <c r="BH8193" s="25"/>
      <c r="BI8193" s="25"/>
      <c r="BJ8193" s="25"/>
      <c r="BK8193" s="25"/>
    </row>
    <row r="8194" spans="60:63" ht="14.25" x14ac:dyDescent="0.2">
      <c r="BH8194" s="25"/>
      <c r="BI8194" s="25"/>
      <c r="BJ8194" s="25"/>
      <c r="BK8194" s="25"/>
    </row>
    <row r="8195" spans="60:63" ht="14.25" x14ac:dyDescent="0.2">
      <c r="BH8195" s="25"/>
      <c r="BI8195" s="25"/>
      <c r="BJ8195" s="25"/>
      <c r="BK8195" s="25"/>
    </row>
    <row r="8196" spans="60:63" ht="14.25" x14ac:dyDescent="0.2">
      <c r="BH8196" s="25"/>
      <c r="BI8196" s="25"/>
      <c r="BJ8196" s="25"/>
      <c r="BK8196" s="25"/>
    </row>
    <row r="8197" spans="60:63" ht="14.25" x14ac:dyDescent="0.2">
      <c r="BH8197" s="25"/>
      <c r="BI8197" s="25"/>
      <c r="BJ8197" s="25"/>
      <c r="BK8197" s="25"/>
    </row>
    <row r="8198" spans="60:63" ht="14.25" x14ac:dyDescent="0.2">
      <c r="BH8198" s="25"/>
      <c r="BI8198" s="25"/>
      <c r="BJ8198" s="25"/>
      <c r="BK8198" s="25"/>
    </row>
    <row r="8199" spans="60:63" ht="14.25" x14ac:dyDescent="0.2">
      <c r="BH8199" s="25"/>
      <c r="BI8199" s="25"/>
      <c r="BJ8199" s="25"/>
      <c r="BK8199" s="25"/>
    </row>
    <row r="8200" spans="60:63" ht="14.25" x14ac:dyDescent="0.2">
      <c r="BH8200" s="25"/>
      <c r="BI8200" s="25"/>
      <c r="BJ8200" s="25"/>
      <c r="BK8200" s="25"/>
    </row>
    <row r="8201" spans="60:63" ht="14.25" x14ac:dyDescent="0.2">
      <c r="BH8201" s="25"/>
      <c r="BI8201" s="25"/>
      <c r="BJ8201" s="25"/>
      <c r="BK8201" s="25"/>
    </row>
    <row r="8202" spans="60:63" ht="14.25" x14ac:dyDescent="0.2">
      <c r="BH8202" s="25"/>
      <c r="BI8202" s="25"/>
      <c r="BJ8202" s="25"/>
      <c r="BK8202" s="25"/>
    </row>
    <row r="8203" spans="60:63" ht="14.25" x14ac:dyDescent="0.2">
      <c r="BH8203" s="25"/>
      <c r="BI8203" s="25"/>
      <c r="BJ8203" s="25"/>
      <c r="BK8203" s="25"/>
    </row>
    <row r="8204" spans="60:63" ht="14.25" x14ac:dyDescent="0.2">
      <c r="BH8204" s="25"/>
      <c r="BI8204" s="25"/>
      <c r="BJ8204" s="25"/>
      <c r="BK8204" s="25"/>
    </row>
    <row r="8205" spans="60:63" ht="14.25" x14ac:dyDescent="0.2">
      <c r="BH8205" s="25"/>
      <c r="BI8205" s="25"/>
      <c r="BJ8205" s="25"/>
      <c r="BK8205" s="25"/>
    </row>
    <row r="8206" spans="60:63" ht="14.25" x14ac:dyDescent="0.2">
      <c r="BH8206" s="25"/>
      <c r="BI8206" s="25"/>
      <c r="BJ8206" s="25"/>
      <c r="BK8206" s="25"/>
    </row>
    <row r="8207" spans="60:63" ht="14.25" x14ac:dyDescent="0.2">
      <c r="BH8207" s="25"/>
      <c r="BI8207" s="25"/>
      <c r="BJ8207" s="25"/>
      <c r="BK8207" s="25"/>
    </row>
    <row r="8208" spans="60:63" ht="14.25" x14ac:dyDescent="0.2">
      <c r="BH8208" s="25"/>
      <c r="BI8208" s="25"/>
      <c r="BJ8208" s="25"/>
      <c r="BK8208" s="25"/>
    </row>
    <row r="8209" spans="60:63" ht="14.25" x14ac:dyDescent="0.2">
      <c r="BH8209" s="25"/>
      <c r="BI8209" s="25"/>
      <c r="BJ8209" s="25"/>
      <c r="BK8209" s="25"/>
    </row>
    <row r="8210" spans="60:63" ht="14.25" x14ac:dyDescent="0.2">
      <c r="BH8210" s="25"/>
      <c r="BI8210" s="25"/>
      <c r="BJ8210" s="25"/>
      <c r="BK8210" s="25"/>
    </row>
    <row r="8211" spans="60:63" ht="14.25" x14ac:dyDescent="0.2">
      <c r="BH8211" s="25"/>
      <c r="BI8211" s="25"/>
      <c r="BJ8211" s="25"/>
      <c r="BK8211" s="25"/>
    </row>
    <row r="8212" spans="60:63" ht="14.25" x14ac:dyDescent="0.2">
      <c r="BH8212" s="25"/>
      <c r="BI8212" s="25"/>
      <c r="BJ8212" s="25"/>
      <c r="BK8212" s="25"/>
    </row>
    <row r="8213" spans="60:63" ht="14.25" x14ac:dyDescent="0.2">
      <c r="BH8213" s="25"/>
      <c r="BI8213" s="25"/>
      <c r="BJ8213" s="25"/>
      <c r="BK8213" s="25"/>
    </row>
    <row r="8214" spans="60:63" ht="14.25" x14ac:dyDescent="0.2">
      <c r="BH8214" s="25"/>
      <c r="BI8214" s="25"/>
      <c r="BJ8214" s="25"/>
      <c r="BK8214" s="25"/>
    </row>
    <row r="8215" spans="60:63" ht="14.25" x14ac:dyDescent="0.2">
      <c r="BH8215" s="25"/>
      <c r="BI8215" s="25"/>
      <c r="BJ8215" s="25"/>
      <c r="BK8215" s="25"/>
    </row>
    <row r="8216" spans="60:63" ht="14.25" x14ac:dyDescent="0.2">
      <c r="BH8216" s="25"/>
      <c r="BI8216" s="25"/>
      <c r="BJ8216" s="25"/>
      <c r="BK8216" s="25"/>
    </row>
    <row r="8217" spans="60:63" ht="14.25" x14ac:dyDescent="0.2">
      <c r="BH8217" s="25"/>
      <c r="BI8217" s="25"/>
      <c r="BJ8217" s="25"/>
      <c r="BK8217" s="25"/>
    </row>
    <row r="8218" spans="60:63" ht="14.25" x14ac:dyDescent="0.2">
      <c r="BH8218" s="25"/>
      <c r="BI8218" s="25"/>
      <c r="BJ8218" s="25"/>
      <c r="BK8218" s="25"/>
    </row>
    <row r="8219" spans="60:63" ht="14.25" x14ac:dyDescent="0.2">
      <c r="BH8219" s="25"/>
      <c r="BI8219" s="25"/>
      <c r="BJ8219" s="25"/>
      <c r="BK8219" s="25"/>
    </row>
    <row r="8220" spans="60:63" ht="14.25" x14ac:dyDescent="0.2">
      <c r="BH8220" s="25"/>
      <c r="BI8220" s="25"/>
      <c r="BJ8220" s="25"/>
      <c r="BK8220" s="25"/>
    </row>
    <row r="8221" spans="60:63" ht="14.25" x14ac:dyDescent="0.2">
      <c r="BH8221" s="25"/>
      <c r="BI8221" s="25"/>
      <c r="BJ8221" s="25"/>
      <c r="BK8221" s="25"/>
    </row>
    <row r="8222" spans="60:63" ht="14.25" x14ac:dyDescent="0.2">
      <c r="BH8222" s="25"/>
      <c r="BI8222" s="25"/>
      <c r="BJ8222" s="25"/>
      <c r="BK8222" s="25"/>
    </row>
    <row r="8223" spans="60:63" ht="14.25" x14ac:dyDescent="0.2">
      <c r="BH8223" s="25"/>
      <c r="BI8223" s="25"/>
      <c r="BJ8223" s="25"/>
      <c r="BK8223" s="25"/>
    </row>
    <row r="8224" spans="60:63" ht="14.25" x14ac:dyDescent="0.2">
      <c r="BH8224" s="25"/>
      <c r="BI8224" s="25"/>
      <c r="BJ8224" s="25"/>
      <c r="BK8224" s="25"/>
    </row>
    <row r="8225" spans="60:63" ht="14.25" x14ac:dyDescent="0.2">
      <c r="BH8225" s="25"/>
      <c r="BI8225" s="25"/>
      <c r="BJ8225" s="25"/>
      <c r="BK8225" s="25"/>
    </row>
    <row r="8226" spans="60:63" ht="14.25" x14ac:dyDescent="0.2">
      <c r="BH8226" s="25"/>
      <c r="BI8226" s="25"/>
      <c r="BJ8226" s="25"/>
      <c r="BK8226" s="25"/>
    </row>
    <row r="8227" spans="60:63" ht="14.25" x14ac:dyDescent="0.2">
      <c r="BH8227" s="25"/>
      <c r="BI8227" s="25"/>
      <c r="BJ8227" s="25"/>
      <c r="BK8227" s="25"/>
    </row>
    <row r="8228" spans="60:63" ht="14.25" x14ac:dyDescent="0.2">
      <c r="BH8228" s="25"/>
      <c r="BI8228" s="25"/>
      <c r="BJ8228" s="25"/>
      <c r="BK8228" s="25"/>
    </row>
    <row r="8229" spans="60:63" ht="14.25" x14ac:dyDescent="0.2">
      <c r="BH8229" s="25"/>
      <c r="BI8229" s="25"/>
      <c r="BJ8229" s="25"/>
      <c r="BK8229" s="25"/>
    </row>
    <row r="8230" spans="60:63" ht="14.25" x14ac:dyDescent="0.2">
      <c r="BH8230" s="25"/>
      <c r="BI8230" s="25"/>
      <c r="BJ8230" s="25"/>
      <c r="BK8230" s="25"/>
    </row>
    <row r="8231" spans="60:63" ht="14.25" x14ac:dyDescent="0.2">
      <c r="BH8231" s="25"/>
      <c r="BI8231" s="25"/>
      <c r="BJ8231" s="25"/>
      <c r="BK8231" s="25"/>
    </row>
    <row r="8232" spans="60:63" ht="14.25" x14ac:dyDescent="0.2">
      <c r="BH8232" s="25"/>
      <c r="BI8232" s="25"/>
      <c r="BJ8232" s="25"/>
      <c r="BK8232" s="25"/>
    </row>
    <row r="8233" spans="60:63" ht="14.25" x14ac:dyDescent="0.2">
      <c r="BH8233" s="25"/>
      <c r="BI8233" s="25"/>
      <c r="BJ8233" s="25"/>
      <c r="BK8233" s="25"/>
    </row>
    <row r="8234" spans="60:63" ht="14.25" x14ac:dyDescent="0.2">
      <c r="BH8234" s="25"/>
      <c r="BI8234" s="25"/>
      <c r="BJ8234" s="25"/>
      <c r="BK8234" s="25"/>
    </row>
    <row r="8235" spans="60:63" ht="14.25" x14ac:dyDescent="0.2">
      <c r="BH8235" s="25"/>
      <c r="BI8235" s="25"/>
      <c r="BJ8235" s="25"/>
      <c r="BK8235" s="25"/>
    </row>
    <row r="8236" spans="60:63" ht="14.25" x14ac:dyDescent="0.2">
      <c r="BH8236" s="25"/>
      <c r="BI8236" s="25"/>
      <c r="BJ8236" s="25"/>
      <c r="BK8236" s="25"/>
    </row>
    <row r="8237" spans="60:63" ht="14.25" x14ac:dyDescent="0.2">
      <c r="BH8237" s="25"/>
      <c r="BI8237" s="25"/>
      <c r="BJ8237" s="25"/>
      <c r="BK8237" s="25"/>
    </row>
    <row r="8238" spans="60:63" ht="14.25" x14ac:dyDescent="0.2">
      <c r="BH8238" s="25"/>
      <c r="BI8238" s="25"/>
      <c r="BJ8238" s="25"/>
      <c r="BK8238" s="25"/>
    </row>
    <row r="8239" spans="60:63" ht="14.25" x14ac:dyDescent="0.2">
      <c r="BH8239" s="25"/>
      <c r="BI8239" s="25"/>
      <c r="BJ8239" s="25"/>
      <c r="BK8239" s="25"/>
    </row>
    <row r="8240" spans="60:63" ht="14.25" x14ac:dyDescent="0.2">
      <c r="BH8240" s="25"/>
      <c r="BI8240" s="25"/>
      <c r="BJ8240" s="25"/>
      <c r="BK8240" s="25"/>
    </row>
    <row r="8241" spans="60:63" ht="14.25" x14ac:dyDescent="0.2">
      <c r="BH8241" s="25"/>
      <c r="BI8241" s="25"/>
      <c r="BJ8241" s="25"/>
      <c r="BK8241" s="25"/>
    </row>
    <row r="8242" spans="60:63" ht="14.25" x14ac:dyDescent="0.2">
      <c r="BH8242" s="25"/>
      <c r="BI8242" s="25"/>
      <c r="BJ8242" s="25"/>
      <c r="BK8242" s="25"/>
    </row>
    <row r="8243" spans="60:63" ht="14.25" x14ac:dyDescent="0.2">
      <c r="BH8243" s="25"/>
      <c r="BI8243" s="25"/>
      <c r="BJ8243" s="25"/>
      <c r="BK8243" s="25"/>
    </row>
    <row r="8244" spans="60:63" ht="14.25" x14ac:dyDescent="0.2">
      <c r="BH8244" s="25"/>
      <c r="BI8244" s="25"/>
      <c r="BJ8244" s="25"/>
      <c r="BK8244" s="25"/>
    </row>
    <row r="8245" spans="60:63" ht="14.25" x14ac:dyDescent="0.2">
      <c r="BH8245" s="25"/>
      <c r="BI8245" s="25"/>
      <c r="BJ8245" s="25"/>
      <c r="BK8245" s="25"/>
    </row>
    <row r="8246" spans="60:63" ht="14.25" x14ac:dyDescent="0.2">
      <c r="BH8246" s="25"/>
      <c r="BI8246" s="25"/>
      <c r="BJ8246" s="25"/>
      <c r="BK8246" s="25"/>
    </row>
    <row r="8247" spans="60:63" ht="14.25" x14ac:dyDescent="0.2">
      <c r="BH8247" s="25"/>
      <c r="BI8247" s="25"/>
      <c r="BJ8247" s="25"/>
      <c r="BK8247" s="25"/>
    </row>
    <row r="8248" spans="60:63" ht="14.25" x14ac:dyDescent="0.2">
      <c r="BH8248" s="25"/>
      <c r="BI8248" s="25"/>
      <c r="BJ8248" s="25"/>
      <c r="BK8248" s="25"/>
    </row>
    <row r="8249" spans="60:63" ht="14.25" x14ac:dyDescent="0.2">
      <c r="BH8249" s="25"/>
      <c r="BI8249" s="25"/>
      <c r="BJ8249" s="25"/>
      <c r="BK8249" s="25"/>
    </row>
    <row r="8250" spans="60:63" ht="14.25" x14ac:dyDescent="0.2">
      <c r="BH8250" s="25"/>
      <c r="BI8250" s="25"/>
      <c r="BJ8250" s="25"/>
      <c r="BK8250" s="25"/>
    </row>
    <row r="8251" spans="60:63" ht="14.25" x14ac:dyDescent="0.2">
      <c r="BH8251" s="25"/>
      <c r="BI8251" s="25"/>
      <c r="BJ8251" s="25"/>
      <c r="BK8251" s="25"/>
    </row>
    <row r="8252" spans="60:63" ht="14.25" x14ac:dyDescent="0.2">
      <c r="BH8252" s="25"/>
      <c r="BI8252" s="25"/>
      <c r="BJ8252" s="25"/>
      <c r="BK8252" s="25"/>
    </row>
    <row r="8253" spans="60:63" ht="14.25" x14ac:dyDescent="0.2">
      <c r="BH8253" s="25"/>
      <c r="BI8253" s="25"/>
      <c r="BJ8253" s="25"/>
      <c r="BK8253" s="25"/>
    </row>
    <row r="8254" spans="60:63" ht="14.25" x14ac:dyDescent="0.2">
      <c r="BH8254" s="25"/>
      <c r="BI8254" s="25"/>
      <c r="BJ8254" s="25"/>
      <c r="BK8254" s="25"/>
    </row>
    <row r="8255" spans="60:63" ht="14.25" x14ac:dyDescent="0.2">
      <c r="BH8255" s="25"/>
      <c r="BI8255" s="25"/>
      <c r="BJ8255" s="25"/>
      <c r="BK8255" s="25"/>
    </row>
    <row r="8256" spans="60:63" ht="14.25" x14ac:dyDescent="0.2">
      <c r="BH8256" s="25"/>
      <c r="BI8256" s="25"/>
      <c r="BJ8256" s="25"/>
      <c r="BK8256" s="25"/>
    </row>
    <row r="8257" spans="60:63" ht="14.25" x14ac:dyDescent="0.2">
      <c r="BH8257" s="25"/>
      <c r="BI8257" s="25"/>
      <c r="BJ8257" s="25"/>
      <c r="BK8257" s="25"/>
    </row>
    <row r="8258" spans="60:63" ht="14.25" x14ac:dyDescent="0.2">
      <c r="BH8258" s="25"/>
      <c r="BI8258" s="25"/>
      <c r="BJ8258" s="25"/>
      <c r="BK8258" s="25"/>
    </row>
    <row r="8259" spans="60:63" ht="14.25" x14ac:dyDescent="0.2">
      <c r="BH8259" s="25"/>
      <c r="BI8259" s="25"/>
      <c r="BJ8259" s="25"/>
      <c r="BK8259" s="25"/>
    </row>
    <row r="8260" spans="60:63" ht="14.25" x14ac:dyDescent="0.2">
      <c r="BH8260" s="25"/>
      <c r="BI8260" s="25"/>
      <c r="BJ8260" s="25"/>
      <c r="BK8260" s="25"/>
    </row>
    <row r="8261" spans="60:63" ht="14.25" x14ac:dyDescent="0.2">
      <c r="BH8261" s="25"/>
      <c r="BI8261" s="25"/>
      <c r="BJ8261" s="25"/>
      <c r="BK8261" s="25"/>
    </row>
    <row r="8262" spans="60:63" ht="14.25" x14ac:dyDescent="0.2">
      <c r="BH8262" s="25"/>
      <c r="BI8262" s="25"/>
      <c r="BJ8262" s="25"/>
      <c r="BK8262" s="25"/>
    </row>
    <row r="8263" spans="60:63" ht="14.25" x14ac:dyDescent="0.2">
      <c r="BH8263" s="25"/>
      <c r="BI8263" s="25"/>
      <c r="BJ8263" s="25"/>
      <c r="BK8263" s="25"/>
    </row>
    <row r="8264" spans="60:63" ht="14.25" x14ac:dyDescent="0.2">
      <c r="BH8264" s="25"/>
      <c r="BI8264" s="25"/>
      <c r="BJ8264" s="25"/>
      <c r="BK8264" s="25"/>
    </row>
    <row r="8265" spans="60:63" ht="14.25" x14ac:dyDescent="0.2">
      <c r="BH8265" s="25"/>
      <c r="BI8265" s="25"/>
      <c r="BJ8265" s="25"/>
      <c r="BK8265" s="25"/>
    </row>
    <row r="8266" spans="60:63" ht="14.25" x14ac:dyDescent="0.2">
      <c r="BH8266" s="25"/>
      <c r="BI8266" s="25"/>
      <c r="BJ8266" s="25"/>
      <c r="BK8266" s="25"/>
    </row>
    <row r="8267" spans="60:63" ht="14.25" x14ac:dyDescent="0.2">
      <c r="BH8267" s="25"/>
      <c r="BI8267" s="25"/>
      <c r="BJ8267" s="25"/>
      <c r="BK8267" s="25"/>
    </row>
    <row r="8268" spans="60:63" ht="14.25" x14ac:dyDescent="0.2">
      <c r="BH8268" s="25"/>
      <c r="BI8268" s="25"/>
      <c r="BJ8268" s="25"/>
      <c r="BK8268" s="25"/>
    </row>
    <row r="8269" spans="60:63" ht="14.25" x14ac:dyDescent="0.2">
      <c r="BH8269" s="25"/>
      <c r="BI8269" s="25"/>
      <c r="BJ8269" s="25"/>
      <c r="BK8269" s="25"/>
    </row>
    <row r="8270" spans="60:63" ht="14.25" x14ac:dyDescent="0.2">
      <c r="BH8270" s="25"/>
      <c r="BI8270" s="25"/>
      <c r="BJ8270" s="25"/>
      <c r="BK8270" s="25"/>
    </row>
    <row r="8271" spans="60:63" ht="14.25" x14ac:dyDescent="0.2">
      <c r="BH8271" s="25"/>
      <c r="BI8271" s="25"/>
      <c r="BJ8271" s="25"/>
      <c r="BK8271" s="25"/>
    </row>
    <row r="8272" spans="60:63" ht="14.25" x14ac:dyDescent="0.2">
      <c r="BH8272" s="25"/>
      <c r="BI8272" s="25"/>
      <c r="BJ8272" s="25"/>
      <c r="BK8272" s="25"/>
    </row>
    <row r="8273" spans="60:63" ht="14.25" x14ac:dyDescent="0.2">
      <c r="BH8273" s="25"/>
      <c r="BI8273" s="25"/>
      <c r="BJ8273" s="25"/>
      <c r="BK8273" s="25"/>
    </row>
    <row r="8274" spans="60:63" ht="14.25" x14ac:dyDescent="0.2">
      <c r="BH8274" s="25"/>
      <c r="BI8274" s="25"/>
      <c r="BJ8274" s="25"/>
      <c r="BK8274" s="25"/>
    </row>
    <row r="8275" spans="60:63" ht="14.25" x14ac:dyDescent="0.2">
      <c r="BH8275" s="25"/>
      <c r="BI8275" s="25"/>
      <c r="BJ8275" s="25"/>
      <c r="BK8275" s="25"/>
    </row>
    <row r="8276" spans="60:63" ht="14.25" x14ac:dyDescent="0.2">
      <c r="BH8276" s="25"/>
      <c r="BI8276" s="25"/>
      <c r="BJ8276" s="25"/>
      <c r="BK8276" s="25"/>
    </row>
    <row r="8277" spans="60:63" ht="14.25" x14ac:dyDescent="0.2">
      <c r="BH8277" s="25"/>
      <c r="BI8277" s="25"/>
      <c r="BJ8277" s="25"/>
      <c r="BK8277" s="25"/>
    </row>
    <row r="8278" spans="60:63" ht="14.25" x14ac:dyDescent="0.2">
      <c r="BH8278" s="25"/>
      <c r="BI8278" s="25"/>
      <c r="BJ8278" s="25"/>
      <c r="BK8278" s="25"/>
    </row>
    <row r="8279" spans="60:63" ht="14.25" x14ac:dyDescent="0.2">
      <c r="BH8279" s="25"/>
      <c r="BI8279" s="25"/>
      <c r="BJ8279" s="25"/>
      <c r="BK8279" s="25"/>
    </row>
    <row r="8280" spans="60:63" ht="14.25" x14ac:dyDescent="0.2">
      <c r="BH8280" s="25"/>
      <c r="BI8280" s="25"/>
      <c r="BJ8280" s="25"/>
      <c r="BK8280" s="25"/>
    </row>
    <row r="8281" spans="60:63" ht="14.25" x14ac:dyDescent="0.2">
      <c r="BH8281" s="25"/>
      <c r="BI8281" s="25"/>
      <c r="BJ8281" s="25"/>
      <c r="BK8281" s="25"/>
    </row>
    <row r="8282" spans="60:63" ht="14.25" x14ac:dyDescent="0.2">
      <c r="BH8282" s="25"/>
      <c r="BI8282" s="25"/>
      <c r="BJ8282" s="25"/>
      <c r="BK8282" s="25"/>
    </row>
    <row r="8283" spans="60:63" ht="14.25" x14ac:dyDescent="0.2">
      <c r="BH8283" s="25"/>
      <c r="BI8283" s="25"/>
      <c r="BJ8283" s="25"/>
      <c r="BK8283" s="25"/>
    </row>
    <row r="8284" spans="60:63" ht="14.25" x14ac:dyDescent="0.2">
      <c r="BH8284" s="25"/>
      <c r="BI8284" s="25"/>
      <c r="BJ8284" s="25"/>
      <c r="BK8284" s="25"/>
    </row>
    <row r="8285" spans="60:63" ht="14.25" x14ac:dyDescent="0.2">
      <c r="BH8285" s="25"/>
      <c r="BI8285" s="25"/>
      <c r="BJ8285" s="25"/>
      <c r="BK8285" s="25"/>
    </row>
    <row r="8286" spans="60:63" ht="14.25" x14ac:dyDescent="0.2">
      <c r="BH8286" s="25"/>
      <c r="BI8286" s="25"/>
      <c r="BJ8286" s="25"/>
      <c r="BK8286" s="25"/>
    </row>
    <row r="8287" spans="60:63" ht="14.25" x14ac:dyDescent="0.2">
      <c r="BH8287" s="25"/>
      <c r="BI8287" s="25"/>
      <c r="BJ8287" s="25"/>
      <c r="BK8287" s="25"/>
    </row>
    <row r="8288" spans="60:63" ht="14.25" x14ac:dyDescent="0.2">
      <c r="BH8288" s="25"/>
      <c r="BI8288" s="25"/>
      <c r="BJ8288" s="25"/>
      <c r="BK8288" s="25"/>
    </row>
    <row r="8289" spans="60:63" ht="14.25" x14ac:dyDescent="0.2">
      <c r="BH8289" s="25"/>
      <c r="BI8289" s="25"/>
      <c r="BJ8289" s="25"/>
      <c r="BK8289" s="25"/>
    </row>
    <row r="8290" spans="60:63" ht="14.25" x14ac:dyDescent="0.2">
      <c r="BH8290" s="25"/>
      <c r="BI8290" s="25"/>
      <c r="BJ8290" s="25"/>
      <c r="BK8290" s="25"/>
    </row>
    <row r="8291" spans="60:63" ht="14.25" x14ac:dyDescent="0.2">
      <c r="BH8291" s="25"/>
      <c r="BI8291" s="25"/>
      <c r="BJ8291" s="25"/>
      <c r="BK8291" s="25"/>
    </row>
    <row r="8292" spans="60:63" ht="14.25" x14ac:dyDescent="0.2">
      <c r="BH8292" s="25"/>
      <c r="BI8292" s="25"/>
      <c r="BJ8292" s="25"/>
      <c r="BK8292" s="25"/>
    </row>
    <row r="8293" spans="60:63" ht="14.25" x14ac:dyDescent="0.2">
      <c r="BH8293" s="25"/>
      <c r="BI8293" s="25"/>
      <c r="BJ8293" s="25"/>
      <c r="BK8293" s="25"/>
    </row>
    <row r="8294" spans="60:63" ht="14.25" x14ac:dyDescent="0.2">
      <c r="BH8294" s="25"/>
      <c r="BI8294" s="25"/>
      <c r="BJ8294" s="25"/>
      <c r="BK8294" s="25"/>
    </row>
    <row r="8295" spans="60:63" ht="14.25" x14ac:dyDescent="0.2">
      <c r="BH8295" s="25"/>
      <c r="BI8295" s="25"/>
      <c r="BJ8295" s="25"/>
      <c r="BK8295" s="25"/>
    </row>
    <row r="8296" spans="60:63" ht="14.25" x14ac:dyDescent="0.2">
      <c r="BH8296" s="25"/>
      <c r="BI8296" s="25"/>
      <c r="BJ8296" s="25"/>
      <c r="BK8296" s="25"/>
    </row>
    <row r="8297" spans="60:63" ht="14.25" x14ac:dyDescent="0.2">
      <c r="BH8297" s="25"/>
      <c r="BI8297" s="25"/>
      <c r="BJ8297" s="25"/>
      <c r="BK8297" s="25"/>
    </row>
    <row r="8298" spans="60:63" ht="14.25" x14ac:dyDescent="0.2">
      <c r="BH8298" s="25"/>
      <c r="BI8298" s="25"/>
      <c r="BJ8298" s="25"/>
      <c r="BK8298" s="25"/>
    </row>
    <row r="8299" spans="60:63" ht="14.25" x14ac:dyDescent="0.2">
      <c r="BH8299" s="25"/>
      <c r="BI8299" s="25"/>
      <c r="BJ8299" s="25"/>
      <c r="BK8299" s="25"/>
    </row>
    <row r="8300" spans="60:63" ht="14.25" x14ac:dyDescent="0.2">
      <c r="BH8300" s="25"/>
      <c r="BI8300" s="25"/>
      <c r="BJ8300" s="25"/>
      <c r="BK8300" s="25"/>
    </row>
    <row r="8301" spans="60:63" ht="14.25" x14ac:dyDescent="0.2">
      <c r="BH8301" s="25"/>
      <c r="BI8301" s="25"/>
      <c r="BJ8301" s="25"/>
      <c r="BK8301" s="25"/>
    </row>
    <row r="8302" spans="60:63" ht="14.25" x14ac:dyDescent="0.2">
      <c r="BH8302" s="25"/>
      <c r="BI8302" s="25"/>
      <c r="BJ8302" s="25"/>
      <c r="BK8302" s="25"/>
    </row>
    <row r="8303" spans="60:63" ht="14.25" x14ac:dyDescent="0.2">
      <c r="BH8303" s="25"/>
      <c r="BI8303" s="25"/>
      <c r="BJ8303" s="25"/>
      <c r="BK8303" s="25"/>
    </row>
    <row r="8304" spans="60:63" ht="14.25" x14ac:dyDescent="0.2">
      <c r="BH8304" s="25"/>
      <c r="BI8304" s="25"/>
      <c r="BJ8304" s="25"/>
      <c r="BK8304" s="25"/>
    </row>
    <row r="8305" spans="60:63" ht="14.25" x14ac:dyDescent="0.2">
      <c r="BH8305" s="25"/>
      <c r="BI8305" s="25"/>
      <c r="BJ8305" s="25"/>
      <c r="BK8305" s="25"/>
    </row>
    <row r="8306" spans="60:63" ht="14.25" x14ac:dyDescent="0.2">
      <c r="BH8306" s="25"/>
      <c r="BI8306" s="25"/>
      <c r="BJ8306" s="25"/>
      <c r="BK8306" s="25"/>
    </row>
    <row r="8307" spans="60:63" ht="14.25" x14ac:dyDescent="0.2">
      <c r="BH8307" s="25"/>
      <c r="BI8307" s="25"/>
      <c r="BJ8307" s="25"/>
      <c r="BK8307" s="25"/>
    </row>
    <row r="8308" spans="60:63" ht="14.25" x14ac:dyDescent="0.2">
      <c r="BH8308" s="25"/>
      <c r="BI8308" s="25"/>
      <c r="BJ8308" s="25"/>
      <c r="BK8308" s="25"/>
    </row>
    <row r="8309" spans="60:63" ht="14.25" x14ac:dyDescent="0.2">
      <c r="BH8309" s="25"/>
      <c r="BI8309" s="25"/>
      <c r="BJ8309" s="25"/>
      <c r="BK8309" s="25"/>
    </row>
    <row r="8310" spans="60:63" ht="14.25" x14ac:dyDescent="0.2">
      <c r="BH8310" s="25"/>
      <c r="BI8310" s="25"/>
      <c r="BJ8310" s="25"/>
      <c r="BK8310" s="25"/>
    </row>
    <row r="8311" spans="60:63" ht="14.25" x14ac:dyDescent="0.2">
      <c r="BH8311" s="25"/>
      <c r="BI8311" s="25"/>
      <c r="BJ8311" s="25"/>
      <c r="BK8311" s="25"/>
    </row>
    <row r="8312" spans="60:63" ht="14.25" x14ac:dyDescent="0.2">
      <c r="BH8312" s="25"/>
      <c r="BI8312" s="25"/>
      <c r="BJ8312" s="25"/>
      <c r="BK8312" s="25"/>
    </row>
    <row r="8313" spans="60:63" ht="14.25" x14ac:dyDescent="0.2">
      <c r="BH8313" s="25"/>
      <c r="BI8313" s="25"/>
      <c r="BJ8313" s="25"/>
      <c r="BK8313" s="25"/>
    </row>
    <row r="8314" spans="60:63" ht="14.25" x14ac:dyDescent="0.2">
      <c r="BH8314" s="25"/>
      <c r="BI8314" s="25"/>
      <c r="BJ8314" s="25"/>
      <c r="BK8314" s="25"/>
    </row>
    <row r="8315" spans="60:63" ht="14.25" x14ac:dyDescent="0.2">
      <c r="BH8315" s="25"/>
      <c r="BI8315" s="25"/>
      <c r="BJ8315" s="25"/>
      <c r="BK8315" s="25"/>
    </row>
    <row r="8316" spans="60:63" ht="14.25" x14ac:dyDescent="0.2">
      <c r="BH8316" s="25"/>
      <c r="BI8316" s="25"/>
      <c r="BJ8316" s="25"/>
      <c r="BK8316" s="25"/>
    </row>
    <row r="8317" spans="60:63" ht="14.25" x14ac:dyDescent="0.2">
      <c r="BH8317" s="25"/>
      <c r="BI8317" s="25"/>
      <c r="BJ8317" s="25"/>
      <c r="BK8317" s="25"/>
    </row>
    <row r="8318" spans="60:63" ht="14.25" x14ac:dyDescent="0.2">
      <c r="BH8318" s="25"/>
      <c r="BI8318" s="25"/>
      <c r="BJ8318" s="25"/>
      <c r="BK8318" s="25"/>
    </row>
    <row r="8319" spans="60:63" ht="14.25" x14ac:dyDescent="0.2">
      <c r="BH8319" s="25"/>
      <c r="BI8319" s="25"/>
      <c r="BJ8319" s="25"/>
      <c r="BK8319" s="25"/>
    </row>
    <row r="8320" spans="60:63" ht="14.25" x14ac:dyDescent="0.2">
      <c r="BH8320" s="25"/>
      <c r="BI8320" s="25"/>
      <c r="BJ8320" s="25"/>
      <c r="BK8320" s="25"/>
    </row>
    <row r="8321" spans="60:63" ht="14.25" x14ac:dyDescent="0.2">
      <c r="BH8321" s="25"/>
      <c r="BI8321" s="25"/>
      <c r="BJ8321" s="25"/>
      <c r="BK8321" s="25"/>
    </row>
    <row r="8322" spans="60:63" ht="14.25" x14ac:dyDescent="0.2">
      <c r="BH8322" s="25"/>
      <c r="BI8322" s="25"/>
      <c r="BJ8322" s="25"/>
      <c r="BK8322" s="25"/>
    </row>
    <row r="8323" spans="60:63" ht="14.25" x14ac:dyDescent="0.2">
      <c r="BH8323" s="25"/>
      <c r="BI8323" s="25"/>
      <c r="BJ8323" s="25"/>
      <c r="BK8323" s="25"/>
    </row>
    <row r="8324" spans="60:63" ht="14.25" x14ac:dyDescent="0.2">
      <c r="BH8324" s="25"/>
      <c r="BI8324" s="25"/>
      <c r="BJ8324" s="25"/>
      <c r="BK8324" s="25"/>
    </row>
    <row r="8325" spans="60:63" ht="14.25" x14ac:dyDescent="0.2">
      <c r="BH8325" s="25"/>
      <c r="BI8325" s="25"/>
      <c r="BJ8325" s="25"/>
      <c r="BK8325" s="25"/>
    </row>
    <row r="8326" spans="60:63" ht="14.25" x14ac:dyDescent="0.2">
      <c r="BH8326" s="25"/>
      <c r="BI8326" s="25"/>
      <c r="BJ8326" s="25"/>
      <c r="BK8326" s="25"/>
    </row>
    <row r="8327" spans="60:63" ht="14.25" x14ac:dyDescent="0.2">
      <c r="BH8327" s="25"/>
      <c r="BI8327" s="25"/>
      <c r="BJ8327" s="25"/>
      <c r="BK8327" s="25"/>
    </row>
    <row r="8328" spans="60:63" ht="14.25" x14ac:dyDescent="0.2">
      <c r="BH8328" s="25"/>
      <c r="BI8328" s="25"/>
      <c r="BJ8328" s="25"/>
      <c r="BK8328" s="25"/>
    </row>
    <row r="8329" spans="60:63" ht="14.25" x14ac:dyDescent="0.2">
      <c r="BH8329" s="25"/>
      <c r="BI8329" s="25"/>
      <c r="BJ8329" s="25"/>
      <c r="BK8329" s="25"/>
    </row>
    <row r="8330" spans="60:63" ht="14.25" x14ac:dyDescent="0.2">
      <c r="BH8330" s="25"/>
      <c r="BI8330" s="25"/>
      <c r="BJ8330" s="25"/>
      <c r="BK8330" s="25"/>
    </row>
    <row r="8331" spans="60:63" ht="14.25" x14ac:dyDescent="0.2">
      <c r="BH8331" s="25"/>
      <c r="BI8331" s="25"/>
      <c r="BJ8331" s="25"/>
      <c r="BK8331" s="25"/>
    </row>
    <row r="8332" spans="60:63" ht="14.25" x14ac:dyDescent="0.2">
      <c r="BH8332" s="25"/>
      <c r="BI8332" s="25"/>
      <c r="BJ8332" s="25"/>
      <c r="BK8332" s="25"/>
    </row>
    <row r="8333" spans="60:63" ht="14.25" x14ac:dyDescent="0.2">
      <c r="BH8333" s="25"/>
      <c r="BI8333" s="25"/>
      <c r="BJ8333" s="25"/>
      <c r="BK8333" s="25"/>
    </row>
    <row r="8334" spans="60:63" ht="14.25" x14ac:dyDescent="0.2">
      <c r="BH8334" s="25"/>
      <c r="BI8334" s="25"/>
      <c r="BJ8334" s="25"/>
      <c r="BK8334" s="25"/>
    </row>
    <row r="8335" spans="60:63" ht="14.25" x14ac:dyDescent="0.2">
      <c r="BH8335" s="25"/>
      <c r="BI8335" s="25"/>
      <c r="BJ8335" s="25"/>
      <c r="BK8335" s="25"/>
    </row>
    <row r="8336" spans="60:63" ht="14.25" x14ac:dyDescent="0.2">
      <c r="BH8336" s="25"/>
      <c r="BI8336" s="25"/>
      <c r="BJ8336" s="25"/>
      <c r="BK8336" s="25"/>
    </row>
    <row r="8337" spans="60:63" ht="14.25" x14ac:dyDescent="0.2">
      <c r="BH8337" s="25"/>
      <c r="BI8337" s="25"/>
      <c r="BJ8337" s="25"/>
      <c r="BK8337" s="25"/>
    </row>
    <row r="8338" spans="60:63" ht="14.25" x14ac:dyDescent="0.2">
      <c r="BH8338" s="25"/>
      <c r="BI8338" s="25"/>
      <c r="BJ8338" s="25"/>
      <c r="BK8338" s="25"/>
    </row>
    <row r="8339" spans="60:63" ht="14.25" x14ac:dyDescent="0.2">
      <c r="BH8339" s="25"/>
      <c r="BI8339" s="25"/>
      <c r="BJ8339" s="25"/>
      <c r="BK8339" s="25"/>
    </row>
    <row r="8340" spans="60:63" ht="14.25" x14ac:dyDescent="0.2">
      <c r="BH8340" s="25"/>
      <c r="BI8340" s="25"/>
      <c r="BJ8340" s="25"/>
      <c r="BK8340" s="25"/>
    </row>
    <row r="8341" spans="60:63" ht="14.25" x14ac:dyDescent="0.2">
      <c r="BH8341" s="25"/>
      <c r="BI8341" s="25"/>
      <c r="BJ8341" s="25"/>
      <c r="BK8341" s="25"/>
    </row>
    <row r="8342" spans="60:63" ht="14.25" x14ac:dyDescent="0.2">
      <c r="BH8342" s="25"/>
      <c r="BI8342" s="25"/>
      <c r="BJ8342" s="25"/>
      <c r="BK8342" s="25"/>
    </row>
    <row r="8343" spans="60:63" ht="14.25" x14ac:dyDescent="0.2">
      <c r="BH8343" s="25"/>
      <c r="BI8343" s="25"/>
      <c r="BJ8343" s="25"/>
      <c r="BK8343" s="25"/>
    </row>
    <row r="8344" spans="60:63" ht="14.25" x14ac:dyDescent="0.2">
      <c r="BH8344" s="25"/>
      <c r="BI8344" s="25"/>
      <c r="BJ8344" s="25"/>
      <c r="BK8344" s="25"/>
    </row>
    <row r="8345" spans="60:63" ht="14.25" x14ac:dyDescent="0.2">
      <c r="BH8345" s="25"/>
      <c r="BI8345" s="25"/>
      <c r="BJ8345" s="25"/>
      <c r="BK8345" s="25"/>
    </row>
    <row r="8346" spans="60:63" ht="14.25" x14ac:dyDescent="0.2">
      <c r="BH8346" s="25"/>
      <c r="BI8346" s="25"/>
      <c r="BJ8346" s="25"/>
      <c r="BK8346" s="25"/>
    </row>
    <row r="8347" spans="60:63" ht="14.25" x14ac:dyDescent="0.2">
      <c r="BH8347" s="25"/>
      <c r="BI8347" s="25"/>
      <c r="BJ8347" s="25"/>
      <c r="BK8347" s="25"/>
    </row>
    <row r="8348" spans="60:63" ht="14.25" x14ac:dyDescent="0.2">
      <c r="BH8348" s="25"/>
      <c r="BI8348" s="25"/>
      <c r="BJ8348" s="25"/>
      <c r="BK8348" s="25"/>
    </row>
    <row r="8349" spans="60:63" ht="14.25" x14ac:dyDescent="0.2">
      <c r="BH8349" s="25"/>
      <c r="BI8349" s="25"/>
      <c r="BJ8349" s="25"/>
      <c r="BK8349" s="25"/>
    </row>
    <row r="8350" spans="60:63" ht="14.25" x14ac:dyDescent="0.2">
      <c r="BH8350" s="25"/>
      <c r="BI8350" s="25"/>
      <c r="BJ8350" s="25"/>
      <c r="BK8350" s="25"/>
    </row>
    <row r="8351" spans="60:63" ht="14.25" x14ac:dyDescent="0.2">
      <c r="BH8351" s="25"/>
      <c r="BI8351" s="25"/>
      <c r="BJ8351" s="25"/>
      <c r="BK8351" s="25"/>
    </row>
    <row r="8352" spans="60:63" ht="14.25" x14ac:dyDescent="0.2">
      <c r="BH8352" s="25"/>
      <c r="BI8352" s="25"/>
      <c r="BJ8352" s="25"/>
      <c r="BK8352" s="25"/>
    </row>
    <row r="8353" spans="60:63" ht="14.25" x14ac:dyDescent="0.2">
      <c r="BH8353" s="25"/>
      <c r="BI8353" s="25"/>
      <c r="BJ8353" s="25"/>
      <c r="BK8353" s="25"/>
    </row>
    <row r="8354" spans="60:63" ht="14.25" x14ac:dyDescent="0.2">
      <c r="BH8354" s="25"/>
      <c r="BI8354" s="25"/>
      <c r="BJ8354" s="25"/>
      <c r="BK8354" s="25"/>
    </row>
    <row r="8355" spans="60:63" ht="14.25" x14ac:dyDescent="0.2">
      <c r="BH8355" s="25"/>
      <c r="BI8355" s="25"/>
      <c r="BJ8355" s="25"/>
      <c r="BK8355" s="25"/>
    </row>
    <row r="8356" spans="60:63" ht="14.25" x14ac:dyDescent="0.2">
      <c r="BH8356" s="25"/>
      <c r="BI8356" s="25"/>
      <c r="BJ8356" s="25"/>
      <c r="BK8356" s="25"/>
    </row>
    <row r="8357" spans="60:63" ht="14.25" x14ac:dyDescent="0.2">
      <c r="BH8357" s="25"/>
      <c r="BI8357" s="25"/>
      <c r="BJ8357" s="25"/>
      <c r="BK8357" s="25"/>
    </row>
    <row r="8358" spans="60:63" ht="14.25" x14ac:dyDescent="0.2">
      <c r="BH8358" s="25"/>
      <c r="BI8358" s="25"/>
      <c r="BJ8358" s="25"/>
      <c r="BK8358" s="25"/>
    </row>
    <row r="8359" spans="60:63" ht="14.25" x14ac:dyDescent="0.2">
      <c r="BH8359" s="25"/>
      <c r="BI8359" s="25"/>
      <c r="BJ8359" s="25"/>
      <c r="BK8359" s="25"/>
    </row>
    <row r="8360" spans="60:63" ht="14.25" x14ac:dyDescent="0.2">
      <c r="BH8360" s="25"/>
      <c r="BI8360" s="25"/>
      <c r="BJ8360" s="25"/>
      <c r="BK8360" s="25"/>
    </row>
    <row r="8361" spans="60:63" ht="14.25" x14ac:dyDescent="0.2">
      <c r="BH8361" s="25"/>
      <c r="BI8361" s="25"/>
      <c r="BJ8361" s="25"/>
      <c r="BK8361" s="25"/>
    </row>
    <row r="8362" spans="60:63" ht="14.25" x14ac:dyDescent="0.2">
      <c r="BH8362" s="25"/>
      <c r="BI8362" s="25"/>
      <c r="BJ8362" s="25"/>
      <c r="BK8362" s="25"/>
    </row>
    <row r="8363" spans="60:63" ht="14.25" x14ac:dyDescent="0.2">
      <c r="BH8363" s="25"/>
      <c r="BI8363" s="25"/>
      <c r="BJ8363" s="25"/>
      <c r="BK8363" s="25"/>
    </row>
    <row r="8364" spans="60:63" ht="14.25" x14ac:dyDescent="0.2">
      <c r="BH8364" s="25"/>
      <c r="BI8364" s="25"/>
      <c r="BJ8364" s="25"/>
      <c r="BK8364" s="25"/>
    </row>
    <row r="8365" spans="60:63" ht="14.25" x14ac:dyDescent="0.2">
      <c r="BH8365" s="25"/>
      <c r="BI8365" s="25"/>
      <c r="BJ8365" s="25"/>
      <c r="BK8365" s="25"/>
    </row>
    <row r="8366" spans="60:63" ht="14.25" x14ac:dyDescent="0.2">
      <c r="BH8366" s="25"/>
      <c r="BI8366" s="25"/>
      <c r="BJ8366" s="25"/>
      <c r="BK8366" s="25"/>
    </row>
    <row r="8367" spans="60:63" ht="14.25" x14ac:dyDescent="0.2">
      <c r="BH8367" s="25"/>
      <c r="BI8367" s="25"/>
      <c r="BJ8367" s="25"/>
      <c r="BK8367" s="25"/>
    </row>
    <row r="8368" spans="60:63" ht="14.25" x14ac:dyDescent="0.2">
      <c r="BH8368" s="25"/>
      <c r="BI8368" s="25"/>
      <c r="BJ8368" s="25"/>
      <c r="BK8368" s="25"/>
    </row>
    <row r="8369" spans="60:63" ht="14.25" x14ac:dyDescent="0.2">
      <c r="BH8369" s="25"/>
      <c r="BI8369" s="25"/>
      <c r="BJ8369" s="25"/>
      <c r="BK8369" s="25"/>
    </row>
    <row r="8370" spans="60:63" ht="14.25" x14ac:dyDescent="0.2">
      <c r="BH8370" s="25"/>
      <c r="BI8370" s="25"/>
      <c r="BJ8370" s="25"/>
      <c r="BK8370" s="25"/>
    </row>
    <row r="8371" spans="60:63" ht="14.25" x14ac:dyDescent="0.2">
      <c r="BH8371" s="25"/>
      <c r="BI8371" s="25"/>
      <c r="BJ8371" s="25"/>
      <c r="BK8371" s="25"/>
    </row>
    <row r="8372" spans="60:63" ht="14.25" x14ac:dyDescent="0.2">
      <c r="BH8372" s="25"/>
      <c r="BI8372" s="25"/>
      <c r="BJ8372" s="25"/>
      <c r="BK8372" s="25"/>
    </row>
    <row r="8373" spans="60:63" ht="14.25" x14ac:dyDescent="0.2">
      <c r="BH8373" s="25"/>
      <c r="BI8373" s="25"/>
      <c r="BJ8373" s="25"/>
      <c r="BK8373" s="25"/>
    </row>
    <row r="8374" spans="60:63" ht="14.25" x14ac:dyDescent="0.2">
      <c r="BH8374" s="25"/>
      <c r="BI8374" s="25"/>
      <c r="BJ8374" s="25"/>
      <c r="BK8374" s="25"/>
    </row>
    <row r="8375" spans="60:63" ht="14.25" x14ac:dyDescent="0.2">
      <c r="BH8375" s="25"/>
      <c r="BI8375" s="25"/>
      <c r="BJ8375" s="25"/>
      <c r="BK8375" s="25"/>
    </row>
    <row r="8376" spans="60:63" ht="14.25" x14ac:dyDescent="0.2">
      <c r="BH8376" s="25"/>
      <c r="BI8376" s="25"/>
      <c r="BJ8376" s="25"/>
      <c r="BK8376" s="25"/>
    </row>
    <row r="8377" spans="60:63" ht="14.25" x14ac:dyDescent="0.2">
      <c r="BH8377" s="25"/>
      <c r="BI8377" s="25"/>
      <c r="BJ8377" s="25"/>
      <c r="BK8377" s="25"/>
    </row>
    <row r="8378" spans="60:63" ht="14.25" x14ac:dyDescent="0.2">
      <c r="BH8378" s="25"/>
      <c r="BI8378" s="25"/>
      <c r="BJ8378" s="25"/>
      <c r="BK8378" s="25"/>
    </row>
    <row r="8379" spans="60:63" ht="14.25" x14ac:dyDescent="0.2">
      <c r="BH8379" s="25"/>
      <c r="BI8379" s="25"/>
      <c r="BJ8379" s="25"/>
      <c r="BK8379" s="25"/>
    </row>
    <row r="8380" spans="60:63" ht="14.25" x14ac:dyDescent="0.2">
      <c r="BH8380" s="25"/>
      <c r="BI8380" s="25"/>
      <c r="BJ8380" s="25"/>
      <c r="BK8380" s="25"/>
    </row>
    <row r="8381" spans="60:63" ht="14.25" x14ac:dyDescent="0.2">
      <c r="BH8381" s="25"/>
      <c r="BI8381" s="25"/>
      <c r="BJ8381" s="25"/>
      <c r="BK8381" s="25"/>
    </row>
    <row r="8382" spans="60:63" ht="14.25" x14ac:dyDescent="0.2">
      <c r="BH8382" s="25"/>
      <c r="BI8382" s="25"/>
      <c r="BJ8382" s="25"/>
      <c r="BK8382" s="25"/>
    </row>
    <row r="8383" spans="60:63" ht="14.25" x14ac:dyDescent="0.2">
      <c r="BH8383" s="25"/>
      <c r="BI8383" s="25"/>
      <c r="BJ8383" s="25"/>
      <c r="BK8383" s="25"/>
    </row>
    <row r="8384" spans="60:63" ht="14.25" x14ac:dyDescent="0.2">
      <c r="BH8384" s="25"/>
      <c r="BI8384" s="25"/>
      <c r="BJ8384" s="25"/>
      <c r="BK8384" s="25"/>
    </row>
    <row r="8385" spans="60:63" ht="14.25" x14ac:dyDescent="0.2">
      <c r="BH8385" s="25"/>
      <c r="BI8385" s="25"/>
      <c r="BJ8385" s="25"/>
      <c r="BK8385" s="25"/>
    </row>
    <row r="8386" spans="60:63" ht="14.25" x14ac:dyDescent="0.2">
      <c r="BH8386" s="25"/>
      <c r="BI8386" s="25"/>
      <c r="BJ8386" s="25"/>
      <c r="BK8386" s="25"/>
    </row>
    <row r="8387" spans="60:63" ht="14.25" x14ac:dyDescent="0.2">
      <c r="BH8387" s="25"/>
      <c r="BI8387" s="25"/>
      <c r="BJ8387" s="25"/>
      <c r="BK8387" s="25"/>
    </row>
    <row r="8388" spans="60:63" ht="14.25" x14ac:dyDescent="0.2">
      <c r="BH8388" s="25"/>
      <c r="BI8388" s="25"/>
      <c r="BJ8388" s="25"/>
      <c r="BK8388" s="25"/>
    </row>
    <row r="8389" spans="60:63" ht="14.25" x14ac:dyDescent="0.2">
      <c r="BH8389" s="25"/>
      <c r="BI8389" s="25"/>
      <c r="BJ8389" s="25"/>
      <c r="BK8389" s="25"/>
    </row>
    <row r="8390" spans="60:63" ht="14.25" x14ac:dyDescent="0.2">
      <c r="BH8390" s="25"/>
      <c r="BI8390" s="25"/>
      <c r="BJ8390" s="25"/>
      <c r="BK8390" s="25"/>
    </row>
    <row r="8391" spans="60:63" ht="14.25" x14ac:dyDescent="0.2">
      <c r="BH8391" s="25"/>
      <c r="BI8391" s="25"/>
      <c r="BJ8391" s="25"/>
      <c r="BK8391" s="25"/>
    </row>
    <row r="8392" spans="60:63" ht="14.25" x14ac:dyDescent="0.2">
      <c r="BH8392" s="25"/>
      <c r="BI8392" s="25"/>
      <c r="BJ8392" s="25"/>
      <c r="BK8392" s="25"/>
    </row>
    <row r="8393" spans="60:63" ht="14.25" x14ac:dyDescent="0.2">
      <c r="BH8393" s="25"/>
      <c r="BI8393" s="25"/>
      <c r="BJ8393" s="25"/>
      <c r="BK8393" s="25"/>
    </row>
    <row r="8394" spans="60:63" ht="14.25" x14ac:dyDescent="0.2">
      <c r="BH8394" s="25"/>
      <c r="BI8394" s="25"/>
      <c r="BJ8394" s="25"/>
      <c r="BK8394" s="25"/>
    </row>
    <row r="8395" spans="60:63" ht="14.25" x14ac:dyDescent="0.2">
      <c r="BH8395" s="25"/>
      <c r="BI8395" s="25"/>
      <c r="BJ8395" s="25"/>
      <c r="BK8395" s="25"/>
    </row>
    <row r="8396" spans="60:63" ht="14.25" x14ac:dyDescent="0.2">
      <c r="BH8396" s="25"/>
      <c r="BI8396" s="25"/>
      <c r="BJ8396" s="25"/>
      <c r="BK8396" s="25"/>
    </row>
    <row r="8397" spans="60:63" ht="14.25" x14ac:dyDescent="0.2">
      <c r="BH8397" s="25"/>
      <c r="BI8397" s="25"/>
      <c r="BJ8397" s="25"/>
      <c r="BK8397" s="25"/>
    </row>
    <row r="8398" spans="60:63" ht="14.25" x14ac:dyDescent="0.2">
      <c r="BH8398" s="25"/>
      <c r="BI8398" s="25"/>
      <c r="BJ8398" s="25"/>
      <c r="BK8398" s="25"/>
    </row>
    <row r="8399" spans="60:63" ht="14.25" x14ac:dyDescent="0.2">
      <c r="BH8399" s="25"/>
      <c r="BI8399" s="25"/>
      <c r="BJ8399" s="25"/>
      <c r="BK8399" s="25"/>
    </row>
    <row r="8400" spans="60:63" ht="14.25" x14ac:dyDescent="0.2">
      <c r="BH8400" s="25"/>
      <c r="BI8400" s="25"/>
      <c r="BJ8400" s="25"/>
      <c r="BK8400" s="25"/>
    </row>
    <row r="8401" spans="60:63" ht="14.25" x14ac:dyDescent="0.2">
      <c r="BH8401" s="25"/>
      <c r="BI8401" s="25"/>
      <c r="BJ8401" s="25"/>
      <c r="BK8401" s="25"/>
    </row>
    <row r="8402" spans="60:63" ht="14.25" x14ac:dyDescent="0.2">
      <c r="BH8402" s="25"/>
      <c r="BI8402" s="25"/>
      <c r="BJ8402" s="25"/>
      <c r="BK8402" s="25"/>
    </row>
    <row r="8403" spans="60:63" ht="14.25" x14ac:dyDescent="0.2">
      <c r="BH8403" s="25"/>
      <c r="BI8403" s="25"/>
      <c r="BJ8403" s="25"/>
      <c r="BK8403" s="25"/>
    </row>
    <row r="8404" spans="60:63" ht="14.25" x14ac:dyDescent="0.2">
      <c r="BH8404" s="25"/>
      <c r="BI8404" s="25"/>
      <c r="BJ8404" s="25"/>
      <c r="BK8404" s="25"/>
    </row>
    <row r="8405" spans="60:63" ht="14.25" x14ac:dyDescent="0.2">
      <c r="BH8405" s="25"/>
      <c r="BI8405" s="25"/>
      <c r="BJ8405" s="25"/>
      <c r="BK8405" s="25"/>
    </row>
    <row r="8406" spans="60:63" ht="14.25" x14ac:dyDescent="0.2">
      <c r="BH8406" s="25"/>
      <c r="BI8406" s="25"/>
      <c r="BJ8406" s="25"/>
      <c r="BK8406" s="25"/>
    </row>
    <row r="8407" spans="60:63" ht="14.25" x14ac:dyDescent="0.2">
      <c r="BH8407" s="25"/>
      <c r="BI8407" s="25"/>
      <c r="BJ8407" s="25"/>
      <c r="BK8407" s="25"/>
    </row>
    <row r="8408" spans="60:63" ht="14.25" x14ac:dyDescent="0.2">
      <c r="BH8408" s="25"/>
      <c r="BI8408" s="25"/>
      <c r="BJ8408" s="25"/>
      <c r="BK8408" s="25"/>
    </row>
    <row r="8409" spans="60:63" ht="14.25" x14ac:dyDescent="0.2">
      <c r="BH8409" s="25"/>
      <c r="BI8409" s="25"/>
      <c r="BJ8409" s="25"/>
      <c r="BK8409" s="25"/>
    </row>
    <row r="8410" spans="60:63" ht="14.25" x14ac:dyDescent="0.2">
      <c r="BH8410" s="25"/>
      <c r="BI8410" s="25"/>
      <c r="BJ8410" s="25"/>
      <c r="BK8410" s="25"/>
    </row>
    <row r="8411" spans="60:63" ht="14.25" x14ac:dyDescent="0.2">
      <c r="BH8411" s="25"/>
      <c r="BI8411" s="25"/>
      <c r="BJ8411" s="25"/>
      <c r="BK8411" s="25"/>
    </row>
    <row r="8412" spans="60:63" ht="14.25" x14ac:dyDescent="0.2">
      <c r="BH8412" s="25"/>
      <c r="BI8412" s="25"/>
      <c r="BJ8412" s="25"/>
      <c r="BK8412" s="25"/>
    </row>
    <row r="8413" spans="60:63" ht="14.25" x14ac:dyDescent="0.2">
      <c r="BH8413" s="25"/>
      <c r="BI8413" s="25"/>
      <c r="BJ8413" s="25"/>
      <c r="BK8413" s="25"/>
    </row>
    <row r="8414" spans="60:63" ht="14.25" x14ac:dyDescent="0.2">
      <c r="BH8414" s="25"/>
      <c r="BI8414" s="25"/>
      <c r="BJ8414" s="25"/>
      <c r="BK8414" s="25"/>
    </row>
    <row r="8415" spans="60:63" ht="14.25" x14ac:dyDescent="0.2">
      <c r="BH8415" s="25"/>
      <c r="BI8415" s="25"/>
      <c r="BJ8415" s="25"/>
      <c r="BK8415" s="25"/>
    </row>
    <row r="8416" spans="60:63" ht="14.25" x14ac:dyDescent="0.2">
      <c r="BH8416" s="25"/>
      <c r="BI8416" s="25"/>
      <c r="BJ8416" s="25"/>
      <c r="BK8416" s="25"/>
    </row>
    <row r="8417" spans="60:63" ht="14.25" x14ac:dyDescent="0.2">
      <c r="BH8417" s="25"/>
      <c r="BI8417" s="25"/>
      <c r="BJ8417" s="25"/>
      <c r="BK8417" s="25"/>
    </row>
    <row r="8418" spans="60:63" ht="14.25" x14ac:dyDescent="0.2">
      <c r="BH8418" s="25"/>
      <c r="BI8418" s="25"/>
      <c r="BJ8418" s="25"/>
      <c r="BK8418" s="25"/>
    </row>
    <row r="8419" spans="60:63" ht="14.25" x14ac:dyDescent="0.2">
      <c r="BH8419" s="25"/>
      <c r="BI8419" s="25"/>
      <c r="BJ8419" s="25"/>
      <c r="BK8419" s="25"/>
    </row>
    <row r="8420" spans="60:63" ht="14.25" x14ac:dyDescent="0.2">
      <c r="BH8420" s="25"/>
      <c r="BI8420" s="25"/>
      <c r="BJ8420" s="25"/>
      <c r="BK8420" s="25"/>
    </row>
    <row r="8421" spans="60:63" ht="14.25" x14ac:dyDescent="0.2">
      <c r="BH8421" s="25"/>
      <c r="BI8421" s="25"/>
      <c r="BJ8421" s="25"/>
      <c r="BK8421" s="25"/>
    </row>
    <row r="8422" spans="60:63" ht="14.25" x14ac:dyDescent="0.2">
      <c r="BH8422" s="25"/>
      <c r="BI8422" s="25"/>
      <c r="BJ8422" s="25"/>
      <c r="BK8422" s="25"/>
    </row>
    <row r="8423" spans="60:63" ht="14.25" x14ac:dyDescent="0.2">
      <c r="BH8423" s="25"/>
      <c r="BI8423" s="25"/>
      <c r="BJ8423" s="25"/>
      <c r="BK8423" s="25"/>
    </row>
    <row r="8424" spans="60:63" ht="14.25" x14ac:dyDescent="0.2">
      <c r="BH8424" s="25"/>
      <c r="BI8424" s="25"/>
      <c r="BJ8424" s="25"/>
      <c r="BK8424" s="25"/>
    </row>
    <row r="8425" spans="60:63" ht="14.25" x14ac:dyDescent="0.2">
      <c r="BH8425" s="25"/>
      <c r="BI8425" s="25"/>
      <c r="BJ8425" s="25"/>
      <c r="BK8425" s="25"/>
    </row>
    <row r="8426" spans="60:63" ht="14.25" x14ac:dyDescent="0.2">
      <c r="BH8426" s="25"/>
      <c r="BI8426" s="25"/>
      <c r="BJ8426" s="25"/>
      <c r="BK8426" s="25"/>
    </row>
    <row r="8427" spans="60:63" ht="14.25" x14ac:dyDescent="0.2">
      <c r="BH8427" s="25"/>
      <c r="BI8427" s="25"/>
      <c r="BJ8427" s="25"/>
      <c r="BK8427" s="25"/>
    </row>
    <row r="8428" spans="60:63" ht="14.25" x14ac:dyDescent="0.2">
      <c r="BH8428" s="25"/>
      <c r="BI8428" s="25"/>
      <c r="BJ8428" s="25"/>
      <c r="BK8428" s="25"/>
    </row>
    <row r="8429" spans="60:63" ht="14.25" x14ac:dyDescent="0.2">
      <c r="BH8429" s="25"/>
      <c r="BI8429" s="25"/>
      <c r="BJ8429" s="25"/>
      <c r="BK8429" s="25"/>
    </row>
    <row r="8430" spans="60:63" ht="14.25" x14ac:dyDescent="0.2">
      <c r="BH8430" s="25"/>
      <c r="BI8430" s="25"/>
      <c r="BJ8430" s="25"/>
      <c r="BK8430" s="25"/>
    </row>
    <row r="8431" spans="60:63" ht="14.25" x14ac:dyDescent="0.2">
      <c r="BH8431" s="25"/>
      <c r="BI8431" s="25"/>
      <c r="BJ8431" s="25"/>
      <c r="BK8431" s="25"/>
    </row>
    <row r="8432" spans="60:63" ht="14.25" x14ac:dyDescent="0.2">
      <c r="BH8432" s="25"/>
      <c r="BI8432" s="25"/>
      <c r="BJ8432" s="25"/>
      <c r="BK8432" s="25"/>
    </row>
    <row r="8433" spans="60:63" ht="14.25" x14ac:dyDescent="0.2">
      <c r="BH8433" s="25"/>
      <c r="BI8433" s="25"/>
      <c r="BJ8433" s="25"/>
      <c r="BK8433" s="25"/>
    </row>
    <row r="8434" spans="60:63" ht="14.25" x14ac:dyDescent="0.2">
      <c r="BH8434" s="25"/>
      <c r="BI8434" s="25"/>
      <c r="BJ8434" s="25"/>
      <c r="BK8434" s="25"/>
    </row>
    <row r="8435" spans="60:63" ht="14.25" x14ac:dyDescent="0.2">
      <c r="BH8435" s="25"/>
      <c r="BI8435" s="25"/>
      <c r="BJ8435" s="25"/>
      <c r="BK8435" s="25"/>
    </row>
    <row r="8436" spans="60:63" ht="14.25" x14ac:dyDescent="0.2">
      <c r="BH8436" s="25"/>
      <c r="BI8436" s="25"/>
      <c r="BJ8436" s="25"/>
      <c r="BK8436" s="25"/>
    </row>
    <row r="8437" spans="60:63" ht="14.25" x14ac:dyDescent="0.2">
      <c r="BH8437" s="25"/>
      <c r="BI8437" s="25"/>
      <c r="BJ8437" s="25"/>
      <c r="BK8437" s="25"/>
    </row>
    <row r="8438" spans="60:63" ht="14.25" x14ac:dyDescent="0.2">
      <c r="BH8438" s="25"/>
      <c r="BI8438" s="25"/>
      <c r="BJ8438" s="25"/>
      <c r="BK8438" s="25"/>
    </row>
    <row r="8439" spans="60:63" ht="14.25" x14ac:dyDescent="0.2">
      <c r="BH8439" s="25"/>
      <c r="BI8439" s="25"/>
      <c r="BJ8439" s="25"/>
      <c r="BK8439" s="25"/>
    </row>
    <row r="8440" spans="60:63" ht="14.25" x14ac:dyDescent="0.2">
      <c r="BH8440" s="25"/>
      <c r="BI8440" s="25"/>
      <c r="BJ8440" s="25"/>
      <c r="BK8440" s="25"/>
    </row>
    <row r="8441" spans="60:63" ht="14.25" x14ac:dyDescent="0.2">
      <c r="BH8441" s="25"/>
      <c r="BI8441" s="25"/>
      <c r="BJ8441" s="25"/>
      <c r="BK8441" s="25"/>
    </row>
    <row r="8442" spans="60:63" ht="14.25" x14ac:dyDescent="0.2">
      <c r="BH8442" s="25"/>
      <c r="BI8442" s="25"/>
      <c r="BJ8442" s="25"/>
      <c r="BK8442" s="25"/>
    </row>
    <row r="8443" spans="60:63" ht="14.25" x14ac:dyDescent="0.2">
      <c r="BH8443" s="25"/>
      <c r="BI8443" s="25"/>
      <c r="BJ8443" s="25"/>
      <c r="BK8443" s="25"/>
    </row>
    <row r="8444" spans="60:63" ht="14.25" x14ac:dyDescent="0.2">
      <c r="BH8444" s="25"/>
      <c r="BI8444" s="25"/>
      <c r="BJ8444" s="25"/>
      <c r="BK8444" s="25"/>
    </row>
    <row r="8445" spans="60:63" ht="14.25" x14ac:dyDescent="0.2">
      <c r="BH8445" s="25"/>
      <c r="BI8445" s="25"/>
      <c r="BJ8445" s="25"/>
      <c r="BK8445" s="25"/>
    </row>
    <row r="8446" spans="60:63" ht="14.25" x14ac:dyDescent="0.2">
      <c r="BH8446" s="25"/>
      <c r="BI8446" s="25"/>
      <c r="BJ8446" s="25"/>
      <c r="BK8446" s="25"/>
    </row>
    <row r="8447" spans="60:63" ht="14.25" x14ac:dyDescent="0.2">
      <c r="BH8447" s="25"/>
      <c r="BI8447" s="25"/>
      <c r="BJ8447" s="25"/>
      <c r="BK8447" s="25"/>
    </row>
    <row r="8448" spans="60:63" ht="14.25" x14ac:dyDescent="0.2">
      <c r="BH8448" s="25"/>
      <c r="BI8448" s="25"/>
      <c r="BJ8448" s="25"/>
      <c r="BK8448" s="25"/>
    </row>
    <row r="8449" spans="60:63" ht="14.25" x14ac:dyDescent="0.2">
      <c r="BH8449" s="25"/>
      <c r="BI8449" s="25"/>
      <c r="BJ8449" s="25"/>
      <c r="BK8449" s="25"/>
    </row>
    <row r="8450" spans="60:63" ht="14.25" x14ac:dyDescent="0.2">
      <c r="BH8450" s="25"/>
      <c r="BI8450" s="25"/>
      <c r="BJ8450" s="25"/>
      <c r="BK8450" s="25"/>
    </row>
    <row r="8451" spans="60:63" ht="14.25" x14ac:dyDescent="0.2">
      <c r="BH8451" s="25"/>
      <c r="BI8451" s="25"/>
      <c r="BJ8451" s="25"/>
      <c r="BK8451" s="25"/>
    </row>
    <row r="8452" spans="60:63" ht="14.25" x14ac:dyDescent="0.2">
      <c r="BH8452" s="25"/>
      <c r="BI8452" s="25"/>
      <c r="BJ8452" s="25"/>
      <c r="BK8452" s="25"/>
    </row>
    <row r="8453" spans="60:63" ht="14.25" x14ac:dyDescent="0.2">
      <c r="BH8453" s="25"/>
      <c r="BI8453" s="25"/>
      <c r="BJ8453" s="25"/>
      <c r="BK8453" s="25"/>
    </row>
    <row r="8454" spans="60:63" ht="14.25" x14ac:dyDescent="0.2">
      <c r="BH8454" s="25"/>
      <c r="BI8454" s="25"/>
      <c r="BJ8454" s="25"/>
      <c r="BK8454" s="25"/>
    </row>
    <row r="8455" spans="60:63" ht="14.25" x14ac:dyDescent="0.2">
      <c r="BH8455" s="25"/>
      <c r="BI8455" s="25"/>
      <c r="BJ8455" s="25"/>
      <c r="BK8455" s="25"/>
    </row>
    <row r="8456" spans="60:63" ht="14.25" x14ac:dyDescent="0.2">
      <c r="BH8456" s="25"/>
      <c r="BI8456" s="25"/>
      <c r="BJ8456" s="25"/>
      <c r="BK8456" s="25"/>
    </row>
    <row r="8457" spans="60:63" ht="14.25" x14ac:dyDescent="0.2">
      <c r="BH8457" s="25"/>
      <c r="BI8457" s="25"/>
      <c r="BJ8457" s="25"/>
      <c r="BK8457" s="25"/>
    </row>
    <row r="8458" spans="60:63" ht="14.25" x14ac:dyDescent="0.2">
      <c r="BH8458" s="25"/>
      <c r="BI8458" s="25"/>
      <c r="BJ8458" s="25"/>
      <c r="BK8458" s="25"/>
    </row>
    <row r="8459" spans="60:63" ht="14.25" x14ac:dyDescent="0.2">
      <c r="BH8459" s="25"/>
      <c r="BI8459" s="25"/>
      <c r="BJ8459" s="25"/>
      <c r="BK8459" s="25"/>
    </row>
    <row r="8460" spans="60:63" ht="14.25" x14ac:dyDescent="0.2">
      <c r="BH8460" s="25"/>
      <c r="BI8460" s="25"/>
      <c r="BJ8460" s="25"/>
      <c r="BK8460" s="25"/>
    </row>
    <row r="8461" spans="60:63" ht="14.25" x14ac:dyDescent="0.2">
      <c r="BH8461" s="25"/>
      <c r="BI8461" s="25"/>
      <c r="BJ8461" s="25"/>
      <c r="BK8461" s="25"/>
    </row>
    <row r="8462" spans="60:63" ht="14.25" x14ac:dyDescent="0.2">
      <c r="BH8462" s="25"/>
      <c r="BI8462" s="25"/>
      <c r="BJ8462" s="25"/>
      <c r="BK8462" s="25"/>
    </row>
    <row r="8463" spans="60:63" ht="14.25" x14ac:dyDescent="0.2">
      <c r="BH8463" s="25"/>
      <c r="BI8463" s="25"/>
      <c r="BJ8463" s="25"/>
      <c r="BK8463" s="25"/>
    </row>
    <row r="8464" spans="60:63" ht="14.25" x14ac:dyDescent="0.2">
      <c r="BH8464" s="25"/>
      <c r="BI8464" s="25"/>
      <c r="BJ8464" s="25"/>
      <c r="BK8464" s="25"/>
    </row>
    <row r="8465" spans="60:63" ht="14.25" x14ac:dyDescent="0.2">
      <c r="BH8465" s="25"/>
      <c r="BI8465" s="25"/>
      <c r="BJ8465" s="25"/>
      <c r="BK8465" s="25"/>
    </row>
    <row r="8466" spans="60:63" ht="14.25" x14ac:dyDescent="0.2">
      <c r="BH8466" s="25"/>
      <c r="BI8466" s="25"/>
      <c r="BJ8466" s="25"/>
      <c r="BK8466" s="25"/>
    </row>
    <row r="8467" spans="60:63" ht="14.25" x14ac:dyDescent="0.2">
      <c r="BH8467" s="25"/>
      <c r="BI8467" s="25"/>
      <c r="BJ8467" s="25"/>
      <c r="BK8467" s="25"/>
    </row>
    <row r="8468" spans="60:63" ht="14.25" x14ac:dyDescent="0.2">
      <c r="BH8468" s="25"/>
      <c r="BI8468" s="25"/>
      <c r="BJ8468" s="25"/>
      <c r="BK8468" s="25"/>
    </row>
    <row r="8469" spans="60:63" ht="14.25" x14ac:dyDescent="0.2">
      <c r="BH8469" s="25"/>
      <c r="BI8469" s="25"/>
      <c r="BJ8469" s="25"/>
      <c r="BK8469" s="25"/>
    </row>
    <row r="8470" spans="60:63" ht="14.25" x14ac:dyDescent="0.2">
      <c r="BH8470" s="25"/>
      <c r="BI8470" s="25"/>
      <c r="BJ8470" s="25"/>
      <c r="BK8470" s="25"/>
    </row>
    <row r="8471" spans="60:63" ht="14.25" x14ac:dyDescent="0.2">
      <c r="BH8471" s="25"/>
      <c r="BI8471" s="25"/>
      <c r="BJ8471" s="25"/>
      <c r="BK8471" s="25"/>
    </row>
    <row r="8472" spans="60:63" ht="14.25" x14ac:dyDescent="0.2">
      <c r="BH8472" s="25"/>
      <c r="BI8472" s="25"/>
      <c r="BJ8472" s="25"/>
      <c r="BK8472" s="25"/>
    </row>
    <row r="8473" spans="60:63" ht="14.25" x14ac:dyDescent="0.2">
      <c r="BH8473" s="25"/>
      <c r="BI8473" s="25"/>
      <c r="BJ8473" s="25"/>
      <c r="BK8473" s="25"/>
    </row>
    <row r="8474" spans="60:63" ht="14.25" x14ac:dyDescent="0.2">
      <c r="BH8474" s="25"/>
      <c r="BI8474" s="25"/>
      <c r="BJ8474" s="25"/>
      <c r="BK8474" s="25"/>
    </row>
    <row r="8475" spans="60:63" ht="14.25" x14ac:dyDescent="0.2">
      <c r="BH8475" s="25"/>
      <c r="BI8475" s="25"/>
      <c r="BJ8475" s="25"/>
      <c r="BK8475" s="25"/>
    </row>
    <row r="8476" spans="60:63" ht="14.25" x14ac:dyDescent="0.2">
      <c r="BH8476" s="25"/>
      <c r="BI8476" s="25"/>
      <c r="BJ8476" s="25"/>
      <c r="BK8476" s="25"/>
    </row>
    <row r="8477" spans="60:63" ht="14.25" x14ac:dyDescent="0.2">
      <c r="BH8477" s="25"/>
      <c r="BI8477" s="25"/>
      <c r="BJ8477" s="25"/>
      <c r="BK8477" s="25"/>
    </row>
    <row r="8478" spans="60:63" ht="14.25" x14ac:dyDescent="0.2">
      <c r="BH8478" s="25"/>
      <c r="BI8478" s="25"/>
      <c r="BJ8478" s="25"/>
      <c r="BK8478" s="25"/>
    </row>
    <row r="8479" spans="60:63" ht="14.25" x14ac:dyDescent="0.2">
      <c r="BH8479" s="25"/>
      <c r="BI8479" s="25"/>
      <c r="BJ8479" s="25"/>
      <c r="BK8479" s="25"/>
    </row>
    <row r="8480" spans="60:63" ht="14.25" x14ac:dyDescent="0.2">
      <c r="BH8480" s="25"/>
      <c r="BI8480" s="25"/>
      <c r="BJ8480" s="25"/>
      <c r="BK8480" s="25"/>
    </row>
    <row r="8481" spans="60:63" ht="14.25" x14ac:dyDescent="0.2">
      <c r="BH8481" s="25"/>
      <c r="BI8481" s="25"/>
      <c r="BJ8481" s="25"/>
      <c r="BK8481" s="25"/>
    </row>
    <row r="8482" spans="60:63" ht="14.25" x14ac:dyDescent="0.2">
      <c r="BH8482" s="25"/>
      <c r="BI8482" s="25"/>
      <c r="BJ8482" s="25"/>
      <c r="BK8482" s="25"/>
    </row>
    <row r="8483" spans="60:63" ht="14.25" x14ac:dyDescent="0.2">
      <c r="BH8483" s="25"/>
      <c r="BI8483" s="25"/>
      <c r="BJ8483" s="25"/>
      <c r="BK8483" s="25"/>
    </row>
    <row r="8484" spans="60:63" ht="14.25" x14ac:dyDescent="0.2">
      <c r="BH8484" s="25"/>
      <c r="BI8484" s="25"/>
      <c r="BJ8484" s="25"/>
      <c r="BK8484" s="25"/>
    </row>
    <row r="8485" spans="60:63" ht="14.25" x14ac:dyDescent="0.2">
      <c r="BH8485" s="25"/>
      <c r="BI8485" s="25"/>
      <c r="BJ8485" s="25"/>
      <c r="BK8485" s="25"/>
    </row>
    <row r="8486" spans="60:63" ht="14.25" x14ac:dyDescent="0.2">
      <c r="BH8486" s="25"/>
      <c r="BI8486" s="25"/>
      <c r="BJ8486" s="25"/>
      <c r="BK8486" s="25"/>
    </row>
    <row r="8487" spans="60:63" ht="14.25" x14ac:dyDescent="0.2">
      <c r="BH8487" s="25"/>
      <c r="BI8487" s="25"/>
      <c r="BJ8487" s="25"/>
      <c r="BK8487" s="25"/>
    </row>
    <row r="8488" spans="60:63" ht="14.25" x14ac:dyDescent="0.2">
      <c r="BH8488" s="25"/>
      <c r="BI8488" s="25"/>
      <c r="BJ8488" s="25"/>
      <c r="BK8488" s="25"/>
    </row>
    <row r="8489" spans="60:63" ht="14.25" x14ac:dyDescent="0.2">
      <c r="BH8489" s="25"/>
      <c r="BI8489" s="25"/>
      <c r="BJ8489" s="25"/>
      <c r="BK8489" s="25"/>
    </row>
    <row r="8490" spans="60:63" ht="14.25" x14ac:dyDescent="0.2">
      <c r="BH8490" s="25"/>
      <c r="BI8490" s="25"/>
      <c r="BJ8490" s="25"/>
      <c r="BK8490" s="25"/>
    </row>
    <row r="8491" spans="60:63" ht="14.25" x14ac:dyDescent="0.2">
      <c r="BH8491" s="25"/>
      <c r="BI8491" s="25"/>
      <c r="BJ8491" s="25"/>
      <c r="BK8491" s="25"/>
    </row>
    <row r="8492" spans="60:63" ht="14.25" x14ac:dyDescent="0.2">
      <c r="BH8492" s="25"/>
      <c r="BI8492" s="25"/>
      <c r="BJ8492" s="25"/>
      <c r="BK8492" s="25"/>
    </row>
    <row r="8493" spans="60:63" ht="14.25" x14ac:dyDescent="0.2">
      <c r="BH8493" s="25"/>
      <c r="BI8493" s="25"/>
      <c r="BJ8493" s="25"/>
      <c r="BK8493" s="25"/>
    </row>
    <row r="8494" spans="60:63" ht="14.25" x14ac:dyDescent="0.2">
      <c r="BH8494" s="25"/>
      <c r="BI8494" s="25"/>
      <c r="BJ8494" s="25"/>
      <c r="BK8494" s="25"/>
    </row>
    <row r="8495" spans="60:63" ht="14.25" x14ac:dyDescent="0.2">
      <c r="BH8495" s="25"/>
      <c r="BI8495" s="25"/>
      <c r="BJ8495" s="25"/>
      <c r="BK8495" s="25"/>
    </row>
    <row r="8496" spans="60:63" ht="14.25" x14ac:dyDescent="0.2">
      <c r="BH8496" s="25"/>
      <c r="BI8496" s="25"/>
      <c r="BJ8496" s="25"/>
      <c r="BK8496" s="25"/>
    </row>
    <row r="8497" spans="60:63" ht="14.25" x14ac:dyDescent="0.2">
      <c r="BH8497" s="25"/>
      <c r="BI8497" s="25"/>
      <c r="BJ8497" s="25"/>
      <c r="BK8497" s="25"/>
    </row>
    <row r="8498" spans="60:63" ht="14.25" x14ac:dyDescent="0.2">
      <c r="BH8498" s="25"/>
      <c r="BI8498" s="25"/>
      <c r="BJ8498" s="25"/>
      <c r="BK8498" s="25"/>
    </row>
    <row r="8499" spans="60:63" ht="14.25" x14ac:dyDescent="0.2">
      <c r="BH8499" s="25"/>
      <c r="BI8499" s="25"/>
      <c r="BJ8499" s="25"/>
      <c r="BK8499" s="25"/>
    </row>
    <row r="8500" spans="60:63" ht="14.25" x14ac:dyDescent="0.2">
      <c r="BH8500" s="25"/>
      <c r="BI8500" s="25"/>
      <c r="BJ8500" s="25"/>
      <c r="BK8500" s="25"/>
    </row>
    <row r="8501" spans="60:63" ht="14.25" x14ac:dyDescent="0.2">
      <c r="BH8501" s="25"/>
      <c r="BI8501" s="25"/>
      <c r="BJ8501" s="25"/>
      <c r="BK8501" s="25"/>
    </row>
    <row r="8502" spans="60:63" ht="14.25" x14ac:dyDescent="0.2">
      <c r="BH8502" s="25"/>
      <c r="BI8502" s="25"/>
      <c r="BJ8502" s="25"/>
      <c r="BK8502" s="25"/>
    </row>
    <row r="8503" spans="60:63" ht="14.25" x14ac:dyDescent="0.2">
      <c r="BH8503" s="25"/>
      <c r="BI8503" s="25"/>
      <c r="BJ8503" s="25"/>
      <c r="BK8503" s="25"/>
    </row>
    <row r="8504" spans="60:63" ht="14.25" x14ac:dyDescent="0.2">
      <c r="BH8504" s="25"/>
      <c r="BI8504" s="25"/>
      <c r="BJ8504" s="25"/>
      <c r="BK8504" s="25"/>
    </row>
    <row r="8505" spans="60:63" ht="14.25" x14ac:dyDescent="0.2">
      <c r="BH8505" s="25"/>
      <c r="BI8505" s="25"/>
      <c r="BJ8505" s="25"/>
      <c r="BK8505" s="25"/>
    </row>
    <row r="8506" spans="60:63" ht="14.25" x14ac:dyDescent="0.2">
      <c r="BH8506" s="25"/>
      <c r="BI8506" s="25"/>
      <c r="BJ8506" s="25"/>
      <c r="BK8506" s="25"/>
    </row>
    <row r="8507" spans="60:63" ht="14.25" x14ac:dyDescent="0.2">
      <c r="BH8507" s="25"/>
      <c r="BI8507" s="25"/>
      <c r="BJ8507" s="25"/>
      <c r="BK8507" s="25"/>
    </row>
    <row r="8508" spans="60:63" ht="14.25" x14ac:dyDescent="0.2">
      <c r="BH8508" s="25"/>
      <c r="BI8508" s="25"/>
      <c r="BJ8508" s="25"/>
      <c r="BK8508" s="25"/>
    </row>
    <row r="8509" spans="60:63" ht="14.25" x14ac:dyDescent="0.2">
      <c r="BH8509" s="25"/>
      <c r="BI8509" s="25"/>
      <c r="BJ8509" s="25"/>
      <c r="BK8509" s="25"/>
    </row>
    <row r="8510" spans="60:63" ht="14.25" x14ac:dyDescent="0.2">
      <c r="BH8510" s="25"/>
      <c r="BI8510" s="25"/>
      <c r="BJ8510" s="25"/>
      <c r="BK8510" s="25"/>
    </row>
    <row r="8511" spans="60:63" ht="14.25" x14ac:dyDescent="0.2">
      <c r="BH8511" s="25"/>
      <c r="BI8511" s="25"/>
      <c r="BJ8511" s="25"/>
      <c r="BK8511" s="25"/>
    </row>
    <row r="8512" spans="60:63" ht="14.25" x14ac:dyDescent="0.2">
      <c r="BH8512" s="25"/>
      <c r="BI8512" s="25"/>
      <c r="BJ8512" s="25"/>
      <c r="BK8512" s="25"/>
    </row>
    <row r="8513" spans="60:63" ht="14.25" x14ac:dyDescent="0.2">
      <c r="BH8513" s="25"/>
      <c r="BI8513" s="25"/>
      <c r="BJ8513" s="25"/>
      <c r="BK8513" s="25"/>
    </row>
    <row r="8514" spans="60:63" ht="14.25" x14ac:dyDescent="0.2">
      <c r="BH8514" s="25"/>
      <c r="BI8514" s="25"/>
      <c r="BJ8514" s="25"/>
      <c r="BK8514" s="25"/>
    </row>
    <row r="8515" spans="60:63" ht="14.25" x14ac:dyDescent="0.2">
      <c r="BH8515" s="25"/>
      <c r="BI8515" s="25"/>
      <c r="BJ8515" s="25"/>
      <c r="BK8515" s="25"/>
    </row>
    <row r="8516" spans="60:63" ht="14.25" x14ac:dyDescent="0.2">
      <c r="BH8516" s="25"/>
      <c r="BI8516" s="25"/>
      <c r="BJ8516" s="25"/>
      <c r="BK8516" s="25"/>
    </row>
    <row r="8517" spans="60:63" ht="14.25" x14ac:dyDescent="0.2">
      <c r="BH8517" s="25"/>
      <c r="BI8517" s="25"/>
      <c r="BJ8517" s="25"/>
      <c r="BK8517" s="25"/>
    </row>
    <row r="8518" spans="60:63" ht="14.25" x14ac:dyDescent="0.2">
      <c r="BH8518" s="25"/>
      <c r="BI8518" s="25"/>
      <c r="BJ8518" s="25"/>
      <c r="BK8518" s="25"/>
    </row>
    <row r="8519" spans="60:63" ht="14.25" x14ac:dyDescent="0.2">
      <c r="BH8519" s="25"/>
      <c r="BI8519" s="25"/>
      <c r="BJ8519" s="25"/>
      <c r="BK8519" s="25"/>
    </row>
    <row r="8520" spans="60:63" ht="14.25" x14ac:dyDescent="0.2">
      <c r="BH8520" s="25"/>
      <c r="BI8520" s="25"/>
      <c r="BJ8520" s="25"/>
      <c r="BK8520" s="25"/>
    </row>
    <row r="8521" spans="60:63" ht="14.25" x14ac:dyDescent="0.2">
      <c r="BH8521" s="25"/>
      <c r="BI8521" s="25"/>
      <c r="BJ8521" s="25"/>
      <c r="BK8521" s="25"/>
    </row>
    <row r="8522" spans="60:63" ht="14.25" x14ac:dyDescent="0.2">
      <c r="BH8522" s="25"/>
      <c r="BI8522" s="25"/>
      <c r="BJ8522" s="25"/>
      <c r="BK8522" s="25"/>
    </row>
    <row r="8523" spans="60:63" ht="14.25" x14ac:dyDescent="0.2">
      <c r="BH8523" s="25"/>
      <c r="BI8523" s="25"/>
      <c r="BJ8523" s="25"/>
      <c r="BK8523" s="25"/>
    </row>
    <row r="8524" spans="60:63" ht="14.25" x14ac:dyDescent="0.2">
      <c r="BH8524" s="25"/>
      <c r="BI8524" s="25"/>
      <c r="BJ8524" s="25"/>
      <c r="BK8524" s="25"/>
    </row>
    <row r="8525" spans="60:63" ht="14.25" x14ac:dyDescent="0.2">
      <c r="BH8525" s="25"/>
      <c r="BI8525" s="25"/>
      <c r="BJ8525" s="25"/>
      <c r="BK8525" s="25"/>
    </row>
    <row r="8526" spans="60:63" ht="14.25" x14ac:dyDescent="0.2">
      <c r="BH8526" s="25"/>
      <c r="BI8526" s="25"/>
      <c r="BJ8526" s="25"/>
      <c r="BK8526" s="25"/>
    </row>
    <row r="8527" spans="60:63" ht="14.25" x14ac:dyDescent="0.2">
      <c r="BH8527" s="25"/>
      <c r="BI8527" s="25"/>
      <c r="BJ8527" s="25"/>
      <c r="BK8527" s="25"/>
    </row>
    <row r="8528" spans="60:63" ht="14.25" x14ac:dyDescent="0.2">
      <c r="BH8528" s="25"/>
      <c r="BI8528" s="25"/>
      <c r="BJ8528" s="25"/>
      <c r="BK8528" s="25"/>
    </row>
    <row r="8529" spans="60:63" ht="14.25" x14ac:dyDescent="0.2">
      <c r="BH8529" s="25"/>
      <c r="BI8529" s="25"/>
      <c r="BJ8529" s="25"/>
      <c r="BK8529" s="25"/>
    </row>
    <row r="8530" spans="60:63" ht="14.25" x14ac:dyDescent="0.2">
      <c r="BH8530" s="25"/>
      <c r="BI8530" s="25"/>
      <c r="BJ8530" s="25"/>
      <c r="BK8530" s="25"/>
    </row>
    <row r="8531" spans="60:63" ht="14.25" x14ac:dyDescent="0.2">
      <c r="BH8531" s="25"/>
      <c r="BI8531" s="25"/>
      <c r="BJ8531" s="25"/>
      <c r="BK8531" s="25"/>
    </row>
    <row r="8532" spans="60:63" ht="14.25" x14ac:dyDescent="0.2">
      <c r="BH8532" s="25"/>
      <c r="BI8532" s="25"/>
      <c r="BJ8532" s="25"/>
      <c r="BK8532" s="25"/>
    </row>
    <row r="8533" spans="60:63" ht="14.25" x14ac:dyDescent="0.2">
      <c r="BH8533" s="25"/>
      <c r="BI8533" s="25"/>
      <c r="BJ8533" s="25"/>
      <c r="BK8533" s="25"/>
    </row>
    <row r="8534" spans="60:63" ht="14.25" x14ac:dyDescent="0.2">
      <c r="BH8534" s="25"/>
      <c r="BI8534" s="25"/>
      <c r="BJ8534" s="25"/>
      <c r="BK8534" s="25"/>
    </row>
    <row r="8535" spans="60:63" ht="14.25" x14ac:dyDescent="0.2">
      <c r="BH8535" s="25"/>
      <c r="BI8535" s="25"/>
      <c r="BJ8535" s="25"/>
      <c r="BK8535" s="25"/>
    </row>
    <row r="8536" spans="60:63" ht="14.25" x14ac:dyDescent="0.2">
      <c r="BH8536" s="25"/>
      <c r="BI8536" s="25"/>
      <c r="BJ8536" s="25"/>
      <c r="BK8536" s="25"/>
    </row>
    <row r="8537" spans="60:63" ht="14.25" x14ac:dyDescent="0.2">
      <c r="BH8537" s="25"/>
      <c r="BI8537" s="25"/>
      <c r="BJ8537" s="25"/>
      <c r="BK8537" s="25"/>
    </row>
    <row r="8538" spans="60:63" ht="14.25" x14ac:dyDescent="0.2">
      <c r="BH8538" s="25"/>
      <c r="BI8538" s="25"/>
      <c r="BJ8538" s="25"/>
      <c r="BK8538" s="25"/>
    </row>
    <row r="8539" spans="60:63" ht="14.25" x14ac:dyDescent="0.2">
      <c r="BH8539" s="25"/>
      <c r="BI8539" s="25"/>
      <c r="BJ8539" s="25"/>
      <c r="BK8539" s="25"/>
    </row>
    <row r="8540" spans="60:63" ht="14.25" x14ac:dyDescent="0.2">
      <c r="BH8540" s="25"/>
      <c r="BI8540" s="25"/>
      <c r="BJ8540" s="25"/>
      <c r="BK8540" s="25"/>
    </row>
    <row r="8541" spans="60:63" ht="14.25" x14ac:dyDescent="0.2">
      <c r="BH8541" s="25"/>
      <c r="BI8541" s="25"/>
      <c r="BJ8541" s="25"/>
      <c r="BK8541" s="25"/>
    </row>
    <row r="8542" spans="60:63" ht="14.25" x14ac:dyDescent="0.2">
      <c r="BH8542" s="25"/>
      <c r="BI8542" s="25"/>
      <c r="BJ8542" s="25"/>
      <c r="BK8542" s="25"/>
    </row>
    <row r="8543" spans="60:63" ht="14.25" x14ac:dyDescent="0.2">
      <c r="BH8543" s="25"/>
      <c r="BI8543" s="25"/>
      <c r="BJ8543" s="25"/>
      <c r="BK8543" s="25"/>
    </row>
    <row r="8544" spans="60:63" ht="14.25" x14ac:dyDescent="0.2">
      <c r="BH8544" s="25"/>
      <c r="BI8544" s="25"/>
      <c r="BJ8544" s="25"/>
      <c r="BK8544" s="25"/>
    </row>
    <row r="8545" spans="60:63" ht="14.25" x14ac:dyDescent="0.2">
      <c r="BH8545" s="25"/>
      <c r="BI8545" s="25"/>
      <c r="BJ8545" s="25"/>
      <c r="BK8545" s="25"/>
    </row>
    <row r="8546" spans="60:63" ht="14.25" x14ac:dyDescent="0.2">
      <c r="BH8546" s="25"/>
      <c r="BI8546" s="25"/>
      <c r="BJ8546" s="25"/>
      <c r="BK8546" s="25"/>
    </row>
    <row r="8547" spans="60:63" ht="14.25" x14ac:dyDescent="0.2">
      <c r="BH8547" s="25"/>
      <c r="BI8547" s="25"/>
      <c r="BJ8547" s="25"/>
      <c r="BK8547" s="25"/>
    </row>
    <row r="8548" spans="60:63" ht="14.25" x14ac:dyDescent="0.2">
      <c r="BH8548" s="25"/>
      <c r="BI8548" s="25"/>
      <c r="BJ8548" s="25"/>
      <c r="BK8548" s="25"/>
    </row>
    <row r="8549" spans="60:63" ht="14.25" x14ac:dyDescent="0.2">
      <c r="BH8549" s="25"/>
      <c r="BI8549" s="25"/>
      <c r="BJ8549" s="25"/>
      <c r="BK8549" s="25"/>
    </row>
    <row r="8550" spans="60:63" ht="14.25" x14ac:dyDescent="0.2">
      <c r="BH8550" s="25"/>
      <c r="BI8550" s="25"/>
      <c r="BJ8550" s="25"/>
      <c r="BK8550" s="25"/>
    </row>
    <row r="8551" spans="60:63" ht="14.25" x14ac:dyDescent="0.2">
      <c r="BH8551" s="25"/>
      <c r="BI8551" s="25"/>
      <c r="BJ8551" s="25"/>
      <c r="BK8551" s="25"/>
    </row>
    <row r="8552" spans="60:63" ht="14.25" x14ac:dyDescent="0.2">
      <c r="BH8552" s="25"/>
      <c r="BI8552" s="25"/>
      <c r="BJ8552" s="25"/>
      <c r="BK8552" s="25"/>
    </row>
    <row r="8553" spans="60:63" ht="14.25" x14ac:dyDescent="0.2">
      <c r="BH8553" s="25"/>
      <c r="BI8553" s="25"/>
      <c r="BJ8553" s="25"/>
      <c r="BK8553" s="25"/>
    </row>
    <row r="8554" spans="60:63" ht="14.25" x14ac:dyDescent="0.2">
      <c r="BH8554" s="25"/>
      <c r="BI8554" s="25"/>
      <c r="BJ8554" s="25"/>
      <c r="BK8554" s="25"/>
    </row>
    <row r="8555" spans="60:63" ht="14.25" x14ac:dyDescent="0.2">
      <c r="BH8555" s="25"/>
      <c r="BI8555" s="25"/>
      <c r="BJ8555" s="25"/>
      <c r="BK8555" s="25"/>
    </row>
    <row r="8556" spans="60:63" ht="14.25" x14ac:dyDescent="0.2">
      <c r="BH8556" s="25"/>
      <c r="BI8556" s="25"/>
      <c r="BJ8556" s="25"/>
      <c r="BK8556" s="25"/>
    </row>
    <row r="8557" spans="60:63" ht="14.25" x14ac:dyDescent="0.2">
      <c r="BH8557" s="25"/>
      <c r="BI8557" s="25"/>
      <c r="BJ8557" s="25"/>
      <c r="BK8557" s="25"/>
    </row>
    <row r="8558" spans="60:63" ht="14.25" x14ac:dyDescent="0.2">
      <c r="BH8558" s="25"/>
      <c r="BI8558" s="25"/>
      <c r="BJ8558" s="25"/>
      <c r="BK8558" s="25"/>
    </row>
    <row r="8559" spans="60:63" ht="14.25" x14ac:dyDescent="0.2">
      <c r="BH8559" s="25"/>
      <c r="BI8559" s="25"/>
      <c r="BJ8559" s="25"/>
      <c r="BK8559" s="25"/>
    </row>
    <row r="8560" spans="60:63" ht="14.25" x14ac:dyDescent="0.2">
      <c r="BH8560" s="25"/>
      <c r="BI8560" s="25"/>
      <c r="BJ8560" s="25"/>
      <c r="BK8560" s="25"/>
    </row>
    <row r="8561" spans="60:63" ht="14.25" x14ac:dyDescent="0.2">
      <c r="BH8561" s="25"/>
      <c r="BI8561" s="25"/>
      <c r="BJ8561" s="25"/>
      <c r="BK8561" s="25"/>
    </row>
    <row r="8562" spans="60:63" ht="14.25" x14ac:dyDescent="0.2">
      <c r="BH8562" s="25"/>
      <c r="BI8562" s="25"/>
      <c r="BJ8562" s="25"/>
      <c r="BK8562" s="25"/>
    </row>
    <row r="8563" spans="60:63" ht="14.25" x14ac:dyDescent="0.2">
      <c r="BH8563" s="25"/>
      <c r="BI8563" s="25"/>
      <c r="BJ8563" s="25"/>
      <c r="BK8563" s="25"/>
    </row>
    <row r="8564" spans="60:63" ht="14.25" x14ac:dyDescent="0.2">
      <c r="BH8564" s="25"/>
      <c r="BI8564" s="25"/>
      <c r="BJ8564" s="25"/>
      <c r="BK8564" s="25"/>
    </row>
    <row r="8565" spans="60:63" ht="14.25" x14ac:dyDescent="0.2">
      <c r="BH8565" s="25"/>
      <c r="BI8565" s="25"/>
      <c r="BJ8565" s="25"/>
      <c r="BK8565" s="25"/>
    </row>
    <row r="8566" spans="60:63" ht="14.25" x14ac:dyDescent="0.2">
      <c r="BH8566" s="25"/>
      <c r="BI8566" s="25"/>
      <c r="BJ8566" s="25"/>
      <c r="BK8566" s="25"/>
    </row>
    <row r="8567" spans="60:63" ht="14.25" x14ac:dyDescent="0.2">
      <c r="BH8567" s="25"/>
      <c r="BI8567" s="25"/>
      <c r="BJ8567" s="25"/>
      <c r="BK8567" s="25"/>
    </row>
    <row r="8568" spans="60:63" ht="14.25" x14ac:dyDescent="0.2">
      <c r="BH8568" s="25"/>
      <c r="BI8568" s="25"/>
      <c r="BJ8568" s="25"/>
      <c r="BK8568" s="25"/>
    </row>
    <row r="8569" spans="60:63" ht="14.25" x14ac:dyDescent="0.2">
      <c r="BH8569" s="25"/>
      <c r="BI8569" s="25"/>
      <c r="BJ8569" s="25"/>
      <c r="BK8569" s="25"/>
    </row>
    <row r="8570" spans="60:63" ht="14.25" x14ac:dyDescent="0.2">
      <c r="BH8570" s="25"/>
      <c r="BI8570" s="25"/>
      <c r="BJ8570" s="25"/>
      <c r="BK8570" s="25"/>
    </row>
    <row r="8571" spans="60:63" ht="14.25" x14ac:dyDescent="0.2">
      <c r="BH8571" s="25"/>
      <c r="BI8571" s="25"/>
      <c r="BJ8571" s="25"/>
      <c r="BK8571" s="25"/>
    </row>
    <row r="8572" spans="60:63" ht="14.25" x14ac:dyDescent="0.2">
      <c r="BH8572" s="25"/>
      <c r="BI8572" s="25"/>
      <c r="BJ8572" s="25"/>
      <c r="BK8572" s="25"/>
    </row>
    <row r="8573" spans="60:63" ht="14.25" x14ac:dyDescent="0.2">
      <c r="BH8573" s="25"/>
      <c r="BI8573" s="25"/>
      <c r="BJ8573" s="25"/>
      <c r="BK8573" s="25"/>
    </row>
    <row r="8574" spans="60:63" ht="14.25" x14ac:dyDescent="0.2">
      <c r="BH8574" s="25"/>
      <c r="BI8574" s="25"/>
      <c r="BJ8574" s="25"/>
      <c r="BK8574" s="25"/>
    </row>
    <row r="8575" spans="60:63" ht="14.25" x14ac:dyDescent="0.2">
      <c r="BH8575" s="25"/>
      <c r="BI8575" s="25"/>
      <c r="BJ8575" s="25"/>
      <c r="BK8575" s="25"/>
    </row>
    <row r="8576" spans="60:63" ht="14.25" x14ac:dyDescent="0.2">
      <c r="BH8576" s="25"/>
      <c r="BI8576" s="25"/>
      <c r="BJ8576" s="25"/>
      <c r="BK8576" s="25"/>
    </row>
    <row r="8577" spans="60:63" ht="14.25" x14ac:dyDescent="0.2">
      <c r="BH8577" s="25"/>
      <c r="BI8577" s="25"/>
      <c r="BJ8577" s="25"/>
      <c r="BK8577" s="25"/>
    </row>
    <row r="8578" spans="60:63" ht="14.25" x14ac:dyDescent="0.2">
      <c r="BH8578" s="25"/>
      <c r="BI8578" s="25"/>
      <c r="BJ8578" s="25"/>
      <c r="BK8578" s="25"/>
    </row>
    <row r="8579" spans="60:63" ht="14.25" x14ac:dyDescent="0.2">
      <c r="BH8579" s="25"/>
      <c r="BI8579" s="25"/>
      <c r="BJ8579" s="25"/>
      <c r="BK8579" s="25"/>
    </row>
    <row r="8580" spans="60:63" ht="14.25" x14ac:dyDescent="0.2">
      <c r="BH8580" s="25"/>
      <c r="BI8580" s="25"/>
      <c r="BJ8580" s="25"/>
      <c r="BK8580" s="25"/>
    </row>
    <row r="8581" spans="60:63" ht="14.25" x14ac:dyDescent="0.2">
      <c r="BH8581" s="25"/>
      <c r="BI8581" s="25"/>
      <c r="BJ8581" s="25"/>
      <c r="BK8581" s="25"/>
    </row>
    <row r="8582" spans="60:63" ht="14.25" x14ac:dyDescent="0.2">
      <c r="BH8582" s="25"/>
      <c r="BI8582" s="25"/>
      <c r="BJ8582" s="25"/>
      <c r="BK8582" s="25"/>
    </row>
    <row r="8583" spans="60:63" ht="14.25" x14ac:dyDescent="0.2">
      <c r="BH8583" s="25"/>
      <c r="BI8583" s="25"/>
      <c r="BJ8583" s="25"/>
      <c r="BK8583" s="25"/>
    </row>
    <row r="8584" spans="60:63" ht="14.25" x14ac:dyDescent="0.2">
      <c r="BH8584" s="25"/>
      <c r="BI8584" s="25"/>
      <c r="BJ8584" s="25"/>
      <c r="BK8584" s="25"/>
    </row>
    <row r="8585" spans="60:63" ht="14.25" x14ac:dyDescent="0.2">
      <c r="BH8585" s="25"/>
      <c r="BI8585" s="25"/>
      <c r="BJ8585" s="25"/>
      <c r="BK8585" s="25"/>
    </row>
    <row r="8586" spans="60:63" ht="14.25" x14ac:dyDescent="0.2">
      <c r="BH8586" s="25"/>
      <c r="BI8586" s="25"/>
      <c r="BJ8586" s="25"/>
      <c r="BK8586" s="25"/>
    </row>
    <row r="8587" spans="60:63" ht="14.25" x14ac:dyDescent="0.2">
      <c r="BH8587" s="25"/>
      <c r="BI8587" s="25"/>
      <c r="BJ8587" s="25"/>
      <c r="BK8587" s="25"/>
    </row>
    <row r="8588" spans="60:63" ht="14.25" x14ac:dyDescent="0.2">
      <c r="BH8588" s="25"/>
      <c r="BI8588" s="25"/>
      <c r="BJ8588" s="25"/>
      <c r="BK8588" s="25"/>
    </row>
    <row r="8589" spans="60:63" ht="14.25" x14ac:dyDescent="0.2">
      <c r="BH8589" s="25"/>
      <c r="BI8589" s="25"/>
      <c r="BJ8589" s="25"/>
      <c r="BK8589" s="25"/>
    </row>
    <row r="8590" spans="60:63" ht="14.25" x14ac:dyDescent="0.2">
      <c r="BH8590" s="25"/>
      <c r="BI8590" s="25"/>
      <c r="BJ8590" s="25"/>
      <c r="BK8590" s="25"/>
    </row>
    <row r="8591" spans="60:63" ht="14.25" x14ac:dyDescent="0.2">
      <c r="BH8591" s="25"/>
      <c r="BI8591" s="25"/>
      <c r="BJ8591" s="25"/>
      <c r="BK8591" s="25"/>
    </row>
    <row r="8592" spans="60:63" ht="14.25" x14ac:dyDescent="0.2">
      <c r="BH8592" s="25"/>
      <c r="BI8592" s="25"/>
      <c r="BJ8592" s="25"/>
      <c r="BK8592" s="25"/>
    </row>
    <row r="8593" spans="60:63" ht="14.25" x14ac:dyDescent="0.2">
      <c r="BH8593" s="25"/>
      <c r="BI8593" s="25"/>
      <c r="BJ8593" s="25"/>
      <c r="BK8593" s="25"/>
    </row>
    <row r="8594" spans="60:63" ht="14.25" x14ac:dyDescent="0.2">
      <c r="BH8594" s="25"/>
      <c r="BI8594" s="25"/>
      <c r="BJ8594" s="25"/>
      <c r="BK8594" s="25"/>
    </row>
    <row r="8595" spans="60:63" ht="14.25" x14ac:dyDescent="0.2">
      <c r="BH8595" s="25"/>
      <c r="BI8595" s="25"/>
      <c r="BJ8595" s="25"/>
      <c r="BK8595" s="25"/>
    </row>
    <row r="8596" spans="60:63" ht="14.25" x14ac:dyDescent="0.2">
      <c r="BH8596" s="25"/>
      <c r="BI8596" s="25"/>
      <c r="BJ8596" s="25"/>
      <c r="BK8596" s="25"/>
    </row>
    <row r="8597" spans="60:63" ht="14.25" x14ac:dyDescent="0.2">
      <c r="BH8597" s="25"/>
      <c r="BI8597" s="25"/>
      <c r="BJ8597" s="25"/>
      <c r="BK8597" s="25"/>
    </row>
    <row r="8598" spans="60:63" ht="14.25" x14ac:dyDescent="0.2">
      <c r="BH8598" s="25"/>
      <c r="BI8598" s="25"/>
      <c r="BJ8598" s="25"/>
      <c r="BK8598" s="25"/>
    </row>
    <row r="8599" spans="60:63" ht="14.25" x14ac:dyDescent="0.2">
      <c r="BH8599" s="25"/>
      <c r="BI8599" s="25"/>
      <c r="BJ8599" s="25"/>
      <c r="BK8599" s="25"/>
    </row>
    <row r="8600" spans="60:63" ht="14.25" x14ac:dyDescent="0.2">
      <c r="BH8600" s="25"/>
      <c r="BI8600" s="25"/>
      <c r="BJ8600" s="25"/>
      <c r="BK8600" s="25"/>
    </row>
    <row r="8601" spans="60:63" ht="14.25" x14ac:dyDescent="0.2">
      <c r="BH8601" s="25"/>
      <c r="BI8601" s="25"/>
      <c r="BJ8601" s="25"/>
      <c r="BK8601" s="25"/>
    </row>
    <row r="8602" spans="60:63" ht="14.25" x14ac:dyDescent="0.2">
      <c r="BH8602" s="25"/>
      <c r="BI8602" s="25"/>
      <c r="BJ8602" s="25"/>
      <c r="BK8602" s="25"/>
    </row>
    <row r="8603" spans="60:63" ht="14.25" x14ac:dyDescent="0.2">
      <c r="BH8603" s="25"/>
      <c r="BI8603" s="25"/>
      <c r="BJ8603" s="25"/>
      <c r="BK8603" s="25"/>
    </row>
    <row r="8604" spans="60:63" ht="14.25" x14ac:dyDescent="0.2">
      <c r="BH8604" s="25"/>
      <c r="BI8604" s="25"/>
      <c r="BJ8604" s="25"/>
      <c r="BK8604" s="25"/>
    </row>
    <row r="8605" spans="60:63" ht="14.25" x14ac:dyDescent="0.2">
      <c r="BH8605" s="25"/>
      <c r="BI8605" s="25"/>
      <c r="BJ8605" s="25"/>
      <c r="BK8605" s="25"/>
    </row>
    <row r="8606" spans="60:63" ht="14.25" x14ac:dyDescent="0.2">
      <c r="BH8606" s="25"/>
      <c r="BI8606" s="25"/>
      <c r="BJ8606" s="25"/>
      <c r="BK8606" s="25"/>
    </row>
    <row r="8607" spans="60:63" ht="14.25" x14ac:dyDescent="0.2">
      <c r="BH8607" s="25"/>
      <c r="BI8607" s="25"/>
      <c r="BJ8607" s="25"/>
      <c r="BK8607" s="25"/>
    </row>
    <row r="8608" spans="60:63" ht="14.25" x14ac:dyDescent="0.2">
      <c r="BH8608" s="25"/>
      <c r="BI8608" s="25"/>
      <c r="BJ8608" s="25"/>
      <c r="BK8608" s="25"/>
    </row>
    <row r="8609" spans="60:63" ht="14.25" x14ac:dyDescent="0.2">
      <c r="BH8609" s="25"/>
      <c r="BI8609" s="25"/>
      <c r="BJ8609" s="25"/>
      <c r="BK8609" s="25"/>
    </row>
    <row r="8610" spans="60:63" ht="14.25" x14ac:dyDescent="0.2">
      <c r="BH8610" s="25"/>
      <c r="BI8610" s="25"/>
      <c r="BJ8610" s="25"/>
      <c r="BK8610" s="25"/>
    </row>
    <row r="8611" spans="60:63" ht="14.25" x14ac:dyDescent="0.2">
      <c r="BH8611" s="25"/>
      <c r="BI8611" s="25"/>
      <c r="BJ8611" s="25"/>
      <c r="BK8611" s="25"/>
    </row>
    <row r="8612" spans="60:63" ht="14.25" x14ac:dyDescent="0.2">
      <c r="BH8612" s="25"/>
      <c r="BI8612" s="25"/>
      <c r="BJ8612" s="25"/>
      <c r="BK8612" s="25"/>
    </row>
    <row r="8613" spans="60:63" ht="14.25" x14ac:dyDescent="0.2">
      <c r="BH8613" s="25"/>
      <c r="BI8613" s="25"/>
      <c r="BJ8613" s="25"/>
      <c r="BK8613" s="25"/>
    </row>
    <row r="8614" spans="60:63" ht="14.25" x14ac:dyDescent="0.2">
      <c r="BH8614" s="25"/>
      <c r="BI8614" s="25"/>
      <c r="BJ8614" s="25"/>
      <c r="BK8614" s="25"/>
    </row>
    <row r="8615" spans="60:63" ht="14.25" x14ac:dyDescent="0.2">
      <c r="BH8615" s="25"/>
      <c r="BI8615" s="25"/>
      <c r="BJ8615" s="25"/>
      <c r="BK8615" s="25"/>
    </row>
    <row r="8616" spans="60:63" ht="14.25" x14ac:dyDescent="0.2">
      <c r="BH8616" s="25"/>
      <c r="BI8616" s="25"/>
      <c r="BJ8616" s="25"/>
      <c r="BK8616" s="25"/>
    </row>
    <row r="8617" spans="60:63" ht="14.25" x14ac:dyDescent="0.2">
      <c r="BH8617" s="25"/>
      <c r="BI8617" s="25"/>
      <c r="BJ8617" s="25"/>
      <c r="BK8617" s="25"/>
    </row>
    <row r="8618" spans="60:63" ht="14.25" x14ac:dyDescent="0.2">
      <c r="BH8618" s="25"/>
      <c r="BI8618" s="25"/>
      <c r="BJ8618" s="25"/>
      <c r="BK8618" s="25"/>
    </row>
    <row r="8619" spans="60:63" ht="14.25" x14ac:dyDescent="0.2">
      <c r="BH8619" s="25"/>
      <c r="BI8619" s="25"/>
      <c r="BJ8619" s="25"/>
      <c r="BK8619" s="25"/>
    </row>
    <row r="8620" spans="60:63" ht="14.25" x14ac:dyDescent="0.2">
      <c r="BH8620" s="25"/>
      <c r="BI8620" s="25"/>
      <c r="BJ8620" s="25"/>
      <c r="BK8620" s="25"/>
    </row>
    <row r="8621" spans="60:63" ht="14.25" x14ac:dyDescent="0.2">
      <c r="BH8621" s="25"/>
      <c r="BI8621" s="25"/>
      <c r="BJ8621" s="25"/>
      <c r="BK8621" s="25"/>
    </row>
    <row r="8622" spans="60:63" ht="14.25" x14ac:dyDescent="0.2">
      <c r="BH8622" s="25"/>
      <c r="BI8622" s="25"/>
      <c r="BJ8622" s="25"/>
      <c r="BK8622" s="25"/>
    </row>
    <row r="8623" spans="60:63" ht="14.25" x14ac:dyDescent="0.2">
      <c r="BH8623" s="25"/>
      <c r="BI8623" s="25"/>
      <c r="BJ8623" s="25"/>
      <c r="BK8623" s="25"/>
    </row>
    <row r="8624" spans="60:63" ht="14.25" x14ac:dyDescent="0.2">
      <c r="BH8624" s="25"/>
      <c r="BI8624" s="25"/>
      <c r="BJ8624" s="25"/>
      <c r="BK8624" s="25"/>
    </row>
    <row r="8625" spans="60:63" ht="14.25" x14ac:dyDescent="0.2">
      <c r="BH8625" s="25"/>
      <c r="BI8625" s="25"/>
      <c r="BJ8625" s="25"/>
      <c r="BK8625" s="25"/>
    </row>
    <row r="8626" spans="60:63" ht="14.25" x14ac:dyDescent="0.2">
      <c r="BH8626" s="25"/>
      <c r="BI8626" s="25"/>
      <c r="BJ8626" s="25"/>
      <c r="BK8626" s="25"/>
    </row>
    <row r="8627" spans="60:63" ht="14.25" x14ac:dyDescent="0.2">
      <c r="BH8627" s="25"/>
      <c r="BI8627" s="25"/>
      <c r="BJ8627" s="25"/>
      <c r="BK8627" s="25"/>
    </row>
    <row r="8628" spans="60:63" ht="14.25" x14ac:dyDescent="0.2">
      <c r="BH8628" s="25"/>
      <c r="BI8628" s="25"/>
      <c r="BJ8628" s="25"/>
      <c r="BK8628" s="25"/>
    </row>
    <row r="8629" spans="60:63" ht="14.25" x14ac:dyDescent="0.2">
      <c r="BH8629" s="25"/>
      <c r="BI8629" s="25"/>
      <c r="BJ8629" s="25"/>
      <c r="BK8629" s="25"/>
    </row>
    <row r="8630" spans="60:63" ht="14.25" x14ac:dyDescent="0.2">
      <c r="BH8630" s="25"/>
      <c r="BI8630" s="25"/>
      <c r="BJ8630" s="25"/>
      <c r="BK8630" s="25"/>
    </row>
    <row r="8631" spans="60:63" ht="14.25" x14ac:dyDescent="0.2">
      <c r="BH8631" s="25"/>
      <c r="BI8631" s="25"/>
      <c r="BJ8631" s="25"/>
      <c r="BK8631" s="25"/>
    </row>
    <row r="8632" spans="60:63" ht="14.25" x14ac:dyDescent="0.2">
      <c r="BH8632" s="25"/>
      <c r="BI8632" s="25"/>
      <c r="BJ8632" s="25"/>
      <c r="BK8632" s="25"/>
    </row>
    <row r="8633" spans="60:63" ht="14.25" x14ac:dyDescent="0.2">
      <c r="BH8633" s="25"/>
      <c r="BI8633" s="25"/>
      <c r="BJ8633" s="25"/>
      <c r="BK8633" s="25"/>
    </row>
    <row r="8634" spans="60:63" ht="14.25" x14ac:dyDescent="0.2">
      <c r="BH8634" s="25"/>
      <c r="BI8634" s="25"/>
      <c r="BJ8634" s="25"/>
      <c r="BK8634" s="25"/>
    </row>
    <row r="8635" spans="60:63" ht="14.25" x14ac:dyDescent="0.2">
      <c r="BH8635" s="25"/>
      <c r="BI8635" s="25"/>
      <c r="BJ8635" s="25"/>
      <c r="BK8635" s="25"/>
    </row>
    <row r="8636" spans="60:63" ht="14.25" x14ac:dyDescent="0.2">
      <c r="BH8636" s="25"/>
      <c r="BI8636" s="25"/>
      <c r="BJ8636" s="25"/>
      <c r="BK8636" s="25"/>
    </row>
    <row r="8637" spans="60:63" ht="14.25" x14ac:dyDescent="0.2">
      <c r="BH8637" s="25"/>
      <c r="BI8637" s="25"/>
      <c r="BJ8637" s="25"/>
      <c r="BK8637" s="25"/>
    </row>
    <row r="8638" spans="60:63" ht="14.25" x14ac:dyDescent="0.2">
      <c r="BH8638" s="25"/>
      <c r="BI8638" s="25"/>
      <c r="BJ8638" s="25"/>
      <c r="BK8638" s="25"/>
    </row>
    <row r="8639" spans="60:63" ht="14.25" x14ac:dyDescent="0.2">
      <c r="BH8639" s="25"/>
      <c r="BI8639" s="25"/>
      <c r="BJ8639" s="25"/>
      <c r="BK8639" s="25"/>
    </row>
    <row r="8640" spans="60:63" ht="14.25" x14ac:dyDescent="0.2">
      <c r="BH8640" s="25"/>
      <c r="BI8640" s="25"/>
      <c r="BJ8640" s="25"/>
      <c r="BK8640" s="25"/>
    </row>
    <row r="8641" spans="60:63" ht="14.25" x14ac:dyDescent="0.2">
      <c r="BH8641" s="25"/>
      <c r="BI8641" s="25"/>
      <c r="BJ8641" s="25"/>
      <c r="BK8641" s="25"/>
    </row>
    <row r="8642" spans="60:63" ht="14.25" x14ac:dyDescent="0.2">
      <c r="BH8642" s="25"/>
      <c r="BI8642" s="25"/>
      <c r="BJ8642" s="25"/>
      <c r="BK8642" s="25"/>
    </row>
    <row r="8643" spans="60:63" ht="14.25" x14ac:dyDescent="0.2">
      <c r="BH8643" s="25"/>
      <c r="BI8643" s="25"/>
      <c r="BJ8643" s="25"/>
      <c r="BK8643" s="25"/>
    </row>
    <row r="8644" spans="60:63" ht="14.25" x14ac:dyDescent="0.2">
      <c r="BH8644" s="25"/>
      <c r="BI8644" s="25"/>
      <c r="BJ8644" s="25"/>
      <c r="BK8644" s="25"/>
    </row>
    <row r="8645" spans="60:63" ht="14.25" x14ac:dyDescent="0.2">
      <c r="BH8645" s="25"/>
      <c r="BI8645" s="25"/>
      <c r="BJ8645" s="25"/>
      <c r="BK8645" s="25"/>
    </row>
    <row r="8646" spans="60:63" ht="14.25" x14ac:dyDescent="0.2">
      <c r="BH8646" s="25"/>
      <c r="BI8646" s="25"/>
      <c r="BJ8646" s="25"/>
      <c r="BK8646" s="25"/>
    </row>
    <row r="8647" spans="60:63" ht="14.25" x14ac:dyDescent="0.2">
      <c r="BH8647" s="25"/>
      <c r="BI8647" s="25"/>
      <c r="BJ8647" s="25"/>
      <c r="BK8647" s="25"/>
    </row>
    <row r="8648" spans="60:63" ht="14.25" x14ac:dyDescent="0.2">
      <c r="BH8648" s="25"/>
      <c r="BI8648" s="25"/>
      <c r="BJ8648" s="25"/>
      <c r="BK8648" s="25"/>
    </row>
    <row r="8649" spans="60:63" ht="14.25" x14ac:dyDescent="0.2">
      <c r="BH8649" s="25"/>
      <c r="BI8649" s="25"/>
      <c r="BJ8649" s="25"/>
      <c r="BK8649" s="25"/>
    </row>
    <row r="8650" spans="60:63" ht="14.25" x14ac:dyDescent="0.2">
      <c r="BH8650" s="25"/>
      <c r="BI8650" s="25"/>
      <c r="BJ8650" s="25"/>
      <c r="BK8650" s="25"/>
    </row>
    <row r="8651" spans="60:63" ht="14.25" x14ac:dyDescent="0.2">
      <c r="BH8651" s="25"/>
      <c r="BI8651" s="25"/>
      <c r="BJ8651" s="25"/>
      <c r="BK8651" s="25"/>
    </row>
    <row r="8652" spans="60:63" ht="14.25" x14ac:dyDescent="0.2">
      <c r="BH8652" s="25"/>
      <c r="BI8652" s="25"/>
      <c r="BJ8652" s="25"/>
      <c r="BK8652" s="25"/>
    </row>
    <row r="8653" spans="60:63" ht="14.25" x14ac:dyDescent="0.2">
      <c r="BH8653" s="25"/>
      <c r="BI8653" s="25"/>
      <c r="BJ8653" s="25"/>
      <c r="BK8653" s="25"/>
    </row>
    <row r="8654" spans="60:63" ht="14.25" x14ac:dyDescent="0.2">
      <c r="BH8654" s="25"/>
      <c r="BI8654" s="25"/>
      <c r="BJ8654" s="25"/>
      <c r="BK8654" s="25"/>
    </row>
    <row r="8655" spans="60:63" ht="14.25" x14ac:dyDescent="0.2">
      <c r="BH8655" s="25"/>
      <c r="BI8655" s="25"/>
      <c r="BJ8655" s="25"/>
      <c r="BK8655" s="25"/>
    </row>
    <row r="8656" spans="60:63" ht="14.25" x14ac:dyDescent="0.2">
      <c r="BH8656" s="25"/>
      <c r="BI8656" s="25"/>
      <c r="BJ8656" s="25"/>
      <c r="BK8656" s="25"/>
    </row>
    <row r="8657" spans="60:63" ht="14.25" x14ac:dyDescent="0.2">
      <c r="BH8657" s="25"/>
      <c r="BI8657" s="25"/>
      <c r="BJ8657" s="25"/>
      <c r="BK8657" s="25"/>
    </row>
    <row r="8658" spans="60:63" ht="14.25" x14ac:dyDescent="0.2">
      <c r="BH8658" s="25"/>
      <c r="BI8658" s="25"/>
      <c r="BJ8658" s="25"/>
      <c r="BK8658" s="25"/>
    </row>
    <row r="8659" spans="60:63" ht="14.25" x14ac:dyDescent="0.2">
      <c r="BH8659" s="25"/>
      <c r="BI8659" s="25"/>
      <c r="BJ8659" s="25"/>
      <c r="BK8659" s="25"/>
    </row>
    <row r="8660" spans="60:63" ht="14.25" x14ac:dyDescent="0.2">
      <c r="BH8660" s="25"/>
      <c r="BI8660" s="25"/>
      <c r="BJ8660" s="25"/>
      <c r="BK8660" s="25"/>
    </row>
    <row r="8661" spans="60:63" ht="14.25" x14ac:dyDescent="0.2">
      <c r="BH8661" s="25"/>
      <c r="BI8661" s="25"/>
      <c r="BJ8661" s="25"/>
      <c r="BK8661" s="25"/>
    </row>
    <row r="8662" spans="60:63" ht="14.25" x14ac:dyDescent="0.2">
      <c r="BH8662" s="25"/>
      <c r="BI8662" s="25"/>
      <c r="BJ8662" s="25"/>
      <c r="BK8662" s="25"/>
    </row>
    <row r="8663" spans="60:63" ht="14.25" x14ac:dyDescent="0.2">
      <c r="BH8663" s="25"/>
      <c r="BI8663" s="25"/>
      <c r="BJ8663" s="25"/>
      <c r="BK8663" s="25"/>
    </row>
    <row r="8664" spans="60:63" ht="14.25" x14ac:dyDescent="0.2">
      <c r="BH8664" s="25"/>
      <c r="BI8664" s="25"/>
      <c r="BJ8664" s="25"/>
      <c r="BK8664" s="25"/>
    </row>
    <row r="8665" spans="60:63" ht="14.25" x14ac:dyDescent="0.2">
      <c r="BH8665" s="25"/>
      <c r="BI8665" s="25"/>
      <c r="BJ8665" s="25"/>
      <c r="BK8665" s="25"/>
    </row>
    <row r="8666" spans="60:63" ht="14.25" x14ac:dyDescent="0.2">
      <c r="BH8666" s="25"/>
      <c r="BI8666" s="25"/>
      <c r="BJ8666" s="25"/>
      <c r="BK8666" s="25"/>
    </row>
    <row r="8667" spans="60:63" ht="14.25" x14ac:dyDescent="0.2">
      <c r="BH8667" s="25"/>
      <c r="BI8667" s="25"/>
      <c r="BJ8667" s="25"/>
      <c r="BK8667" s="25"/>
    </row>
    <row r="8668" spans="60:63" ht="14.25" x14ac:dyDescent="0.2">
      <c r="BH8668" s="25"/>
      <c r="BI8668" s="25"/>
      <c r="BJ8668" s="25"/>
      <c r="BK8668" s="25"/>
    </row>
    <row r="8669" spans="60:63" ht="14.25" x14ac:dyDescent="0.2">
      <c r="BH8669" s="25"/>
      <c r="BI8669" s="25"/>
      <c r="BJ8669" s="25"/>
      <c r="BK8669" s="25"/>
    </row>
    <row r="8670" spans="60:63" ht="14.25" x14ac:dyDescent="0.2">
      <c r="BH8670" s="25"/>
      <c r="BI8670" s="25"/>
      <c r="BJ8670" s="25"/>
      <c r="BK8670" s="25"/>
    </row>
    <row r="8671" spans="60:63" ht="14.25" x14ac:dyDescent="0.2">
      <c r="BH8671" s="25"/>
      <c r="BI8671" s="25"/>
      <c r="BJ8671" s="25"/>
      <c r="BK8671" s="25"/>
    </row>
    <row r="8672" spans="60:63" ht="14.25" x14ac:dyDescent="0.2">
      <c r="BH8672" s="25"/>
      <c r="BI8672" s="25"/>
      <c r="BJ8672" s="25"/>
      <c r="BK8672" s="25"/>
    </row>
    <row r="8673" spans="60:63" ht="14.25" x14ac:dyDescent="0.2">
      <c r="BH8673" s="25"/>
      <c r="BI8673" s="25"/>
      <c r="BJ8673" s="25"/>
      <c r="BK8673" s="25"/>
    </row>
    <row r="8674" spans="60:63" ht="14.25" x14ac:dyDescent="0.2">
      <c r="BH8674" s="25"/>
      <c r="BI8674" s="25"/>
      <c r="BJ8674" s="25"/>
      <c r="BK8674" s="25"/>
    </row>
    <row r="8675" spans="60:63" ht="14.25" x14ac:dyDescent="0.2">
      <c r="BH8675" s="25"/>
      <c r="BI8675" s="25"/>
      <c r="BJ8675" s="25"/>
      <c r="BK8675" s="25"/>
    </row>
    <row r="8676" spans="60:63" ht="14.25" x14ac:dyDescent="0.2">
      <c r="BH8676" s="25"/>
      <c r="BI8676" s="25"/>
      <c r="BJ8676" s="25"/>
      <c r="BK8676" s="25"/>
    </row>
    <row r="8677" spans="60:63" ht="14.25" x14ac:dyDescent="0.2">
      <c r="BH8677" s="25"/>
      <c r="BI8677" s="25"/>
      <c r="BJ8677" s="25"/>
      <c r="BK8677" s="25"/>
    </row>
    <row r="8678" spans="60:63" ht="14.25" x14ac:dyDescent="0.2">
      <c r="BH8678" s="25"/>
      <c r="BI8678" s="25"/>
      <c r="BJ8678" s="25"/>
      <c r="BK8678" s="25"/>
    </row>
    <row r="8679" spans="60:63" ht="14.25" x14ac:dyDescent="0.2">
      <c r="BH8679" s="25"/>
      <c r="BI8679" s="25"/>
      <c r="BJ8679" s="25"/>
      <c r="BK8679" s="25"/>
    </row>
    <row r="8680" spans="60:63" ht="14.25" x14ac:dyDescent="0.2">
      <c r="BH8680" s="25"/>
      <c r="BI8680" s="25"/>
      <c r="BJ8680" s="25"/>
      <c r="BK8680" s="25"/>
    </row>
    <row r="8681" spans="60:63" ht="14.25" x14ac:dyDescent="0.2">
      <c r="BH8681" s="25"/>
      <c r="BI8681" s="25"/>
      <c r="BJ8681" s="25"/>
      <c r="BK8681" s="25"/>
    </row>
    <row r="8682" spans="60:63" ht="14.25" x14ac:dyDescent="0.2">
      <c r="BH8682" s="25"/>
      <c r="BI8682" s="25"/>
      <c r="BJ8682" s="25"/>
      <c r="BK8682" s="25"/>
    </row>
    <row r="8683" spans="60:63" ht="14.25" x14ac:dyDescent="0.2">
      <c r="BH8683" s="25"/>
      <c r="BI8683" s="25"/>
      <c r="BJ8683" s="25"/>
      <c r="BK8683" s="25"/>
    </row>
    <row r="8684" spans="60:63" ht="14.25" x14ac:dyDescent="0.2">
      <c r="BH8684" s="25"/>
      <c r="BI8684" s="25"/>
      <c r="BJ8684" s="25"/>
      <c r="BK8684" s="25"/>
    </row>
    <row r="8685" spans="60:63" ht="14.25" x14ac:dyDescent="0.2">
      <c r="BH8685" s="25"/>
      <c r="BI8685" s="25"/>
      <c r="BJ8685" s="25"/>
      <c r="BK8685" s="25"/>
    </row>
    <row r="8686" spans="60:63" ht="14.25" x14ac:dyDescent="0.2">
      <c r="BH8686" s="25"/>
      <c r="BI8686" s="25"/>
      <c r="BJ8686" s="25"/>
      <c r="BK8686" s="25"/>
    </row>
    <row r="8687" spans="60:63" ht="14.25" x14ac:dyDescent="0.2">
      <c r="BH8687" s="25"/>
      <c r="BI8687" s="25"/>
      <c r="BJ8687" s="25"/>
      <c r="BK8687" s="25"/>
    </row>
    <row r="8688" spans="60:63" ht="14.25" x14ac:dyDescent="0.2">
      <c r="BH8688" s="25"/>
      <c r="BI8688" s="25"/>
      <c r="BJ8688" s="25"/>
      <c r="BK8688" s="25"/>
    </row>
    <row r="8689" spans="60:63" ht="14.25" x14ac:dyDescent="0.2">
      <c r="BH8689" s="25"/>
      <c r="BI8689" s="25"/>
      <c r="BJ8689" s="25"/>
      <c r="BK8689" s="25"/>
    </row>
    <row r="8690" spans="60:63" ht="14.25" x14ac:dyDescent="0.2">
      <c r="BH8690" s="25"/>
      <c r="BI8690" s="25"/>
      <c r="BJ8690" s="25"/>
      <c r="BK8690" s="25"/>
    </row>
    <row r="8691" spans="60:63" ht="14.25" x14ac:dyDescent="0.2">
      <c r="BH8691" s="25"/>
      <c r="BI8691" s="25"/>
      <c r="BJ8691" s="25"/>
      <c r="BK8691" s="25"/>
    </row>
    <row r="8692" spans="60:63" ht="14.25" x14ac:dyDescent="0.2">
      <c r="BH8692" s="25"/>
      <c r="BI8692" s="25"/>
      <c r="BJ8692" s="25"/>
      <c r="BK8692" s="25"/>
    </row>
    <row r="8693" spans="60:63" ht="14.25" x14ac:dyDescent="0.2">
      <c r="BH8693" s="25"/>
      <c r="BI8693" s="25"/>
      <c r="BJ8693" s="25"/>
      <c r="BK8693" s="25"/>
    </row>
    <row r="8694" spans="60:63" ht="14.25" x14ac:dyDescent="0.2">
      <c r="BH8694" s="25"/>
      <c r="BI8694" s="25"/>
      <c r="BJ8694" s="25"/>
      <c r="BK8694" s="25"/>
    </row>
    <row r="8695" spans="60:63" ht="14.25" x14ac:dyDescent="0.2">
      <c r="BH8695" s="25"/>
      <c r="BI8695" s="25"/>
      <c r="BJ8695" s="25"/>
      <c r="BK8695" s="25"/>
    </row>
    <row r="8696" spans="60:63" ht="14.25" x14ac:dyDescent="0.2">
      <c r="BH8696" s="25"/>
      <c r="BI8696" s="25"/>
      <c r="BJ8696" s="25"/>
      <c r="BK8696" s="25"/>
    </row>
    <row r="8697" spans="60:63" ht="14.25" x14ac:dyDescent="0.2">
      <c r="BH8697" s="25"/>
      <c r="BI8697" s="25"/>
      <c r="BJ8697" s="25"/>
      <c r="BK8697" s="25"/>
    </row>
    <row r="8698" spans="60:63" ht="14.25" x14ac:dyDescent="0.2">
      <c r="BH8698" s="25"/>
      <c r="BI8698" s="25"/>
      <c r="BJ8698" s="25"/>
      <c r="BK8698" s="25"/>
    </row>
    <row r="8699" spans="60:63" ht="14.25" x14ac:dyDescent="0.2">
      <c r="BH8699" s="25"/>
      <c r="BI8699" s="25"/>
      <c r="BJ8699" s="25"/>
      <c r="BK8699" s="25"/>
    </row>
    <row r="8700" spans="60:63" ht="14.25" x14ac:dyDescent="0.2">
      <c r="BH8700" s="25"/>
      <c r="BI8700" s="25"/>
      <c r="BJ8700" s="25"/>
      <c r="BK8700" s="25"/>
    </row>
    <row r="8701" spans="60:63" ht="14.25" x14ac:dyDescent="0.2">
      <c r="BH8701" s="25"/>
      <c r="BI8701" s="25"/>
      <c r="BJ8701" s="25"/>
      <c r="BK8701" s="25"/>
    </row>
    <row r="8702" spans="60:63" ht="14.25" x14ac:dyDescent="0.2">
      <c r="BH8702" s="25"/>
      <c r="BI8702" s="25"/>
      <c r="BJ8702" s="25"/>
      <c r="BK8702" s="25"/>
    </row>
    <row r="8703" spans="60:63" ht="14.25" x14ac:dyDescent="0.2">
      <c r="BH8703" s="25"/>
      <c r="BI8703" s="25"/>
      <c r="BJ8703" s="25"/>
      <c r="BK8703" s="25"/>
    </row>
    <row r="8704" spans="60:63" ht="14.25" x14ac:dyDescent="0.2">
      <c r="BH8704" s="25"/>
      <c r="BI8704" s="25"/>
      <c r="BJ8704" s="25"/>
      <c r="BK8704" s="25"/>
    </row>
    <row r="8705" spans="60:63" ht="14.25" x14ac:dyDescent="0.2">
      <c r="BH8705" s="25"/>
      <c r="BI8705" s="25"/>
      <c r="BJ8705" s="25"/>
      <c r="BK8705" s="25"/>
    </row>
    <row r="8706" spans="60:63" ht="14.25" x14ac:dyDescent="0.2">
      <c r="BH8706" s="25"/>
      <c r="BI8706" s="25"/>
      <c r="BJ8706" s="25"/>
      <c r="BK8706" s="25"/>
    </row>
    <row r="8707" spans="60:63" ht="14.25" x14ac:dyDescent="0.2">
      <c r="BH8707" s="25"/>
      <c r="BI8707" s="25"/>
      <c r="BJ8707" s="25"/>
      <c r="BK8707" s="25"/>
    </row>
    <row r="8708" spans="60:63" ht="14.25" x14ac:dyDescent="0.2">
      <c r="BH8708" s="25"/>
      <c r="BI8708" s="25"/>
      <c r="BJ8708" s="25"/>
      <c r="BK8708" s="25"/>
    </row>
    <row r="8709" spans="60:63" ht="14.25" x14ac:dyDescent="0.2">
      <c r="BH8709" s="25"/>
      <c r="BI8709" s="25"/>
      <c r="BJ8709" s="25"/>
      <c r="BK8709" s="25"/>
    </row>
    <row r="8710" spans="60:63" ht="14.25" x14ac:dyDescent="0.2">
      <c r="BH8710" s="25"/>
      <c r="BI8710" s="25"/>
      <c r="BJ8710" s="25"/>
      <c r="BK8710" s="25"/>
    </row>
    <row r="8711" spans="60:63" ht="14.25" x14ac:dyDescent="0.2">
      <c r="BH8711" s="25"/>
      <c r="BI8711" s="25"/>
      <c r="BJ8711" s="25"/>
      <c r="BK8711" s="25"/>
    </row>
    <row r="8712" spans="60:63" ht="14.25" x14ac:dyDescent="0.2">
      <c r="BH8712" s="25"/>
      <c r="BI8712" s="25"/>
      <c r="BJ8712" s="25"/>
      <c r="BK8712" s="25"/>
    </row>
    <row r="8713" spans="60:63" ht="14.25" x14ac:dyDescent="0.2">
      <c r="BH8713" s="25"/>
      <c r="BI8713" s="25"/>
      <c r="BJ8713" s="25"/>
      <c r="BK8713" s="25"/>
    </row>
    <row r="8714" spans="60:63" ht="14.25" x14ac:dyDescent="0.2">
      <c r="BH8714" s="25"/>
      <c r="BI8714" s="25"/>
      <c r="BJ8714" s="25"/>
      <c r="BK8714" s="25"/>
    </row>
    <row r="8715" spans="60:63" ht="14.25" x14ac:dyDescent="0.2">
      <c r="BH8715" s="25"/>
      <c r="BI8715" s="25"/>
      <c r="BJ8715" s="25"/>
      <c r="BK8715" s="25"/>
    </row>
    <row r="8716" spans="60:63" ht="14.25" x14ac:dyDescent="0.2">
      <c r="BH8716" s="25"/>
      <c r="BI8716" s="25"/>
      <c r="BJ8716" s="25"/>
      <c r="BK8716" s="25"/>
    </row>
    <row r="8717" spans="60:63" ht="14.25" x14ac:dyDescent="0.2">
      <c r="BH8717" s="25"/>
      <c r="BI8717" s="25"/>
      <c r="BJ8717" s="25"/>
      <c r="BK8717" s="25"/>
    </row>
    <row r="8718" spans="60:63" ht="14.25" x14ac:dyDescent="0.2">
      <c r="BH8718" s="25"/>
      <c r="BI8718" s="25"/>
      <c r="BJ8718" s="25"/>
      <c r="BK8718" s="25"/>
    </row>
    <row r="8719" spans="60:63" ht="14.25" x14ac:dyDescent="0.2">
      <c r="BH8719" s="25"/>
      <c r="BI8719" s="25"/>
      <c r="BJ8719" s="25"/>
      <c r="BK8719" s="25"/>
    </row>
    <row r="8720" spans="60:63" ht="14.25" x14ac:dyDescent="0.2">
      <c r="BH8720" s="25"/>
      <c r="BI8720" s="25"/>
      <c r="BJ8720" s="25"/>
      <c r="BK8720" s="25"/>
    </row>
    <row r="8721" spans="60:63" ht="14.25" x14ac:dyDescent="0.2">
      <c r="BH8721" s="25"/>
      <c r="BI8721" s="25"/>
      <c r="BJ8721" s="25"/>
      <c r="BK8721" s="25"/>
    </row>
    <row r="8722" spans="60:63" ht="14.25" x14ac:dyDescent="0.2">
      <c r="BH8722" s="25"/>
      <c r="BI8722" s="25"/>
      <c r="BJ8722" s="25"/>
      <c r="BK8722" s="25"/>
    </row>
    <row r="8723" spans="60:63" ht="14.25" x14ac:dyDescent="0.2">
      <c r="BH8723" s="25"/>
      <c r="BI8723" s="25"/>
      <c r="BJ8723" s="25"/>
      <c r="BK8723" s="25"/>
    </row>
    <row r="8724" spans="60:63" ht="14.25" x14ac:dyDescent="0.2">
      <c r="BH8724" s="25"/>
      <c r="BI8724" s="25"/>
      <c r="BJ8724" s="25"/>
      <c r="BK8724" s="25"/>
    </row>
    <row r="8725" spans="60:63" ht="14.25" x14ac:dyDescent="0.2">
      <c r="BH8725" s="25"/>
      <c r="BI8725" s="25"/>
      <c r="BJ8725" s="25"/>
      <c r="BK8725" s="25"/>
    </row>
    <row r="8726" spans="60:63" ht="14.25" x14ac:dyDescent="0.2">
      <c r="BH8726" s="25"/>
      <c r="BI8726" s="25"/>
      <c r="BJ8726" s="25"/>
      <c r="BK8726" s="25"/>
    </row>
    <row r="8727" spans="60:63" ht="14.25" x14ac:dyDescent="0.2">
      <c r="BH8727" s="25"/>
      <c r="BI8727" s="25"/>
      <c r="BJ8727" s="25"/>
      <c r="BK8727" s="25"/>
    </row>
    <row r="8728" spans="60:63" ht="14.25" x14ac:dyDescent="0.2">
      <c r="BH8728" s="25"/>
      <c r="BI8728" s="25"/>
      <c r="BJ8728" s="25"/>
      <c r="BK8728" s="25"/>
    </row>
    <row r="8729" spans="60:63" ht="14.25" x14ac:dyDescent="0.2">
      <c r="BH8729" s="25"/>
      <c r="BI8729" s="25"/>
      <c r="BJ8729" s="25"/>
      <c r="BK8729" s="25"/>
    </row>
    <row r="8730" spans="60:63" ht="14.25" x14ac:dyDescent="0.2">
      <c r="BH8730" s="25"/>
      <c r="BI8730" s="25"/>
      <c r="BJ8730" s="25"/>
      <c r="BK8730" s="25"/>
    </row>
    <row r="8731" spans="60:63" ht="14.25" x14ac:dyDescent="0.2">
      <c r="BH8731" s="25"/>
      <c r="BI8731" s="25"/>
      <c r="BJ8731" s="25"/>
      <c r="BK8731" s="25"/>
    </row>
    <row r="8732" spans="60:63" ht="14.25" x14ac:dyDescent="0.2">
      <c r="BH8732" s="25"/>
      <c r="BI8732" s="25"/>
      <c r="BJ8732" s="25"/>
      <c r="BK8732" s="25"/>
    </row>
    <row r="8733" spans="60:63" ht="14.25" x14ac:dyDescent="0.2">
      <c r="BH8733" s="25"/>
      <c r="BI8733" s="25"/>
      <c r="BJ8733" s="25"/>
      <c r="BK8733" s="25"/>
    </row>
    <row r="8734" spans="60:63" ht="14.25" x14ac:dyDescent="0.2">
      <c r="BH8734" s="25"/>
      <c r="BI8734" s="25"/>
      <c r="BJ8734" s="25"/>
      <c r="BK8734" s="25"/>
    </row>
    <row r="8735" spans="60:63" ht="14.25" x14ac:dyDescent="0.2">
      <c r="BH8735" s="25"/>
      <c r="BI8735" s="25"/>
      <c r="BJ8735" s="25"/>
      <c r="BK8735" s="25"/>
    </row>
    <row r="8736" spans="60:63" ht="14.25" x14ac:dyDescent="0.2">
      <c r="BH8736" s="25"/>
      <c r="BI8736" s="25"/>
      <c r="BJ8736" s="25"/>
      <c r="BK8736" s="25"/>
    </row>
    <row r="8737" spans="60:63" ht="14.25" x14ac:dyDescent="0.2">
      <c r="BH8737" s="25"/>
      <c r="BI8737" s="25"/>
      <c r="BJ8737" s="25"/>
      <c r="BK8737" s="25"/>
    </row>
    <row r="8738" spans="60:63" ht="14.25" x14ac:dyDescent="0.2">
      <c r="BH8738" s="25"/>
      <c r="BI8738" s="25"/>
      <c r="BJ8738" s="25"/>
      <c r="BK8738" s="25"/>
    </row>
    <row r="8739" spans="60:63" ht="14.25" x14ac:dyDescent="0.2">
      <c r="BH8739" s="25"/>
      <c r="BI8739" s="25"/>
      <c r="BJ8739" s="25"/>
      <c r="BK8739" s="25"/>
    </row>
    <row r="8740" spans="60:63" ht="14.25" x14ac:dyDescent="0.2">
      <c r="BH8740" s="25"/>
      <c r="BI8740" s="25"/>
      <c r="BJ8740" s="25"/>
      <c r="BK8740" s="25"/>
    </row>
    <row r="8741" spans="60:63" ht="14.25" x14ac:dyDescent="0.2">
      <c r="BH8741" s="25"/>
      <c r="BI8741" s="25"/>
      <c r="BJ8741" s="25"/>
      <c r="BK8741" s="25"/>
    </row>
    <row r="8742" spans="60:63" ht="14.25" x14ac:dyDescent="0.2">
      <c r="BH8742" s="25"/>
      <c r="BI8742" s="25"/>
      <c r="BJ8742" s="25"/>
      <c r="BK8742" s="25"/>
    </row>
    <row r="8743" spans="60:63" ht="14.25" x14ac:dyDescent="0.2">
      <c r="BH8743" s="25"/>
      <c r="BI8743" s="25"/>
      <c r="BJ8743" s="25"/>
      <c r="BK8743" s="25"/>
    </row>
    <row r="8744" spans="60:63" ht="14.25" x14ac:dyDescent="0.2">
      <c r="BH8744" s="25"/>
      <c r="BI8744" s="25"/>
      <c r="BJ8744" s="25"/>
      <c r="BK8744" s="25"/>
    </row>
    <row r="8745" spans="60:63" ht="14.25" x14ac:dyDescent="0.2">
      <c r="BH8745" s="25"/>
      <c r="BI8745" s="25"/>
      <c r="BJ8745" s="25"/>
      <c r="BK8745" s="25"/>
    </row>
    <row r="8746" spans="60:63" ht="14.25" x14ac:dyDescent="0.2">
      <c r="BH8746" s="25"/>
      <c r="BI8746" s="25"/>
      <c r="BJ8746" s="25"/>
      <c r="BK8746" s="25"/>
    </row>
    <row r="8747" spans="60:63" ht="14.25" x14ac:dyDescent="0.2">
      <c r="BH8747" s="25"/>
      <c r="BI8747" s="25"/>
      <c r="BJ8747" s="25"/>
      <c r="BK8747" s="25"/>
    </row>
    <row r="8748" spans="60:63" ht="14.25" x14ac:dyDescent="0.2">
      <c r="BH8748" s="25"/>
      <c r="BI8748" s="25"/>
      <c r="BJ8748" s="25"/>
      <c r="BK8748" s="25"/>
    </row>
    <row r="8749" spans="60:63" ht="14.25" x14ac:dyDescent="0.2">
      <c r="BH8749" s="25"/>
      <c r="BI8749" s="25"/>
      <c r="BJ8749" s="25"/>
      <c r="BK8749" s="25"/>
    </row>
    <row r="8750" spans="60:63" ht="14.25" x14ac:dyDescent="0.2">
      <c r="BH8750" s="25"/>
      <c r="BI8750" s="25"/>
      <c r="BJ8750" s="25"/>
      <c r="BK8750" s="25"/>
    </row>
    <row r="8751" spans="60:63" ht="14.25" x14ac:dyDescent="0.2">
      <c r="BH8751" s="25"/>
      <c r="BI8751" s="25"/>
      <c r="BJ8751" s="25"/>
      <c r="BK8751" s="25"/>
    </row>
    <row r="8752" spans="60:63" ht="14.25" x14ac:dyDescent="0.2">
      <c r="BH8752" s="25"/>
      <c r="BI8752" s="25"/>
      <c r="BJ8752" s="25"/>
      <c r="BK8752" s="25"/>
    </row>
    <row r="8753" spans="60:63" ht="14.25" x14ac:dyDescent="0.2">
      <c r="BH8753" s="25"/>
      <c r="BI8753" s="25"/>
      <c r="BJ8753" s="25"/>
      <c r="BK8753" s="25"/>
    </row>
    <row r="8754" spans="60:63" ht="14.25" x14ac:dyDescent="0.2">
      <c r="BH8754" s="25"/>
      <c r="BI8754" s="25"/>
      <c r="BJ8754" s="25"/>
      <c r="BK8754" s="25"/>
    </row>
    <row r="8755" spans="60:63" ht="14.25" x14ac:dyDescent="0.2">
      <c r="BH8755" s="25"/>
      <c r="BI8755" s="25"/>
      <c r="BJ8755" s="25"/>
      <c r="BK8755" s="25"/>
    </row>
    <row r="8756" spans="60:63" ht="14.25" x14ac:dyDescent="0.2">
      <c r="BH8756" s="25"/>
      <c r="BI8756" s="25"/>
      <c r="BJ8756" s="25"/>
      <c r="BK8756" s="25"/>
    </row>
    <row r="8757" spans="60:63" ht="14.25" x14ac:dyDescent="0.2">
      <c r="BH8757" s="25"/>
      <c r="BI8757" s="25"/>
      <c r="BJ8757" s="25"/>
      <c r="BK8757" s="25"/>
    </row>
    <row r="8758" spans="60:63" ht="14.25" x14ac:dyDescent="0.2">
      <c r="BH8758" s="25"/>
      <c r="BI8758" s="25"/>
      <c r="BJ8758" s="25"/>
      <c r="BK8758" s="25"/>
    </row>
    <row r="8759" spans="60:63" ht="14.25" x14ac:dyDescent="0.2">
      <c r="BH8759" s="25"/>
      <c r="BI8759" s="25"/>
      <c r="BJ8759" s="25"/>
      <c r="BK8759" s="25"/>
    </row>
    <row r="8760" spans="60:63" ht="14.25" x14ac:dyDescent="0.2">
      <c r="BH8760" s="25"/>
      <c r="BI8760" s="25"/>
      <c r="BJ8760" s="25"/>
      <c r="BK8760" s="25"/>
    </row>
    <row r="8761" spans="60:63" ht="14.25" x14ac:dyDescent="0.2">
      <c r="BH8761" s="25"/>
      <c r="BI8761" s="25"/>
      <c r="BJ8761" s="25"/>
      <c r="BK8761" s="25"/>
    </row>
    <row r="8762" spans="60:63" ht="14.25" x14ac:dyDescent="0.2">
      <c r="BH8762" s="25"/>
      <c r="BI8762" s="25"/>
      <c r="BJ8762" s="25"/>
      <c r="BK8762" s="25"/>
    </row>
    <row r="8763" spans="60:63" ht="14.25" x14ac:dyDescent="0.2">
      <c r="BH8763" s="25"/>
      <c r="BI8763" s="25"/>
      <c r="BJ8763" s="25"/>
      <c r="BK8763" s="25"/>
    </row>
    <row r="8764" spans="60:63" ht="14.25" x14ac:dyDescent="0.2">
      <c r="BH8764" s="25"/>
      <c r="BI8764" s="25"/>
      <c r="BJ8764" s="25"/>
      <c r="BK8764" s="25"/>
    </row>
    <row r="8765" spans="60:63" ht="14.25" x14ac:dyDescent="0.2">
      <c r="BH8765" s="25"/>
      <c r="BI8765" s="25"/>
      <c r="BJ8765" s="25"/>
      <c r="BK8765" s="25"/>
    </row>
    <row r="8766" spans="60:63" ht="14.25" x14ac:dyDescent="0.2">
      <c r="BH8766" s="25"/>
      <c r="BI8766" s="25"/>
      <c r="BJ8766" s="25"/>
      <c r="BK8766" s="25"/>
    </row>
    <row r="8767" spans="60:63" ht="14.25" x14ac:dyDescent="0.2">
      <c r="BH8767" s="25"/>
      <c r="BI8767" s="25"/>
      <c r="BJ8767" s="25"/>
      <c r="BK8767" s="25"/>
    </row>
    <row r="8768" spans="60:63" ht="14.25" x14ac:dyDescent="0.2">
      <c r="BH8768" s="25"/>
      <c r="BI8768" s="25"/>
      <c r="BJ8768" s="25"/>
      <c r="BK8768" s="25"/>
    </row>
    <row r="8769" spans="60:63" ht="14.25" x14ac:dyDescent="0.2">
      <c r="BH8769" s="25"/>
      <c r="BI8769" s="25"/>
      <c r="BJ8769" s="25"/>
      <c r="BK8769" s="25"/>
    </row>
    <row r="8770" spans="60:63" ht="14.25" x14ac:dyDescent="0.2">
      <c r="BH8770" s="25"/>
      <c r="BI8770" s="25"/>
      <c r="BJ8770" s="25"/>
      <c r="BK8770" s="25"/>
    </row>
    <row r="8771" spans="60:63" ht="14.25" x14ac:dyDescent="0.2">
      <c r="BH8771" s="25"/>
      <c r="BI8771" s="25"/>
      <c r="BJ8771" s="25"/>
      <c r="BK8771" s="25"/>
    </row>
    <row r="8772" spans="60:63" ht="14.25" x14ac:dyDescent="0.2">
      <c r="BH8772" s="25"/>
      <c r="BI8772" s="25"/>
      <c r="BJ8772" s="25"/>
      <c r="BK8772" s="25"/>
    </row>
    <row r="8773" spans="60:63" ht="14.25" x14ac:dyDescent="0.2">
      <c r="BH8773" s="25"/>
      <c r="BI8773" s="25"/>
      <c r="BJ8773" s="25"/>
      <c r="BK8773" s="25"/>
    </row>
    <row r="8774" spans="60:63" ht="14.25" x14ac:dyDescent="0.2">
      <c r="BH8774" s="25"/>
      <c r="BI8774" s="25"/>
      <c r="BJ8774" s="25"/>
      <c r="BK8774" s="25"/>
    </row>
    <row r="8775" spans="60:63" ht="14.25" x14ac:dyDescent="0.2">
      <c r="BH8775" s="25"/>
      <c r="BI8775" s="25"/>
      <c r="BJ8775" s="25"/>
      <c r="BK8775" s="25"/>
    </row>
    <row r="8776" spans="60:63" ht="14.25" x14ac:dyDescent="0.2">
      <c r="BH8776" s="25"/>
      <c r="BI8776" s="25"/>
      <c r="BJ8776" s="25"/>
      <c r="BK8776" s="25"/>
    </row>
    <row r="8777" spans="60:63" ht="14.25" x14ac:dyDescent="0.2">
      <c r="BH8777" s="25"/>
      <c r="BI8777" s="25"/>
      <c r="BJ8777" s="25"/>
      <c r="BK8777" s="25"/>
    </row>
    <row r="8778" spans="60:63" ht="14.25" x14ac:dyDescent="0.2">
      <c r="BH8778" s="25"/>
      <c r="BI8778" s="25"/>
      <c r="BJ8778" s="25"/>
      <c r="BK8778" s="25"/>
    </row>
    <row r="8779" spans="60:63" ht="14.25" x14ac:dyDescent="0.2">
      <c r="BH8779" s="25"/>
      <c r="BI8779" s="25"/>
      <c r="BJ8779" s="25"/>
      <c r="BK8779" s="25"/>
    </row>
    <row r="8780" spans="60:63" ht="14.25" x14ac:dyDescent="0.2">
      <c r="BH8780" s="25"/>
      <c r="BI8780" s="25"/>
      <c r="BJ8780" s="25"/>
      <c r="BK8780" s="25"/>
    </row>
    <row r="8781" spans="60:63" ht="14.25" x14ac:dyDescent="0.2">
      <c r="BH8781" s="25"/>
      <c r="BI8781" s="25"/>
      <c r="BJ8781" s="25"/>
      <c r="BK8781" s="25"/>
    </row>
    <row r="8782" spans="60:63" ht="14.25" x14ac:dyDescent="0.2">
      <c r="BH8782" s="25"/>
      <c r="BI8782" s="25"/>
      <c r="BJ8782" s="25"/>
      <c r="BK8782" s="25"/>
    </row>
    <row r="8783" spans="60:63" ht="14.25" x14ac:dyDescent="0.2">
      <c r="BH8783" s="25"/>
      <c r="BI8783" s="25"/>
      <c r="BJ8783" s="25"/>
      <c r="BK8783" s="25"/>
    </row>
    <row r="8784" spans="60:63" ht="14.25" x14ac:dyDescent="0.2">
      <c r="BH8784" s="25"/>
      <c r="BI8784" s="25"/>
      <c r="BJ8784" s="25"/>
      <c r="BK8784" s="25"/>
    </row>
    <row r="8785" spans="60:63" ht="14.25" x14ac:dyDescent="0.2">
      <c r="BH8785" s="25"/>
      <c r="BI8785" s="25"/>
      <c r="BJ8785" s="25"/>
      <c r="BK8785" s="25"/>
    </row>
    <row r="8786" spans="60:63" ht="14.25" x14ac:dyDescent="0.2">
      <c r="BH8786" s="25"/>
      <c r="BI8786" s="25"/>
      <c r="BJ8786" s="25"/>
      <c r="BK8786" s="25"/>
    </row>
    <row r="8787" spans="60:63" ht="14.25" x14ac:dyDescent="0.2">
      <c r="BH8787" s="25"/>
      <c r="BI8787" s="25"/>
      <c r="BJ8787" s="25"/>
      <c r="BK8787" s="25"/>
    </row>
    <row r="8788" spans="60:63" ht="14.25" x14ac:dyDescent="0.2">
      <c r="BH8788" s="25"/>
      <c r="BI8788" s="25"/>
      <c r="BJ8788" s="25"/>
      <c r="BK8788" s="25"/>
    </row>
    <row r="8789" spans="60:63" ht="14.25" x14ac:dyDescent="0.2">
      <c r="BH8789" s="25"/>
      <c r="BI8789" s="25"/>
      <c r="BJ8789" s="25"/>
      <c r="BK8789" s="25"/>
    </row>
    <row r="8790" spans="60:63" ht="14.25" x14ac:dyDescent="0.2">
      <c r="BH8790" s="25"/>
      <c r="BI8790" s="25"/>
      <c r="BJ8790" s="25"/>
      <c r="BK8790" s="25"/>
    </row>
    <row r="8791" spans="60:63" ht="14.25" x14ac:dyDescent="0.2">
      <c r="BH8791" s="25"/>
      <c r="BI8791" s="25"/>
      <c r="BJ8791" s="25"/>
      <c r="BK8791" s="25"/>
    </row>
    <row r="8792" spans="60:63" ht="14.25" x14ac:dyDescent="0.2">
      <c r="BH8792" s="25"/>
      <c r="BI8792" s="25"/>
      <c r="BJ8792" s="25"/>
      <c r="BK8792" s="25"/>
    </row>
    <row r="8793" spans="60:63" ht="14.25" x14ac:dyDescent="0.2">
      <c r="BH8793" s="25"/>
      <c r="BI8793" s="25"/>
      <c r="BJ8793" s="25"/>
      <c r="BK8793" s="25"/>
    </row>
    <row r="8794" spans="60:63" ht="14.25" x14ac:dyDescent="0.2">
      <c r="BH8794" s="25"/>
      <c r="BI8794" s="25"/>
      <c r="BJ8794" s="25"/>
      <c r="BK8794" s="25"/>
    </row>
    <row r="8795" spans="60:63" ht="14.25" x14ac:dyDescent="0.2">
      <c r="BH8795" s="25"/>
      <c r="BI8795" s="25"/>
      <c r="BJ8795" s="25"/>
      <c r="BK8795" s="25"/>
    </row>
    <row r="8796" spans="60:63" ht="14.25" x14ac:dyDescent="0.2">
      <c r="BH8796" s="25"/>
      <c r="BI8796" s="25"/>
      <c r="BJ8796" s="25"/>
      <c r="BK8796" s="25"/>
    </row>
    <row r="8797" spans="60:63" ht="14.25" x14ac:dyDescent="0.2">
      <c r="BH8797" s="25"/>
      <c r="BI8797" s="25"/>
      <c r="BJ8797" s="25"/>
      <c r="BK8797" s="25"/>
    </row>
    <row r="8798" spans="60:63" ht="14.25" x14ac:dyDescent="0.2">
      <c r="BH8798" s="25"/>
      <c r="BI8798" s="25"/>
      <c r="BJ8798" s="25"/>
      <c r="BK8798" s="25"/>
    </row>
    <row r="8799" spans="60:63" ht="14.25" x14ac:dyDescent="0.2">
      <c r="BH8799" s="25"/>
      <c r="BI8799" s="25"/>
      <c r="BJ8799" s="25"/>
      <c r="BK8799" s="25"/>
    </row>
    <row r="8800" spans="60:63" ht="14.25" x14ac:dyDescent="0.2">
      <c r="BH8800" s="25"/>
      <c r="BI8800" s="25"/>
      <c r="BJ8800" s="25"/>
      <c r="BK8800" s="25"/>
    </row>
    <row r="8801" spans="60:63" ht="14.25" x14ac:dyDescent="0.2">
      <c r="BH8801" s="25"/>
      <c r="BI8801" s="25"/>
      <c r="BJ8801" s="25"/>
      <c r="BK8801" s="25"/>
    </row>
    <row r="8802" spans="60:63" ht="14.25" x14ac:dyDescent="0.2">
      <c r="BH8802" s="25"/>
      <c r="BI8802" s="25"/>
      <c r="BJ8802" s="25"/>
      <c r="BK8802" s="25"/>
    </row>
    <row r="8803" spans="60:63" ht="14.25" x14ac:dyDescent="0.2">
      <c r="BH8803" s="25"/>
      <c r="BI8803" s="25"/>
      <c r="BJ8803" s="25"/>
      <c r="BK8803" s="25"/>
    </row>
    <row r="8804" spans="60:63" ht="14.25" x14ac:dyDescent="0.2">
      <c r="BH8804" s="25"/>
      <c r="BI8804" s="25"/>
      <c r="BJ8804" s="25"/>
      <c r="BK8804" s="25"/>
    </row>
    <row r="8805" spans="60:63" ht="14.25" x14ac:dyDescent="0.2">
      <c r="BH8805" s="25"/>
      <c r="BI8805" s="25"/>
      <c r="BJ8805" s="25"/>
      <c r="BK8805" s="25"/>
    </row>
    <row r="8806" spans="60:63" ht="14.25" x14ac:dyDescent="0.2">
      <c r="BH8806" s="25"/>
      <c r="BI8806" s="25"/>
      <c r="BJ8806" s="25"/>
      <c r="BK8806" s="25"/>
    </row>
    <row r="8807" spans="60:63" ht="14.25" x14ac:dyDescent="0.2">
      <c r="BH8807" s="25"/>
      <c r="BI8807" s="25"/>
      <c r="BJ8807" s="25"/>
      <c r="BK8807" s="25"/>
    </row>
    <row r="8808" spans="60:63" ht="14.25" x14ac:dyDescent="0.2">
      <c r="BH8808" s="25"/>
      <c r="BI8808" s="25"/>
      <c r="BJ8808" s="25"/>
      <c r="BK8808" s="25"/>
    </row>
    <row r="8809" spans="60:63" ht="14.25" x14ac:dyDescent="0.2">
      <c r="BH8809" s="25"/>
      <c r="BI8809" s="25"/>
      <c r="BJ8809" s="25"/>
      <c r="BK8809" s="25"/>
    </row>
    <row r="8810" spans="60:63" ht="14.25" x14ac:dyDescent="0.2">
      <c r="BH8810" s="25"/>
      <c r="BI8810" s="25"/>
      <c r="BJ8810" s="25"/>
      <c r="BK8810" s="25"/>
    </row>
    <row r="8811" spans="60:63" ht="14.25" x14ac:dyDescent="0.2">
      <c r="BH8811" s="25"/>
      <c r="BI8811" s="25"/>
      <c r="BJ8811" s="25"/>
      <c r="BK8811" s="25"/>
    </row>
    <row r="8812" spans="60:63" ht="14.25" x14ac:dyDescent="0.2">
      <c r="BH8812" s="25"/>
      <c r="BI8812" s="25"/>
      <c r="BJ8812" s="25"/>
      <c r="BK8812" s="25"/>
    </row>
    <row r="8813" spans="60:63" ht="14.25" x14ac:dyDescent="0.2">
      <c r="BH8813" s="25"/>
      <c r="BI8813" s="25"/>
      <c r="BJ8813" s="25"/>
      <c r="BK8813" s="25"/>
    </row>
    <row r="8814" spans="60:63" ht="14.25" x14ac:dyDescent="0.2">
      <c r="BH8814" s="25"/>
      <c r="BI8814" s="25"/>
      <c r="BJ8814" s="25"/>
      <c r="BK8814" s="25"/>
    </row>
    <row r="8815" spans="60:63" ht="14.25" x14ac:dyDescent="0.2">
      <c r="BH8815" s="25"/>
      <c r="BI8815" s="25"/>
      <c r="BJ8815" s="25"/>
      <c r="BK8815" s="25"/>
    </row>
    <row r="8816" spans="60:63" ht="14.25" x14ac:dyDescent="0.2">
      <c r="BH8816" s="25"/>
      <c r="BI8816" s="25"/>
      <c r="BJ8816" s="25"/>
      <c r="BK8816" s="25"/>
    </row>
    <row r="8817" spans="60:63" ht="14.25" x14ac:dyDescent="0.2">
      <c r="BH8817" s="25"/>
      <c r="BI8817" s="25"/>
      <c r="BJ8817" s="25"/>
      <c r="BK8817" s="25"/>
    </row>
    <row r="8818" spans="60:63" ht="14.25" x14ac:dyDescent="0.2">
      <c r="BH8818" s="25"/>
      <c r="BI8818" s="25"/>
      <c r="BJ8818" s="25"/>
      <c r="BK8818" s="25"/>
    </row>
    <row r="8819" spans="60:63" ht="14.25" x14ac:dyDescent="0.2">
      <c r="BH8819" s="25"/>
      <c r="BI8819" s="25"/>
      <c r="BJ8819" s="25"/>
      <c r="BK8819" s="25"/>
    </row>
    <row r="8820" spans="60:63" ht="14.25" x14ac:dyDescent="0.2">
      <c r="BH8820" s="25"/>
      <c r="BI8820" s="25"/>
      <c r="BJ8820" s="25"/>
      <c r="BK8820" s="25"/>
    </row>
    <row r="8821" spans="60:63" ht="14.25" x14ac:dyDescent="0.2">
      <c r="BH8821" s="25"/>
      <c r="BI8821" s="25"/>
      <c r="BJ8821" s="25"/>
      <c r="BK8821" s="25"/>
    </row>
    <row r="8822" spans="60:63" ht="14.25" x14ac:dyDescent="0.2">
      <c r="BH8822" s="25"/>
      <c r="BI8822" s="25"/>
      <c r="BJ8822" s="25"/>
      <c r="BK8822" s="25"/>
    </row>
    <row r="8823" spans="60:63" ht="14.25" x14ac:dyDescent="0.2">
      <c r="BH8823" s="25"/>
      <c r="BI8823" s="25"/>
      <c r="BJ8823" s="25"/>
      <c r="BK8823" s="25"/>
    </row>
    <row r="8824" spans="60:63" ht="14.25" x14ac:dyDescent="0.2">
      <c r="BH8824" s="25"/>
      <c r="BI8824" s="25"/>
      <c r="BJ8824" s="25"/>
      <c r="BK8824" s="25"/>
    </row>
    <row r="8825" spans="60:63" ht="14.25" x14ac:dyDescent="0.2">
      <c r="BH8825" s="25"/>
      <c r="BI8825" s="25"/>
      <c r="BJ8825" s="25"/>
      <c r="BK8825" s="25"/>
    </row>
    <row r="8826" spans="60:63" ht="14.25" x14ac:dyDescent="0.2">
      <c r="BH8826" s="25"/>
      <c r="BI8826" s="25"/>
      <c r="BJ8826" s="25"/>
      <c r="BK8826" s="25"/>
    </row>
    <row r="8827" spans="60:63" ht="14.25" x14ac:dyDescent="0.2">
      <c r="BH8827" s="25"/>
      <c r="BI8827" s="25"/>
      <c r="BJ8827" s="25"/>
      <c r="BK8827" s="25"/>
    </row>
    <row r="8828" spans="60:63" ht="14.25" x14ac:dyDescent="0.2">
      <c r="BH8828" s="25"/>
      <c r="BI8828" s="25"/>
      <c r="BJ8828" s="25"/>
      <c r="BK8828" s="25"/>
    </row>
    <row r="8829" spans="60:63" ht="14.25" x14ac:dyDescent="0.2">
      <c r="BH8829" s="25"/>
      <c r="BI8829" s="25"/>
      <c r="BJ8829" s="25"/>
      <c r="BK8829" s="25"/>
    </row>
    <row r="8830" spans="60:63" ht="14.25" x14ac:dyDescent="0.2">
      <c r="BH8830" s="25"/>
      <c r="BI8830" s="25"/>
      <c r="BJ8830" s="25"/>
      <c r="BK8830" s="25"/>
    </row>
    <row r="8831" spans="60:63" ht="14.25" x14ac:dyDescent="0.2">
      <c r="BH8831" s="25"/>
      <c r="BI8831" s="25"/>
      <c r="BJ8831" s="25"/>
      <c r="BK8831" s="25"/>
    </row>
    <row r="8832" spans="60:63" ht="14.25" x14ac:dyDescent="0.2">
      <c r="BH8832" s="25"/>
      <c r="BI8832" s="25"/>
      <c r="BJ8832" s="25"/>
      <c r="BK8832" s="25"/>
    </row>
    <row r="8833" spans="60:63" ht="14.25" x14ac:dyDescent="0.2">
      <c r="BH8833" s="25"/>
      <c r="BI8833" s="25"/>
      <c r="BJ8833" s="25"/>
      <c r="BK8833" s="25"/>
    </row>
    <row r="8834" spans="60:63" ht="14.25" x14ac:dyDescent="0.2">
      <c r="BH8834" s="25"/>
      <c r="BI8834" s="25"/>
      <c r="BJ8834" s="25"/>
      <c r="BK8834" s="25"/>
    </row>
    <row r="8835" spans="60:63" ht="14.25" x14ac:dyDescent="0.2">
      <c r="BH8835" s="25"/>
      <c r="BI8835" s="25"/>
      <c r="BJ8835" s="25"/>
      <c r="BK8835" s="25"/>
    </row>
    <row r="8836" spans="60:63" ht="14.25" x14ac:dyDescent="0.2">
      <c r="BH8836" s="25"/>
      <c r="BI8836" s="25"/>
      <c r="BJ8836" s="25"/>
      <c r="BK8836" s="25"/>
    </row>
    <row r="8837" spans="60:63" ht="14.25" x14ac:dyDescent="0.2">
      <c r="BH8837" s="25"/>
      <c r="BI8837" s="25"/>
      <c r="BJ8837" s="25"/>
      <c r="BK8837" s="25"/>
    </row>
    <row r="8838" spans="60:63" ht="14.25" x14ac:dyDescent="0.2">
      <c r="BH8838" s="25"/>
      <c r="BI8838" s="25"/>
      <c r="BJ8838" s="25"/>
      <c r="BK8838" s="25"/>
    </row>
    <row r="8839" spans="60:63" ht="14.25" x14ac:dyDescent="0.2">
      <c r="BH8839" s="25"/>
      <c r="BI8839" s="25"/>
      <c r="BJ8839" s="25"/>
      <c r="BK8839" s="25"/>
    </row>
    <row r="8840" spans="60:63" ht="14.25" x14ac:dyDescent="0.2">
      <c r="BH8840" s="25"/>
      <c r="BI8840" s="25"/>
      <c r="BJ8840" s="25"/>
      <c r="BK8840" s="25"/>
    </row>
    <row r="8841" spans="60:63" ht="14.25" x14ac:dyDescent="0.2">
      <c r="BH8841" s="25"/>
      <c r="BI8841" s="25"/>
      <c r="BJ8841" s="25"/>
      <c r="BK8841" s="25"/>
    </row>
    <row r="8842" spans="60:63" ht="14.25" x14ac:dyDescent="0.2">
      <c r="BH8842" s="25"/>
      <c r="BI8842" s="25"/>
      <c r="BJ8842" s="25"/>
      <c r="BK8842" s="25"/>
    </row>
    <row r="8843" spans="60:63" ht="14.25" x14ac:dyDescent="0.2">
      <c r="BH8843" s="25"/>
      <c r="BI8843" s="25"/>
      <c r="BJ8843" s="25"/>
      <c r="BK8843" s="25"/>
    </row>
    <row r="8844" spans="60:63" ht="14.25" x14ac:dyDescent="0.2">
      <c r="BH8844" s="25"/>
      <c r="BI8844" s="25"/>
      <c r="BJ8844" s="25"/>
      <c r="BK8844" s="25"/>
    </row>
    <row r="8845" spans="60:63" ht="14.25" x14ac:dyDescent="0.2">
      <c r="BH8845" s="25"/>
      <c r="BI8845" s="25"/>
      <c r="BJ8845" s="25"/>
      <c r="BK8845" s="25"/>
    </row>
    <row r="8846" spans="60:63" ht="14.25" x14ac:dyDescent="0.2">
      <c r="BH8846" s="25"/>
      <c r="BI8846" s="25"/>
      <c r="BJ8846" s="25"/>
      <c r="BK8846" s="25"/>
    </row>
    <row r="8847" spans="60:63" ht="14.25" x14ac:dyDescent="0.2">
      <c r="BH8847" s="25"/>
      <c r="BI8847" s="25"/>
      <c r="BJ8847" s="25"/>
      <c r="BK8847" s="25"/>
    </row>
    <row r="8848" spans="60:63" ht="14.25" x14ac:dyDescent="0.2">
      <c r="BH8848" s="25"/>
      <c r="BI8848" s="25"/>
      <c r="BJ8848" s="25"/>
      <c r="BK8848" s="25"/>
    </row>
    <row r="8849" spans="60:63" ht="14.25" x14ac:dyDescent="0.2">
      <c r="BH8849" s="25"/>
      <c r="BI8849" s="25"/>
      <c r="BJ8849" s="25"/>
      <c r="BK8849" s="25"/>
    </row>
    <row r="8850" spans="60:63" ht="14.25" x14ac:dyDescent="0.2">
      <c r="BH8850" s="25"/>
      <c r="BI8850" s="25"/>
      <c r="BJ8850" s="25"/>
      <c r="BK8850" s="25"/>
    </row>
    <row r="8851" spans="60:63" ht="14.25" x14ac:dyDescent="0.2">
      <c r="BH8851" s="25"/>
      <c r="BI8851" s="25"/>
      <c r="BJ8851" s="25"/>
      <c r="BK8851" s="25"/>
    </row>
    <row r="8852" spans="60:63" ht="14.25" x14ac:dyDescent="0.2">
      <c r="BH8852" s="25"/>
      <c r="BI8852" s="25"/>
      <c r="BJ8852" s="25"/>
      <c r="BK8852" s="25"/>
    </row>
    <row r="8853" spans="60:63" ht="14.25" x14ac:dyDescent="0.2">
      <c r="BH8853" s="25"/>
      <c r="BI8853" s="25"/>
      <c r="BJ8853" s="25"/>
      <c r="BK8853" s="25"/>
    </row>
    <row r="8854" spans="60:63" ht="14.25" x14ac:dyDescent="0.2">
      <c r="BH8854" s="25"/>
      <c r="BI8854" s="25"/>
      <c r="BJ8854" s="25"/>
      <c r="BK8854" s="25"/>
    </row>
    <row r="8855" spans="60:63" ht="14.25" x14ac:dyDescent="0.2">
      <c r="BH8855" s="25"/>
      <c r="BI8855" s="25"/>
      <c r="BJ8855" s="25"/>
      <c r="BK8855" s="25"/>
    </row>
    <row r="8856" spans="60:63" ht="14.25" x14ac:dyDescent="0.2">
      <c r="BH8856" s="25"/>
      <c r="BI8856" s="25"/>
      <c r="BJ8856" s="25"/>
      <c r="BK8856" s="25"/>
    </row>
    <row r="8857" spans="60:63" ht="14.25" x14ac:dyDescent="0.2">
      <c r="BH8857" s="25"/>
      <c r="BI8857" s="25"/>
      <c r="BJ8857" s="25"/>
      <c r="BK8857" s="25"/>
    </row>
    <row r="8858" spans="60:63" ht="14.25" x14ac:dyDescent="0.2">
      <c r="BH8858" s="25"/>
      <c r="BI8858" s="25"/>
      <c r="BJ8858" s="25"/>
      <c r="BK8858" s="25"/>
    </row>
    <row r="8859" spans="60:63" ht="14.25" x14ac:dyDescent="0.2">
      <c r="BH8859" s="25"/>
      <c r="BI8859" s="25"/>
      <c r="BJ8859" s="25"/>
      <c r="BK8859" s="25"/>
    </row>
    <row r="8860" spans="60:63" ht="14.25" x14ac:dyDescent="0.2">
      <c r="BH8860" s="25"/>
      <c r="BI8860" s="25"/>
      <c r="BJ8860" s="25"/>
      <c r="BK8860" s="25"/>
    </row>
    <row r="8861" spans="60:63" ht="14.25" x14ac:dyDescent="0.2">
      <c r="BH8861" s="25"/>
      <c r="BI8861" s="25"/>
      <c r="BJ8861" s="25"/>
      <c r="BK8861" s="25"/>
    </row>
    <row r="8862" spans="60:63" ht="14.25" x14ac:dyDescent="0.2">
      <c r="BH8862" s="25"/>
      <c r="BI8862" s="25"/>
      <c r="BJ8862" s="25"/>
      <c r="BK8862" s="25"/>
    </row>
    <row r="8863" spans="60:63" ht="14.25" x14ac:dyDescent="0.2">
      <c r="BH8863" s="25"/>
      <c r="BI8863" s="25"/>
      <c r="BJ8863" s="25"/>
      <c r="BK8863" s="25"/>
    </row>
    <row r="8864" spans="60:63" ht="14.25" x14ac:dyDescent="0.2">
      <c r="BH8864" s="25"/>
      <c r="BI8864" s="25"/>
      <c r="BJ8864" s="25"/>
      <c r="BK8864" s="25"/>
    </row>
    <row r="8865" spans="60:63" ht="14.25" x14ac:dyDescent="0.2">
      <c r="BH8865" s="25"/>
      <c r="BI8865" s="25"/>
      <c r="BJ8865" s="25"/>
      <c r="BK8865" s="25"/>
    </row>
    <row r="8866" spans="60:63" ht="14.25" x14ac:dyDescent="0.2">
      <c r="BH8866" s="25"/>
      <c r="BI8866" s="25"/>
      <c r="BJ8866" s="25"/>
      <c r="BK8866" s="25"/>
    </row>
    <row r="8867" spans="60:63" ht="14.25" x14ac:dyDescent="0.2">
      <c r="BH8867" s="25"/>
      <c r="BI8867" s="25"/>
      <c r="BJ8867" s="25"/>
      <c r="BK8867" s="25"/>
    </row>
    <row r="8868" spans="60:63" ht="14.25" x14ac:dyDescent="0.2">
      <c r="BH8868" s="25"/>
      <c r="BI8868" s="25"/>
      <c r="BJ8868" s="25"/>
      <c r="BK8868" s="25"/>
    </row>
    <row r="8869" spans="60:63" ht="14.25" x14ac:dyDescent="0.2">
      <c r="BH8869" s="25"/>
      <c r="BI8869" s="25"/>
      <c r="BJ8869" s="25"/>
      <c r="BK8869" s="25"/>
    </row>
    <row r="8870" spans="60:63" ht="14.25" x14ac:dyDescent="0.2">
      <c r="BH8870" s="25"/>
      <c r="BI8870" s="25"/>
      <c r="BJ8870" s="25"/>
      <c r="BK8870" s="25"/>
    </row>
    <row r="8871" spans="60:63" ht="14.25" x14ac:dyDescent="0.2">
      <c r="BH8871" s="25"/>
      <c r="BI8871" s="25"/>
      <c r="BJ8871" s="25"/>
      <c r="BK8871" s="25"/>
    </row>
    <row r="8872" spans="60:63" ht="14.25" x14ac:dyDescent="0.2">
      <c r="BH8872" s="25"/>
      <c r="BI8872" s="25"/>
      <c r="BJ8872" s="25"/>
      <c r="BK8872" s="25"/>
    </row>
    <row r="8873" spans="60:63" ht="14.25" x14ac:dyDescent="0.2">
      <c r="BH8873" s="25"/>
      <c r="BI8873" s="25"/>
      <c r="BJ8873" s="25"/>
      <c r="BK8873" s="25"/>
    </row>
    <row r="8874" spans="60:63" ht="14.25" x14ac:dyDescent="0.2">
      <c r="BH8874" s="25"/>
      <c r="BI8874" s="25"/>
      <c r="BJ8874" s="25"/>
      <c r="BK8874" s="25"/>
    </row>
    <row r="8875" spans="60:63" ht="14.25" x14ac:dyDescent="0.2">
      <c r="BH8875" s="25"/>
      <c r="BI8875" s="25"/>
      <c r="BJ8875" s="25"/>
      <c r="BK8875" s="25"/>
    </row>
    <row r="8876" spans="60:63" ht="14.25" x14ac:dyDescent="0.2">
      <c r="BH8876" s="25"/>
      <c r="BI8876" s="25"/>
      <c r="BJ8876" s="25"/>
      <c r="BK8876" s="25"/>
    </row>
    <row r="8877" spans="60:63" ht="14.25" x14ac:dyDescent="0.2">
      <c r="BH8877" s="25"/>
      <c r="BI8877" s="25"/>
      <c r="BJ8877" s="25"/>
      <c r="BK8877" s="25"/>
    </row>
    <row r="8878" spans="60:63" ht="14.25" x14ac:dyDescent="0.2">
      <c r="BH8878" s="25"/>
      <c r="BI8878" s="25"/>
      <c r="BJ8878" s="25"/>
      <c r="BK8878" s="25"/>
    </row>
    <row r="8879" spans="60:63" ht="14.25" x14ac:dyDescent="0.2">
      <c r="BH8879" s="25"/>
      <c r="BI8879" s="25"/>
      <c r="BJ8879" s="25"/>
      <c r="BK8879" s="25"/>
    </row>
    <row r="8880" spans="60:63" ht="14.25" x14ac:dyDescent="0.2">
      <c r="BH8880" s="25"/>
      <c r="BI8880" s="25"/>
      <c r="BJ8880" s="25"/>
      <c r="BK8880" s="25"/>
    </row>
    <row r="8881" spans="60:63" ht="14.25" x14ac:dyDescent="0.2">
      <c r="BH8881" s="25"/>
      <c r="BI8881" s="25"/>
      <c r="BJ8881" s="25"/>
      <c r="BK8881" s="25"/>
    </row>
    <row r="8882" spans="60:63" ht="14.25" x14ac:dyDescent="0.2">
      <c r="BH8882" s="25"/>
      <c r="BI8882" s="25"/>
      <c r="BJ8882" s="25"/>
      <c r="BK8882" s="25"/>
    </row>
    <row r="8883" spans="60:63" ht="14.25" x14ac:dyDescent="0.2">
      <c r="BH8883" s="25"/>
      <c r="BI8883" s="25"/>
      <c r="BJ8883" s="25"/>
      <c r="BK8883" s="25"/>
    </row>
    <row r="8884" spans="60:63" ht="14.25" x14ac:dyDescent="0.2">
      <c r="BH8884" s="25"/>
      <c r="BI8884" s="25"/>
      <c r="BJ8884" s="25"/>
      <c r="BK8884" s="25"/>
    </row>
    <row r="8885" spans="60:63" ht="14.25" x14ac:dyDescent="0.2">
      <c r="BH8885" s="25"/>
      <c r="BI8885" s="25"/>
      <c r="BJ8885" s="25"/>
      <c r="BK8885" s="25"/>
    </row>
    <row r="8886" spans="60:63" ht="14.25" x14ac:dyDescent="0.2">
      <c r="BH8886" s="25"/>
      <c r="BI8886" s="25"/>
      <c r="BJ8886" s="25"/>
      <c r="BK8886" s="25"/>
    </row>
    <row r="8887" spans="60:63" ht="14.25" x14ac:dyDescent="0.2">
      <c r="BH8887" s="25"/>
      <c r="BI8887" s="25"/>
      <c r="BJ8887" s="25"/>
      <c r="BK8887" s="25"/>
    </row>
    <row r="8888" spans="60:63" ht="14.25" x14ac:dyDescent="0.2">
      <c r="BH8888" s="25"/>
      <c r="BI8888" s="25"/>
      <c r="BJ8888" s="25"/>
      <c r="BK8888" s="25"/>
    </row>
    <row r="8889" spans="60:63" ht="14.25" x14ac:dyDescent="0.2">
      <c r="BH8889" s="25"/>
      <c r="BI8889" s="25"/>
      <c r="BJ8889" s="25"/>
      <c r="BK8889" s="25"/>
    </row>
    <row r="8890" spans="60:63" ht="14.25" x14ac:dyDescent="0.2">
      <c r="BH8890" s="25"/>
      <c r="BI8890" s="25"/>
      <c r="BJ8890" s="25"/>
      <c r="BK8890" s="25"/>
    </row>
    <row r="8891" spans="60:63" ht="14.25" x14ac:dyDescent="0.2">
      <c r="BH8891" s="25"/>
      <c r="BI8891" s="25"/>
      <c r="BJ8891" s="25"/>
      <c r="BK8891" s="25"/>
    </row>
    <row r="8892" spans="60:63" ht="14.25" x14ac:dyDescent="0.2">
      <c r="BH8892" s="25"/>
      <c r="BI8892" s="25"/>
      <c r="BJ8892" s="25"/>
      <c r="BK8892" s="25"/>
    </row>
    <row r="8893" spans="60:63" ht="14.25" x14ac:dyDescent="0.2">
      <c r="BH8893" s="25"/>
      <c r="BI8893" s="25"/>
      <c r="BJ8893" s="25"/>
      <c r="BK8893" s="25"/>
    </row>
    <row r="8894" spans="60:63" ht="14.25" x14ac:dyDescent="0.2">
      <c r="BH8894" s="25"/>
      <c r="BI8894" s="25"/>
      <c r="BJ8894" s="25"/>
      <c r="BK8894" s="25"/>
    </row>
    <row r="8895" spans="60:63" ht="14.25" x14ac:dyDescent="0.2">
      <c r="BH8895" s="25"/>
      <c r="BI8895" s="25"/>
      <c r="BJ8895" s="25"/>
      <c r="BK8895" s="25"/>
    </row>
    <row r="8896" spans="60:63" ht="14.25" x14ac:dyDescent="0.2">
      <c r="BH8896" s="25"/>
      <c r="BI8896" s="25"/>
      <c r="BJ8896" s="25"/>
      <c r="BK8896" s="25"/>
    </row>
    <row r="8897" spans="60:63" ht="14.25" x14ac:dyDescent="0.2">
      <c r="BH8897" s="25"/>
      <c r="BI8897" s="25"/>
      <c r="BJ8897" s="25"/>
      <c r="BK8897" s="25"/>
    </row>
    <row r="8898" spans="60:63" ht="14.25" x14ac:dyDescent="0.2">
      <c r="BH8898" s="25"/>
      <c r="BI8898" s="25"/>
      <c r="BJ8898" s="25"/>
      <c r="BK8898" s="25"/>
    </row>
    <row r="8899" spans="60:63" ht="14.25" x14ac:dyDescent="0.2">
      <c r="BH8899" s="25"/>
      <c r="BI8899" s="25"/>
      <c r="BJ8899" s="25"/>
      <c r="BK8899" s="25"/>
    </row>
    <row r="8900" spans="60:63" ht="14.25" x14ac:dyDescent="0.2">
      <c r="BH8900" s="25"/>
      <c r="BI8900" s="25"/>
      <c r="BJ8900" s="25"/>
      <c r="BK8900" s="25"/>
    </row>
    <row r="8901" spans="60:63" ht="14.25" x14ac:dyDescent="0.2">
      <c r="BH8901" s="25"/>
      <c r="BI8901" s="25"/>
      <c r="BJ8901" s="25"/>
      <c r="BK8901" s="25"/>
    </row>
    <row r="8902" spans="60:63" ht="14.25" x14ac:dyDescent="0.2">
      <c r="BH8902" s="25"/>
      <c r="BI8902" s="25"/>
      <c r="BJ8902" s="25"/>
      <c r="BK8902" s="25"/>
    </row>
    <row r="8903" spans="60:63" ht="14.25" x14ac:dyDescent="0.2">
      <c r="BH8903" s="25"/>
      <c r="BI8903" s="25"/>
      <c r="BJ8903" s="25"/>
      <c r="BK8903" s="25"/>
    </row>
    <row r="8904" spans="60:63" ht="14.25" x14ac:dyDescent="0.2">
      <c r="BH8904" s="25"/>
      <c r="BI8904" s="25"/>
      <c r="BJ8904" s="25"/>
      <c r="BK8904" s="25"/>
    </row>
    <row r="8905" spans="60:63" ht="14.25" x14ac:dyDescent="0.2">
      <c r="BH8905" s="25"/>
      <c r="BI8905" s="25"/>
      <c r="BJ8905" s="25"/>
      <c r="BK8905" s="25"/>
    </row>
    <row r="8906" spans="60:63" ht="14.25" x14ac:dyDescent="0.2">
      <c r="BH8906" s="25"/>
      <c r="BI8906" s="25"/>
      <c r="BJ8906" s="25"/>
      <c r="BK8906" s="25"/>
    </row>
    <row r="8907" spans="60:63" ht="14.25" x14ac:dyDescent="0.2">
      <c r="BH8907" s="25"/>
      <c r="BI8907" s="25"/>
      <c r="BJ8907" s="25"/>
      <c r="BK8907" s="25"/>
    </row>
    <row r="8908" spans="60:63" ht="14.25" x14ac:dyDescent="0.2">
      <c r="BH8908" s="25"/>
      <c r="BI8908" s="25"/>
      <c r="BJ8908" s="25"/>
      <c r="BK8908" s="25"/>
    </row>
    <row r="8909" spans="60:63" ht="14.25" x14ac:dyDescent="0.2">
      <c r="BH8909" s="25"/>
      <c r="BI8909" s="25"/>
      <c r="BJ8909" s="25"/>
      <c r="BK8909" s="25"/>
    </row>
    <row r="8910" spans="60:63" ht="14.25" x14ac:dyDescent="0.2">
      <c r="BH8910" s="25"/>
      <c r="BI8910" s="25"/>
      <c r="BJ8910" s="25"/>
      <c r="BK8910" s="25"/>
    </row>
    <row r="8911" spans="60:63" ht="14.25" x14ac:dyDescent="0.2">
      <c r="BH8911" s="25"/>
      <c r="BI8911" s="25"/>
      <c r="BJ8911" s="25"/>
      <c r="BK8911" s="25"/>
    </row>
    <row r="8912" spans="60:63" ht="14.25" x14ac:dyDescent="0.2">
      <c r="BH8912" s="25"/>
      <c r="BI8912" s="25"/>
      <c r="BJ8912" s="25"/>
      <c r="BK8912" s="25"/>
    </row>
    <row r="8913" spans="60:63" ht="14.25" x14ac:dyDescent="0.2">
      <c r="BH8913" s="25"/>
      <c r="BI8913" s="25"/>
      <c r="BJ8913" s="25"/>
      <c r="BK8913" s="25"/>
    </row>
    <row r="8914" spans="60:63" ht="14.25" x14ac:dyDescent="0.2">
      <c r="BH8914" s="25"/>
      <c r="BI8914" s="25"/>
      <c r="BJ8914" s="25"/>
      <c r="BK8914" s="25"/>
    </row>
    <row r="8915" spans="60:63" ht="14.25" x14ac:dyDescent="0.2">
      <c r="BH8915" s="25"/>
      <c r="BI8915" s="25"/>
      <c r="BJ8915" s="25"/>
      <c r="BK8915" s="25"/>
    </row>
    <row r="8916" spans="60:63" ht="14.25" x14ac:dyDescent="0.2">
      <c r="BH8916" s="25"/>
      <c r="BI8916" s="25"/>
      <c r="BJ8916" s="25"/>
      <c r="BK8916" s="25"/>
    </row>
    <row r="8917" spans="60:63" ht="14.25" x14ac:dyDescent="0.2">
      <c r="BH8917" s="25"/>
      <c r="BI8917" s="25"/>
      <c r="BJ8917" s="25"/>
      <c r="BK8917" s="25"/>
    </row>
    <row r="8918" spans="60:63" ht="14.25" x14ac:dyDescent="0.2">
      <c r="BH8918" s="25"/>
      <c r="BI8918" s="25"/>
      <c r="BJ8918" s="25"/>
      <c r="BK8918" s="25"/>
    </row>
    <row r="8919" spans="60:63" ht="14.25" x14ac:dyDescent="0.2">
      <c r="BH8919" s="25"/>
      <c r="BI8919" s="25"/>
      <c r="BJ8919" s="25"/>
      <c r="BK8919" s="25"/>
    </row>
    <row r="8920" spans="60:63" ht="14.25" x14ac:dyDescent="0.2">
      <c r="BH8920" s="25"/>
      <c r="BI8920" s="25"/>
      <c r="BJ8920" s="25"/>
      <c r="BK8920" s="25"/>
    </row>
    <row r="8921" spans="60:63" ht="14.25" x14ac:dyDescent="0.2">
      <c r="BH8921" s="25"/>
      <c r="BI8921" s="25"/>
      <c r="BJ8921" s="25"/>
      <c r="BK8921" s="25"/>
    </row>
    <row r="8922" spans="60:63" ht="14.25" x14ac:dyDescent="0.2">
      <c r="BH8922" s="25"/>
      <c r="BI8922" s="25"/>
      <c r="BJ8922" s="25"/>
      <c r="BK8922" s="25"/>
    </row>
    <row r="8923" spans="60:63" ht="14.25" x14ac:dyDescent="0.2">
      <c r="BH8923" s="25"/>
      <c r="BI8923" s="25"/>
      <c r="BJ8923" s="25"/>
      <c r="BK8923" s="25"/>
    </row>
    <row r="8924" spans="60:63" ht="14.25" x14ac:dyDescent="0.2">
      <c r="BH8924" s="25"/>
      <c r="BI8924" s="25"/>
      <c r="BJ8924" s="25"/>
      <c r="BK8924" s="25"/>
    </row>
    <row r="8925" spans="60:63" ht="14.25" x14ac:dyDescent="0.2">
      <c r="BH8925" s="25"/>
      <c r="BI8925" s="25"/>
      <c r="BJ8925" s="25"/>
      <c r="BK8925" s="25"/>
    </row>
    <row r="8926" spans="60:63" ht="14.25" x14ac:dyDescent="0.2">
      <c r="BH8926" s="25"/>
      <c r="BI8926" s="25"/>
      <c r="BJ8926" s="25"/>
      <c r="BK8926" s="25"/>
    </row>
    <row r="8927" spans="60:63" ht="14.25" x14ac:dyDescent="0.2">
      <c r="BH8927" s="25"/>
      <c r="BI8927" s="25"/>
      <c r="BJ8927" s="25"/>
      <c r="BK8927" s="25"/>
    </row>
    <row r="8928" spans="60:63" ht="14.25" x14ac:dyDescent="0.2">
      <c r="BH8928" s="25"/>
      <c r="BI8928" s="25"/>
      <c r="BJ8928" s="25"/>
      <c r="BK8928" s="25"/>
    </row>
    <row r="8929" spans="60:63" ht="14.25" x14ac:dyDescent="0.2">
      <c r="BH8929" s="25"/>
      <c r="BI8929" s="25"/>
      <c r="BJ8929" s="25"/>
      <c r="BK8929" s="25"/>
    </row>
    <row r="8930" spans="60:63" ht="14.25" x14ac:dyDescent="0.2">
      <c r="BH8930" s="25"/>
      <c r="BI8930" s="25"/>
      <c r="BJ8930" s="25"/>
      <c r="BK8930" s="25"/>
    </row>
    <row r="8931" spans="60:63" ht="14.25" x14ac:dyDescent="0.2">
      <c r="BH8931" s="25"/>
      <c r="BI8931" s="25"/>
      <c r="BJ8931" s="25"/>
      <c r="BK8931" s="25"/>
    </row>
    <row r="8932" spans="60:63" ht="14.25" x14ac:dyDescent="0.2">
      <c r="BH8932" s="25"/>
      <c r="BI8932" s="25"/>
      <c r="BJ8932" s="25"/>
      <c r="BK8932" s="25"/>
    </row>
    <row r="8933" spans="60:63" ht="14.25" x14ac:dyDescent="0.2">
      <c r="BH8933" s="25"/>
      <c r="BI8933" s="25"/>
      <c r="BJ8933" s="25"/>
      <c r="BK8933" s="25"/>
    </row>
    <row r="8934" spans="60:63" ht="14.25" x14ac:dyDescent="0.2">
      <c r="BH8934" s="25"/>
      <c r="BI8934" s="25"/>
      <c r="BJ8934" s="25"/>
      <c r="BK8934" s="25"/>
    </row>
    <row r="8935" spans="60:63" ht="14.25" x14ac:dyDescent="0.2">
      <c r="BH8935" s="25"/>
      <c r="BI8935" s="25"/>
      <c r="BJ8935" s="25"/>
      <c r="BK8935" s="25"/>
    </row>
    <row r="8936" spans="60:63" ht="14.25" x14ac:dyDescent="0.2">
      <c r="BH8936" s="25"/>
      <c r="BI8936" s="25"/>
      <c r="BJ8936" s="25"/>
      <c r="BK8936" s="25"/>
    </row>
    <row r="8937" spans="60:63" ht="14.25" x14ac:dyDescent="0.2">
      <c r="BH8937" s="25"/>
      <c r="BI8937" s="25"/>
      <c r="BJ8937" s="25"/>
      <c r="BK8937" s="25"/>
    </row>
    <row r="8938" spans="60:63" ht="14.25" x14ac:dyDescent="0.2">
      <c r="BH8938" s="25"/>
      <c r="BI8938" s="25"/>
      <c r="BJ8938" s="25"/>
      <c r="BK8938" s="25"/>
    </row>
    <row r="8939" spans="60:63" ht="14.25" x14ac:dyDescent="0.2">
      <c r="BH8939" s="25"/>
      <c r="BI8939" s="25"/>
      <c r="BJ8939" s="25"/>
      <c r="BK8939" s="25"/>
    </row>
    <row r="8940" spans="60:63" ht="14.25" x14ac:dyDescent="0.2">
      <c r="BH8940" s="25"/>
      <c r="BI8940" s="25"/>
      <c r="BJ8940" s="25"/>
      <c r="BK8940" s="25"/>
    </row>
    <row r="8941" spans="60:63" ht="14.25" x14ac:dyDescent="0.2">
      <c r="BH8941" s="25"/>
      <c r="BI8941" s="25"/>
      <c r="BJ8941" s="25"/>
      <c r="BK8941" s="25"/>
    </row>
    <row r="8942" spans="60:63" ht="14.25" x14ac:dyDescent="0.2">
      <c r="BH8942" s="25"/>
      <c r="BI8942" s="25"/>
      <c r="BJ8942" s="25"/>
      <c r="BK8942" s="25"/>
    </row>
    <row r="8943" spans="60:63" ht="14.25" x14ac:dyDescent="0.2">
      <c r="BH8943" s="25"/>
      <c r="BI8943" s="25"/>
      <c r="BJ8943" s="25"/>
      <c r="BK8943" s="25"/>
    </row>
    <row r="8944" spans="60:63" ht="14.25" x14ac:dyDescent="0.2">
      <c r="BH8944" s="25"/>
      <c r="BI8944" s="25"/>
      <c r="BJ8944" s="25"/>
      <c r="BK8944" s="25"/>
    </row>
    <row r="8945" spans="60:63" ht="14.25" x14ac:dyDescent="0.2">
      <c r="BH8945" s="25"/>
      <c r="BI8945" s="25"/>
      <c r="BJ8945" s="25"/>
      <c r="BK8945" s="25"/>
    </row>
    <row r="8946" spans="60:63" ht="14.25" x14ac:dyDescent="0.2">
      <c r="BH8946" s="25"/>
      <c r="BI8946" s="25"/>
      <c r="BJ8946" s="25"/>
      <c r="BK8946" s="25"/>
    </row>
    <row r="8947" spans="60:63" ht="14.25" x14ac:dyDescent="0.2">
      <c r="BH8947" s="25"/>
      <c r="BI8947" s="25"/>
      <c r="BJ8947" s="25"/>
      <c r="BK8947" s="25"/>
    </row>
    <row r="8948" spans="60:63" ht="14.25" x14ac:dyDescent="0.2">
      <c r="BH8948" s="25"/>
      <c r="BI8948" s="25"/>
      <c r="BJ8948" s="25"/>
      <c r="BK8948" s="25"/>
    </row>
    <row r="8949" spans="60:63" ht="14.25" x14ac:dyDescent="0.2">
      <c r="BH8949" s="25"/>
      <c r="BI8949" s="25"/>
      <c r="BJ8949" s="25"/>
      <c r="BK8949" s="25"/>
    </row>
    <row r="8950" spans="60:63" ht="14.25" x14ac:dyDescent="0.2">
      <c r="BH8950" s="25"/>
      <c r="BI8950" s="25"/>
      <c r="BJ8950" s="25"/>
      <c r="BK8950" s="25"/>
    </row>
    <row r="8951" spans="60:63" ht="14.25" x14ac:dyDescent="0.2">
      <c r="BH8951" s="25"/>
      <c r="BI8951" s="25"/>
      <c r="BJ8951" s="25"/>
      <c r="BK8951" s="25"/>
    </row>
    <row r="8952" spans="60:63" ht="14.25" x14ac:dyDescent="0.2">
      <c r="BH8952" s="25"/>
      <c r="BI8952" s="25"/>
      <c r="BJ8952" s="25"/>
      <c r="BK8952" s="25"/>
    </row>
    <row r="8953" spans="60:63" ht="14.25" x14ac:dyDescent="0.2">
      <c r="BH8953" s="25"/>
      <c r="BI8953" s="25"/>
      <c r="BJ8953" s="25"/>
      <c r="BK8953" s="25"/>
    </row>
    <row r="8954" spans="60:63" ht="14.25" x14ac:dyDescent="0.2">
      <c r="BH8954" s="25"/>
      <c r="BI8954" s="25"/>
      <c r="BJ8954" s="25"/>
      <c r="BK8954" s="25"/>
    </row>
    <row r="8955" spans="60:63" ht="14.25" x14ac:dyDescent="0.2">
      <c r="BH8955" s="25"/>
      <c r="BI8955" s="25"/>
      <c r="BJ8955" s="25"/>
      <c r="BK8955" s="25"/>
    </row>
    <row r="8956" spans="60:63" ht="14.25" x14ac:dyDescent="0.2">
      <c r="BH8956" s="25"/>
      <c r="BI8956" s="25"/>
      <c r="BJ8956" s="25"/>
      <c r="BK8956" s="25"/>
    </row>
    <row r="8957" spans="60:63" ht="14.25" x14ac:dyDescent="0.2">
      <c r="BH8957" s="25"/>
      <c r="BI8957" s="25"/>
      <c r="BJ8957" s="25"/>
      <c r="BK8957" s="25"/>
    </row>
    <row r="8958" spans="60:63" ht="14.25" x14ac:dyDescent="0.2">
      <c r="BH8958" s="25"/>
      <c r="BI8958" s="25"/>
      <c r="BJ8958" s="25"/>
      <c r="BK8958" s="25"/>
    </row>
    <row r="8959" spans="60:63" ht="14.25" x14ac:dyDescent="0.2">
      <c r="BH8959" s="25"/>
      <c r="BI8959" s="25"/>
      <c r="BJ8959" s="25"/>
      <c r="BK8959" s="25"/>
    </row>
    <row r="8960" spans="60:63" ht="14.25" x14ac:dyDescent="0.2">
      <c r="BH8960" s="25"/>
      <c r="BI8960" s="25"/>
      <c r="BJ8960" s="25"/>
      <c r="BK8960" s="25"/>
    </row>
    <row r="8961" spans="60:63" ht="14.25" x14ac:dyDescent="0.2">
      <c r="BH8961" s="25"/>
      <c r="BI8961" s="25"/>
      <c r="BJ8961" s="25"/>
      <c r="BK8961" s="25"/>
    </row>
    <row r="8962" spans="60:63" ht="14.25" x14ac:dyDescent="0.2">
      <c r="BH8962" s="25"/>
      <c r="BI8962" s="25"/>
      <c r="BJ8962" s="25"/>
      <c r="BK8962" s="25"/>
    </row>
    <row r="8963" spans="60:63" ht="14.25" x14ac:dyDescent="0.2">
      <c r="BH8963" s="25"/>
      <c r="BI8963" s="25"/>
      <c r="BJ8963" s="25"/>
      <c r="BK8963" s="25"/>
    </row>
    <row r="8964" spans="60:63" ht="14.25" x14ac:dyDescent="0.2">
      <c r="BH8964" s="25"/>
      <c r="BI8964" s="25"/>
      <c r="BJ8964" s="25"/>
      <c r="BK8964" s="25"/>
    </row>
    <row r="8965" spans="60:63" ht="14.25" x14ac:dyDescent="0.2">
      <c r="BH8965" s="25"/>
      <c r="BI8965" s="25"/>
      <c r="BJ8965" s="25"/>
      <c r="BK8965" s="25"/>
    </row>
    <row r="8966" spans="60:63" ht="14.25" x14ac:dyDescent="0.2">
      <c r="BH8966" s="25"/>
      <c r="BI8966" s="25"/>
      <c r="BJ8966" s="25"/>
      <c r="BK8966" s="25"/>
    </row>
    <row r="8967" spans="60:63" ht="14.25" x14ac:dyDescent="0.2">
      <c r="BH8967" s="25"/>
      <c r="BI8967" s="25"/>
      <c r="BJ8967" s="25"/>
      <c r="BK8967" s="25"/>
    </row>
    <row r="8968" spans="60:63" ht="14.25" x14ac:dyDescent="0.2">
      <c r="BH8968" s="25"/>
      <c r="BI8968" s="25"/>
      <c r="BJ8968" s="25"/>
      <c r="BK8968" s="25"/>
    </row>
    <row r="8969" spans="60:63" ht="14.25" x14ac:dyDescent="0.2">
      <c r="BH8969" s="25"/>
      <c r="BI8969" s="25"/>
      <c r="BJ8969" s="25"/>
      <c r="BK8969" s="25"/>
    </row>
    <row r="8970" spans="60:63" ht="14.25" x14ac:dyDescent="0.2">
      <c r="BH8970" s="25"/>
      <c r="BI8970" s="25"/>
      <c r="BJ8970" s="25"/>
      <c r="BK8970" s="25"/>
    </row>
    <row r="8971" spans="60:63" ht="14.25" x14ac:dyDescent="0.2">
      <c r="BH8971" s="25"/>
      <c r="BI8971" s="25"/>
      <c r="BJ8971" s="25"/>
      <c r="BK8971" s="25"/>
    </row>
    <row r="8972" spans="60:63" ht="14.25" x14ac:dyDescent="0.2">
      <c r="BH8972" s="25"/>
      <c r="BI8972" s="25"/>
      <c r="BJ8972" s="25"/>
      <c r="BK8972" s="25"/>
    </row>
    <row r="8973" spans="60:63" ht="14.25" x14ac:dyDescent="0.2">
      <c r="BH8973" s="25"/>
      <c r="BI8973" s="25"/>
      <c r="BJ8973" s="25"/>
      <c r="BK8973" s="25"/>
    </row>
    <row r="8974" spans="60:63" ht="14.25" x14ac:dyDescent="0.2">
      <c r="BH8974" s="25"/>
      <c r="BI8974" s="25"/>
      <c r="BJ8974" s="25"/>
      <c r="BK8974" s="25"/>
    </row>
    <row r="8975" spans="60:63" ht="14.25" x14ac:dyDescent="0.2">
      <c r="BH8975" s="25"/>
      <c r="BI8975" s="25"/>
      <c r="BJ8975" s="25"/>
      <c r="BK8975" s="25"/>
    </row>
    <row r="8976" spans="60:63" ht="14.25" x14ac:dyDescent="0.2">
      <c r="BH8976" s="25"/>
      <c r="BI8976" s="25"/>
      <c r="BJ8976" s="25"/>
      <c r="BK8976" s="25"/>
    </row>
    <row r="8977" spans="60:63" ht="14.25" x14ac:dyDescent="0.2">
      <c r="BH8977" s="25"/>
      <c r="BI8977" s="25"/>
      <c r="BJ8977" s="25"/>
      <c r="BK8977" s="25"/>
    </row>
    <row r="8978" spans="60:63" ht="14.25" x14ac:dyDescent="0.2">
      <c r="BH8978" s="25"/>
      <c r="BI8978" s="25"/>
      <c r="BJ8978" s="25"/>
      <c r="BK8978" s="25"/>
    </row>
    <row r="8979" spans="60:63" ht="14.25" x14ac:dyDescent="0.2">
      <c r="BH8979" s="25"/>
      <c r="BI8979" s="25"/>
      <c r="BJ8979" s="25"/>
      <c r="BK8979" s="25"/>
    </row>
    <row r="8980" spans="60:63" ht="14.25" x14ac:dyDescent="0.2">
      <c r="BH8980" s="25"/>
      <c r="BI8980" s="25"/>
      <c r="BJ8980" s="25"/>
      <c r="BK8980" s="25"/>
    </row>
    <row r="8981" spans="60:63" ht="14.25" x14ac:dyDescent="0.2">
      <c r="BH8981" s="25"/>
      <c r="BI8981" s="25"/>
      <c r="BJ8981" s="25"/>
      <c r="BK8981" s="25"/>
    </row>
    <row r="8982" spans="60:63" ht="14.25" x14ac:dyDescent="0.2">
      <c r="BH8982" s="25"/>
      <c r="BI8982" s="25"/>
      <c r="BJ8982" s="25"/>
      <c r="BK8982" s="25"/>
    </row>
    <row r="8983" spans="60:63" ht="14.25" x14ac:dyDescent="0.2">
      <c r="BH8983" s="25"/>
      <c r="BI8983" s="25"/>
      <c r="BJ8983" s="25"/>
      <c r="BK8983" s="25"/>
    </row>
    <row r="8984" spans="60:63" ht="14.25" x14ac:dyDescent="0.2">
      <c r="BH8984" s="25"/>
      <c r="BI8984" s="25"/>
      <c r="BJ8984" s="25"/>
      <c r="BK8984" s="25"/>
    </row>
    <row r="8985" spans="60:63" ht="14.25" x14ac:dyDescent="0.2">
      <c r="BH8985" s="25"/>
      <c r="BI8985" s="25"/>
      <c r="BJ8985" s="25"/>
      <c r="BK8985" s="25"/>
    </row>
    <row r="8986" spans="60:63" ht="14.25" x14ac:dyDescent="0.2">
      <c r="BH8986" s="25"/>
      <c r="BI8986" s="25"/>
      <c r="BJ8986" s="25"/>
      <c r="BK8986" s="25"/>
    </row>
    <row r="8987" spans="60:63" ht="14.25" x14ac:dyDescent="0.2">
      <c r="BH8987" s="25"/>
      <c r="BI8987" s="25"/>
      <c r="BJ8987" s="25"/>
      <c r="BK8987" s="25"/>
    </row>
    <row r="8988" spans="60:63" ht="14.25" x14ac:dyDescent="0.2">
      <c r="BH8988" s="25"/>
      <c r="BI8988" s="25"/>
      <c r="BJ8988" s="25"/>
      <c r="BK8988" s="25"/>
    </row>
    <row r="8989" spans="60:63" ht="14.25" x14ac:dyDescent="0.2">
      <c r="BH8989" s="25"/>
      <c r="BI8989" s="25"/>
      <c r="BJ8989" s="25"/>
      <c r="BK8989" s="25"/>
    </row>
    <row r="8990" spans="60:63" ht="14.25" x14ac:dyDescent="0.2">
      <c r="BH8990" s="25"/>
      <c r="BI8990" s="25"/>
      <c r="BJ8990" s="25"/>
      <c r="BK8990" s="25"/>
    </row>
    <row r="8991" spans="60:63" ht="14.25" x14ac:dyDescent="0.2">
      <c r="BH8991" s="25"/>
      <c r="BI8991" s="25"/>
      <c r="BJ8991" s="25"/>
      <c r="BK8991" s="25"/>
    </row>
    <row r="8992" spans="60:63" ht="14.25" x14ac:dyDescent="0.2">
      <c r="BH8992" s="25"/>
      <c r="BI8992" s="25"/>
      <c r="BJ8992" s="25"/>
      <c r="BK8992" s="25"/>
    </row>
    <row r="8993" spans="60:63" ht="14.25" x14ac:dyDescent="0.2">
      <c r="BH8993" s="25"/>
      <c r="BI8993" s="25"/>
      <c r="BJ8993" s="25"/>
      <c r="BK8993" s="25"/>
    </row>
    <row r="8994" spans="60:63" ht="14.25" x14ac:dyDescent="0.2">
      <c r="BH8994" s="25"/>
      <c r="BI8994" s="25"/>
      <c r="BJ8994" s="25"/>
      <c r="BK8994" s="25"/>
    </row>
    <row r="8995" spans="60:63" ht="14.25" x14ac:dyDescent="0.2">
      <c r="BH8995" s="25"/>
      <c r="BI8995" s="25"/>
      <c r="BJ8995" s="25"/>
      <c r="BK8995" s="25"/>
    </row>
    <row r="8996" spans="60:63" ht="14.25" x14ac:dyDescent="0.2">
      <c r="BH8996" s="25"/>
      <c r="BI8996" s="25"/>
      <c r="BJ8996" s="25"/>
      <c r="BK8996" s="25"/>
    </row>
    <row r="8997" spans="60:63" ht="14.25" x14ac:dyDescent="0.2">
      <c r="BH8997" s="25"/>
      <c r="BI8997" s="25"/>
      <c r="BJ8997" s="25"/>
      <c r="BK8997" s="25"/>
    </row>
    <row r="8998" spans="60:63" ht="14.25" x14ac:dyDescent="0.2">
      <c r="BH8998" s="25"/>
      <c r="BI8998" s="25"/>
      <c r="BJ8998" s="25"/>
      <c r="BK8998" s="25"/>
    </row>
    <row r="8999" spans="60:63" ht="14.25" x14ac:dyDescent="0.2">
      <c r="BH8999" s="25"/>
      <c r="BI8999" s="25"/>
      <c r="BJ8999" s="25"/>
      <c r="BK8999" s="25"/>
    </row>
    <row r="9000" spans="60:63" ht="14.25" x14ac:dyDescent="0.2">
      <c r="BH9000" s="25"/>
      <c r="BI9000" s="25"/>
      <c r="BJ9000" s="25"/>
      <c r="BK9000" s="25"/>
    </row>
    <row r="9001" spans="60:63" ht="14.25" x14ac:dyDescent="0.2">
      <c r="BH9001" s="25"/>
      <c r="BI9001" s="25"/>
      <c r="BJ9001" s="25"/>
      <c r="BK9001" s="25"/>
    </row>
    <row r="9002" spans="60:63" ht="14.25" x14ac:dyDescent="0.2">
      <c r="BH9002" s="25"/>
      <c r="BI9002" s="25"/>
      <c r="BJ9002" s="25"/>
      <c r="BK9002" s="25"/>
    </row>
    <row r="9003" spans="60:63" ht="14.25" x14ac:dyDescent="0.2">
      <c r="BH9003" s="25"/>
      <c r="BI9003" s="25"/>
      <c r="BJ9003" s="25"/>
      <c r="BK9003" s="25"/>
    </row>
    <row r="9004" spans="60:63" ht="14.25" x14ac:dyDescent="0.2">
      <c r="BH9004" s="25"/>
      <c r="BI9004" s="25"/>
      <c r="BJ9004" s="25"/>
      <c r="BK9004" s="25"/>
    </row>
    <row r="9005" spans="60:63" ht="14.25" x14ac:dyDescent="0.2">
      <c r="BH9005" s="25"/>
      <c r="BI9005" s="25"/>
      <c r="BJ9005" s="25"/>
      <c r="BK9005" s="25"/>
    </row>
    <row r="9006" spans="60:63" ht="14.25" x14ac:dyDescent="0.2">
      <c r="BH9006" s="25"/>
      <c r="BI9006" s="25"/>
      <c r="BJ9006" s="25"/>
      <c r="BK9006" s="25"/>
    </row>
    <row r="9007" spans="60:63" ht="14.25" x14ac:dyDescent="0.2">
      <c r="BH9007" s="25"/>
      <c r="BI9007" s="25"/>
      <c r="BJ9007" s="25"/>
      <c r="BK9007" s="25"/>
    </row>
    <row r="9008" spans="60:63" ht="14.25" x14ac:dyDescent="0.2">
      <c r="BH9008" s="25"/>
      <c r="BI9008" s="25"/>
      <c r="BJ9008" s="25"/>
      <c r="BK9008" s="25"/>
    </row>
    <row r="9009" spans="60:63" ht="14.25" x14ac:dyDescent="0.2">
      <c r="BH9009" s="25"/>
      <c r="BI9009" s="25"/>
      <c r="BJ9009" s="25"/>
      <c r="BK9009" s="25"/>
    </row>
    <row r="9010" spans="60:63" ht="14.25" x14ac:dyDescent="0.2">
      <c r="BH9010" s="25"/>
      <c r="BI9010" s="25"/>
      <c r="BJ9010" s="25"/>
      <c r="BK9010" s="25"/>
    </row>
    <row r="9011" spans="60:63" ht="14.25" x14ac:dyDescent="0.2">
      <c r="BH9011" s="25"/>
      <c r="BI9011" s="25"/>
      <c r="BJ9011" s="25"/>
      <c r="BK9011" s="25"/>
    </row>
    <row r="9012" spans="60:63" ht="14.25" x14ac:dyDescent="0.2">
      <c r="BH9012" s="25"/>
      <c r="BI9012" s="25"/>
      <c r="BJ9012" s="25"/>
      <c r="BK9012" s="25"/>
    </row>
    <row r="9013" spans="60:63" ht="14.25" x14ac:dyDescent="0.2">
      <c r="BH9013" s="25"/>
      <c r="BI9013" s="25"/>
      <c r="BJ9013" s="25"/>
      <c r="BK9013" s="25"/>
    </row>
    <row r="9014" spans="60:63" ht="14.25" x14ac:dyDescent="0.2">
      <c r="BH9014" s="25"/>
      <c r="BI9014" s="25"/>
      <c r="BJ9014" s="25"/>
      <c r="BK9014" s="25"/>
    </row>
    <row r="9015" spans="60:63" ht="14.25" x14ac:dyDescent="0.2">
      <c r="BH9015" s="25"/>
      <c r="BI9015" s="25"/>
      <c r="BJ9015" s="25"/>
      <c r="BK9015" s="25"/>
    </row>
    <row r="9016" spans="60:63" ht="14.25" x14ac:dyDescent="0.2">
      <c r="BH9016" s="25"/>
      <c r="BI9016" s="25"/>
      <c r="BJ9016" s="25"/>
      <c r="BK9016" s="25"/>
    </row>
    <row r="9017" spans="60:63" ht="14.25" x14ac:dyDescent="0.2">
      <c r="BH9017" s="25"/>
      <c r="BI9017" s="25"/>
      <c r="BJ9017" s="25"/>
      <c r="BK9017" s="25"/>
    </row>
    <row r="9018" spans="60:63" ht="14.25" x14ac:dyDescent="0.2">
      <c r="BH9018" s="25"/>
      <c r="BI9018" s="25"/>
      <c r="BJ9018" s="25"/>
      <c r="BK9018" s="25"/>
    </row>
    <row r="9019" spans="60:63" ht="14.25" x14ac:dyDescent="0.2">
      <c r="BH9019" s="25"/>
      <c r="BI9019" s="25"/>
      <c r="BJ9019" s="25"/>
      <c r="BK9019" s="25"/>
    </row>
    <row r="9020" spans="60:63" ht="14.25" x14ac:dyDescent="0.2">
      <c r="BH9020" s="25"/>
      <c r="BI9020" s="25"/>
      <c r="BJ9020" s="25"/>
      <c r="BK9020" s="25"/>
    </row>
    <row r="9021" spans="60:63" ht="14.25" x14ac:dyDescent="0.2">
      <c r="BH9021" s="25"/>
      <c r="BI9021" s="25"/>
      <c r="BJ9021" s="25"/>
      <c r="BK9021" s="25"/>
    </row>
    <row r="9022" spans="60:63" ht="14.25" x14ac:dyDescent="0.2">
      <c r="BH9022" s="25"/>
      <c r="BI9022" s="25"/>
      <c r="BJ9022" s="25"/>
      <c r="BK9022" s="25"/>
    </row>
    <row r="9023" spans="60:63" ht="14.25" x14ac:dyDescent="0.2">
      <c r="BH9023" s="25"/>
      <c r="BI9023" s="25"/>
      <c r="BJ9023" s="25"/>
      <c r="BK9023" s="25"/>
    </row>
    <row r="9024" spans="60:63" ht="14.25" x14ac:dyDescent="0.2">
      <c r="BH9024" s="25"/>
      <c r="BI9024" s="25"/>
      <c r="BJ9024" s="25"/>
      <c r="BK9024" s="25"/>
    </row>
    <row r="9025" spans="60:63" ht="14.25" x14ac:dyDescent="0.2">
      <c r="BH9025" s="25"/>
      <c r="BI9025" s="25"/>
      <c r="BJ9025" s="25"/>
      <c r="BK9025" s="25"/>
    </row>
    <row r="9026" spans="60:63" ht="14.25" x14ac:dyDescent="0.2">
      <c r="BH9026" s="25"/>
      <c r="BI9026" s="25"/>
      <c r="BJ9026" s="25"/>
      <c r="BK9026" s="25"/>
    </row>
    <row r="9027" spans="60:63" ht="14.25" x14ac:dyDescent="0.2">
      <c r="BH9027" s="25"/>
      <c r="BI9027" s="25"/>
      <c r="BJ9027" s="25"/>
      <c r="BK9027" s="25"/>
    </row>
    <row r="9028" spans="60:63" ht="14.25" x14ac:dyDescent="0.2">
      <c r="BH9028" s="25"/>
      <c r="BI9028" s="25"/>
      <c r="BJ9028" s="25"/>
      <c r="BK9028" s="25"/>
    </row>
    <row r="9029" spans="60:63" ht="14.25" x14ac:dyDescent="0.2">
      <c r="BH9029" s="25"/>
      <c r="BI9029" s="25"/>
      <c r="BJ9029" s="25"/>
      <c r="BK9029" s="25"/>
    </row>
    <row r="9030" spans="60:63" ht="14.25" x14ac:dyDescent="0.2">
      <c r="BH9030" s="25"/>
      <c r="BI9030" s="25"/>
      <c r="BJ9030" s="25"/>
      <c r="BK9030" s="25"/>
    </row>
    <row r="9031" spans="60:63" ht="14.25" x14ac:dyDescent="0.2">
      <c r="BH9031" s="25"/>
      <c r="BI9031" s="25"/>
      <c r="BJ9031" s="25"/>
      <c r="BK9031" s="25"/>
    </row>
    <row r="9032" spans="60:63" ht="14.25" x14ac:dyDescent="0.2">
      <c r="BH9032" s="25"/>
      <c r="BI9032" s="25"/>
      <c r="BJ9032" s="25"/>
      <c r="BK9032" s="25"/>
    </row>
    <row r="9033" spans="60:63" ht="14.25" x14ac:dyDescent="0.2">
      <c r="BH9033" s="25"/>
      <c r="BI9033" s="25"/>
      <c r="BJ9033" s="25"/>
      <c r="BK9033" s="25"/>
    </row>
    <row r="9034" spans="60:63" ht="14.25" x14ac:dyDescent="0.2">
      <c r="BH9034" s="25"/>
      <c r="BI9034" s="25"/>
      <c r="BJ9034" s="25"/>
      <c r="BK9034" s="25"/>
    </row>
    <row r="9035" spans="60:63" ht="14.25" x14ac:dyDescent="0.2">
      <c r="BH9035" s="25"/>
      <c r="BI9035" s="25"/>
      <c r="BJ9035" s="25"/>
      <c r="BK9035" s="25"/>
    </row>
    <row r="9036" spans="60:63" ht="14.25" x14ac:dyDescent="0.2">
      <c r="BH9036" s="25"/>
      <c r="BI9036" s="25"/>
      <c r="BJ9036" s="25"/>
      <c r="BK9036" s="25"/>
    </row>
    <row r="9037" spans="60:63" ht="14.25" x14ac:dyDescent="0.2">
      <c r="BH9037" s="25"/>
      <c r="BI9037" s="25"/>
      <c r="BJ9037" s="25"/>
      <c r="BK9037" s="25"/>
    </row>
    <row r="9038" spans="60:63" ht="14.25" x14ac:dyDescent="0.2">
      <c r="BH9038" s="25"/>
      <c r="BI9038" s="25"/>
      <c r="BJ9038" s="25"/>
      <c r="BK9038" s="25"/>
    </row>
    <row r="9039" spans="60:63" ht="14.25" x14ac:dyDescent="0.2">
      <c r="BH9039" s="25"/>
      <c r="BI9039" s="25"/>
      <c r="BJ9039" s="25"/>
      <c r="BK9039" s="25"/>
    </row>
    <row r="9040" spans="60:63" ht="14.25" x14ac:dyDescent="0.2">
      <c r="BH9040" s="25"/>
      <c r="BI9040" s="25"/>
      <c r="BJ9040" s="25"/>
      <c r="BK9040" s="25"/>
    </row>
    <row r="9041" spans="60:63" ht="14.25" x14ac:dyDescent="0.2">
      <c r="BH9041" s="25"/>
      <c r="BI9041" s="25"/>
      <c r="BJ9041" s="25"/>
      <c r="BK9041" s="25"/>
    </row>
    <row r="9042" spans="60:63" ht="14.25" x14ac:dyDescent="0.2">
      <c r="BH9042" s="25"/>
      <c r="BI9042" s="25"/>
      <c r="BJ9042" s="25"/>
      <c r="BK9042" s="25"/>
    </row>
    <row r="9043" spans="60:63" ht="14.25" x14ac:dyDescent="0.2">
      <c r="BH9043" s="25"/>
      <c r="BI9043" s="25"/>
      <c r="BJ9043" s="25"/>
      <c r="BK9043" s="25"/>
    </row>
    <row r="9044" spans="60:63" ht="14.25" x14ac:dyDescent="0.2">
      <c r="BH9044" s="25"/>
      <c r="BI9044" s="25"/>
      <c r="BJ9044" s="25"/>
      <c r="BK9044" s="25"/>
    </row>
    <row r="9045" spans="60:63" ht="14.25" x14ac:dyDescent="0.2">
      <c r="BH9045" s="25"/>
      <c r="BI9045" s="25"/>
      <c r="BJ9045" s="25"/>
      <c r="BK9045" s="25"/>
    </row>
    <row r="9046" spans="60:63" ht="14.25" x14ac:dyDescent="0.2">
      <c r="BH9046" s="25"/>
      <c r="BI9046" s="25"/>
      <c r="BJ9046" s="25"/>
      <c r="BK9046" s="25"/>
    </row>
    <row r="9047" spans="60:63" ht="14.25" x14ac:dyDescent="0.2">
      <c r="BH9047" s="25"/>
      <c r="BI9047" s="25"/>
      <c r="BJ9047" s="25"/>
      <c r="BK9047" s="25"/>
    </row>
    <row r="9048" spans="60:63" ht="14.25" x14ac:dyDescent="0.2">
      <c r="BH9048" s="25"/>
      <c r="BI9048" s="25"/>
      <c r="BJ9048" s="25"/>
      <c r="BK9048" s="25"/>
    </row>
    <row r="9049" spans="60:63" ht="14.25" x14ac:dyDescent="0.2">
      <c r="BH9049" s="25"/>
      <c r="BI9049" s="25"/>
      <c r="BJ9049" s="25"/>
      <c r="BK9049" s="25"/>
    </row>
    <row r="9050" spans="60:63" ht="14.25" x14ac:dyDescent="0.2">
      <c r="BH9050" s="25"/>
      <c r="BI9050" s="25"/>
      <c r="BJ9050" s="25"/>
      <c r="BK9050" s="25"/>
    </row>
    <row r="9051" spans="60:63" ht="14.25" x14ac:dyDescent="0.2">
      <c r="BH9051" s="25"/>
      <c r="BI9051" s="25"/>
      <c r="BJ9051" s="25"/>
      <c r="BK9051" s="25"/>
    </row>
    <row r="9052" spans="60:63" ht="14.25" x14ac:dyDescent="0.2">
      <c r="BH9052" s="25"/>
      <c r="BI9052" s="25"/>
      <c r="BJ9052" s="25"/>
      <c r="BK9052" s="25"/>
    </row>
    <row r="9053" spans="60:63" ht="14.25" x14ac:dyDescent="0.2">
      <c r="BH9053" s="25"/>
      <c r="BI9053" s="25"/>
      <c r="BJ9053" s="25"/>
      <c r="BK9053" s="25"/>
    </row>
    <row r="9054" spans="60:63" ht="14.25" x14ac:dyDescent="0.2">
      <c r="BH9054" s="25"/>
      <c r="BI9054" s="25"/>
      <c r="BJ9054" s="25"/>
      <c r="BK9054" s="25"/>
    </row>
    <row r="9055" spans="60:63" ht="14.25" x14ac:dyDescent="0.2">
      <c r="BH9055" s="25"/>
      <c r="BI9055" s="25"/>
      <c r="BJ9055" s="25"/>
      <c r="BK9055" s="25"/>
    </row>
    <row r="9056" spans="60:63" ht="14.25" x14ac:dyDescent="0.2">
      <c r="BH9056" s="25"/>
      <c r="BI9056" s="25"/>
      <c r="BJ9056" s="25"/>
      <c r="BK9056" s="25"/>
    </row>
    <row r="9057" spans="60:63" ht="14.25" x14ac:dyDescent="0.2">
      <c r="BH9057" s="25"/>
      <c r="BI9057" s="25"/>
      <c r="BJ9057" s="25"/>
      <c r="BK9057" s="25"/>
    </row>
    <row r="9058" spans="60:63" ht="14.25" x14ac:dyDescent="0.2">
      <c r="BH9058" s="25"/>
      <c r="BI9058" s="25"/>
      <c r="BJ9058" s="25"/>
      <c r="BK9058" s="25"/>
    </row>
    <row r="9059" spans="60:63" ht="14.25" x14ac:dyDescent="0.2">
      <c r="BH9059" s="25"/>
      <c r="BI9059" s="25"/>
      <c r="BJ9059" s="25"/>
      <c r="BK9059" s="25"/>
    </row>
    <row r="9060" spans="60:63" ht="14.25" x14ac:dyDescent="0.2">
      <c r="BH9060" s="25"/>
      <c r="BI9060" s="25"/>
      <c r="BJ9060" s="25"/>
      <c r="BK9060" s="25"/>
    </row>
    <row r="9061" spans="60:63" ht="14.25" x14ac:dyDescent="0.2">
      <c r="BH9061" s="25"/>
      <c r="BI9061" s="25"/>
      <c r="BJ9061" s="25"/>
      <c r="BK9061" s="25"/>
    </row>
    <row r="9062" spans="60:63" ht="14.25" x14ac:dyDescent="0.2">
      <c r="BH9062" s="25"/>
      <c r="BI9062" s="25"/>
      <c r="BJ9062" s="25"/>
      <c r="BK9062" s="25"/>
    </row>
    <row r="9063" spans="60:63" ht="14.25" x14ac:dyDescent="0.2">
      <c r="BH9063" s="25"/>
      <c r="BI9063" s="25"/>
      <c r="BJ9063" s="25"/>
      <c r="BK9063" s="25"/>
    </row>
    <row r="9064" spans="60:63" ht="14.25" x14ac:dyDescent="0.2">
      <c r="BH9064" s="25"/>
      <c r="BI9064" s="25"/>
      <c r="BJ9064" s="25"/>
      <c r="BK9064" s="25"/>
    </row>
    <row r="9065" spans="60:63" ht="14.25" x14ac:dyDescent="0.2">
      <c r="BH9065" s="25"/>
      <c r="BI9065" s="25"/>
      <c r="BJ9065" s="25"/>
      <c r="BK9065" s="25"/>
    </row>
    <row r="9066" spans="60:63" ht="14.25" x14ac:dyDescent="0.2">
      <c r="BH9066" s="25"/>
      <c r="BI9066" s="25"/>
      <c r="BJ9066" s="25"/>
      <c r="BK9066" s="25"/>
    </row>
    <row r="9067" spans="60:63" ht="14.25" x14ac:dyDescent="0.2">
      <c r="BH9067" s="25"/>
      <c r="BI9067" s="25"/>
      <c r="BJ9067" s="25"/>
      <c r="BK9067" s="25"/>
    </row>
    <row r="9068" spans="60:63" ht="14.25" x14ac:dyDescent="0.2">
      <c r="BH9068" s="25"/>
      <c r="BI9068" s="25"/>
      <c r="BJ9068" s="25"/>
      <c r="BK9068" s="25"/>
    </row>
    <row r="9069" spans="60:63" ht="14.25" x14ac:dyDescent="0.2">
      <c r="BH9069" s="25"/>
      <c r="BI9069" s="25"/>
      <c r="BJ9069" s="25"/>
      <c r="BK9069" s="25"/>
    </row>
    <row r="9070" spans="60:63" ht="14.25" x14ac:dyDescent="0.2">
      <c r="BH9070" s="25"/>
      <c r="BI9070" s="25"/>
      <c r="BJ9070" s="25"/>
      <c r="BK9070" s="25"/>
    </row>
    <row r="9071" spans="60:63" ht="14.25" x14ac:dyDescent="0.2">
      <c r="BH9071" s="25"/>
      <c r="BI9071" s="25"/>
      <c r="BJ9071" s="25"/>
      <c r="BK9071" s="25"/>
    </row>
    <row r="9072" spans="60:63" ht="14.25" x14ac:dyDescent="0.2">
      <c r="BH9072" s="25"/>
      <c r="BI9072" s="25"/>
      <c r="BJ9072" s="25"/>
      <c r="BK9072" s="25"/>
    </row>
    <row r="9073" spans="60:63" ht="14.25" x14ac:dyDescent="0.2">
      <c r="BH9073" s="25"/>
      <c r="BI9073" s="25"/>
      <c r="BJ9073" s="25"/>
      <c r="BK9073" s="25"/>
    </row>
    <row r="9074" spans="60:63" ht="14.25" x14ac:dyDescent="0.2">
      <c r="BH9074" s="25"/>
      <c r="BI9074" s="25"/>
      <c r="BJ9074" s="25"/>
      <c r="BK9074" s="25"/>
    </row>
    <row r="9075" spans="60:63" ht="14.25" x14ac:dyDescent="0.2">
      <c r="BH9075" s="25"/>
      <c r="BI9075" s="25"/>
      <c r="BJ9075" s="25"/>
      <c r="BK9075" s="25"/>
    </row>
    <row r="9076" spans="60:63" ht="14.25" x14ac:dyDescent="0.2">
      <c r="BH9076" s="25"/>
      <c r="BI9076" s="25"/>
      <c r="BJ9076" s="25"/>
      <c r="BK9076" s="25"/>
    </row>
    <row r="9077" spans="60:63" ht="14.25" x14ac:dyDescent="0.2">
      <c r="BH9077" s="25"/>
      <c r="BI9077" s="25"/>
      <c r="BJ9077" s="25"/>
      <c r="BK9077" s="25"/>
    </row>
    <row r="9078" spans="60:63" ht="14.25" x14ac:dyDescent="0.2">
      <c r="BH9078" s="25"/>
      <c r="BI9078" s="25"/>
      <c r="BJ9078" s="25"/>
      <c r="BK9078" s="25"/>
    </row>
    <row r="9079" spans="60:63" ht="14.25" x14ac:dyDescent="0.2">
      <c r="BH9079" s="25"/>
      <c r="BI9079" s="25"/>
      <c r="BJ9079" s="25"/>
      <c r="BK9079" s="25"/>
    </row>
    <row r="9080" spans="60:63" ht="14.25" x14ac:dyDescent="0.2">
      <c r="BH9080" s="25"/>
      <c r="BI9080" s="25"/>
      <c r="BJ9080" s="25"/>
      <c r="BK9080" s="25"/>
    </row>
    <row r="9081" spans="60:63" ht="14.25" x14ac:dyDescent="0.2">
      <c r="BH9081" s="25"/>
      <c r="BI9081" s="25"/>
      <c r="BJ9081" s="25"/>
      <c r="BK9081" s="25"/>
    </row>
    <row r="9082" spans="60:63" ht="14.25" x14ac:dyDescent="0.2">
      <c r="BH9082" s="25"/>
      <c r="BI9082" s="25"/>
      <c r="BJ9082" s="25"/>
      <c r="BK9082" s="25"/>
    </row>
    <row r="9083" spans="60:63" ht="14.25" x14ac:dyDescent="0.2">
      <c r="BH9083" s="25"/>
      <c r="BI9083" s="25"/>
      <c r="BJ9083" s="25"/>
      <c r="BK9083" s="25"/>
    </row>
    <row r="9084" spans="60:63" ht="14.25" x14ac:dyDescent="0.2">
      <c r="BH9084" s="25"/>
      <c r="BI9084" s="25"/>
      <c r="BJ9084" s="25"/>
      <c r="BK9084" s="25"/>
    </row>
    <row r="9085" spans="60:63" ht="14.25" x14ac:dyDescent="0.2">
      <c r="BH9085" s="25"/>
      <c r="BI9085" s="25"/>
      <c r="BJ9085" s="25"/>
      <c r="BK9085" s="25"/>
    </row>
    <row r="9086" spans="60:63" ht="14.25" x14ac:dyDescent="0.2">
      <c r="BH9086" s="25"/>
      <c r="BI9086" s="25"/>
      <c r="BJ9086" s="25"/>
      <c r="BK9086" s="25"/>
    </row>
    <row r="9087" spans="60:63" ht="14.25" x14ac:dyDescent="0.2">
      <c r="BH9087" s="25"/>
      <c r="BI9087" s="25"/>
      <c r="BJ9087" s="25"/>
      <c r="BK9087" s="25"/>
    </row>
    <row r="9088" spans="60:63" ht="14.25" x14ac:dyDescent="0.2">
      <c r="BH9088" s="25"/>
      <c r="BI9088" s="25"/>
      <c r="BJ9088" s="25"/>
      <c r="BK9088" s="25"/>
    </row>
    <row r="9089" spans="60:63" ht="14.25" x14ac:dyDescent="0.2">
      <c r="BH9089" s="25"/>
      <c r="BI9089" s="25"/>
      <c r="BJ9089" s="25"/>
      <c r="BK9089" s="25"/>
    </row>
    <row r="9090" spans="60:63" ht="14.25" x14ac:dyDescent="0.2">
      <c r="BH9090" s="25"/>
      <c r="BI9090" s="25"/>
      <c r="BJ9090" s="25"/>
      <c r="BK9090" s="25"/>
    </row>
    <row r="9091" spans="60:63" ht="14.25" x14ac:dyDescent="0.2">
      <c r="BH9091" s="25"/>
      <c r="BI9091" s="25"/>
      <c r="BJ9091" s="25"/>
      <c r="BK9091" s="25"/>
    </row>
    <row r="9092" spans="60:63" ht="14.25" x14ac:dyDescent="0.2">
      <c r="BH9092" s="25"/>
      <c r="BI9092" s="25"/>
      <c r="BJ9092" s="25"/>
      <c r="BK9092" s="25"/>
    </row>
    <row r="9093" spans="60:63" ht="14.25" x14ac:dyDescent="0.2">
      <c r="BH9093" s="25"/>
      <c r="BI9093" s="25"/>
      <c r="BJ9093" s="25"/>
      <c r="BK9093" s="25"/>
    </row>
    <row r="9094" spans="60:63" ht="14.25" x14ac:dyDescent="0.2">
      <c r="BH9094" s="25"/>
      <c r="BI9094" s="25"/>
      <c r="BJ9094" s="25"/>
      <c r="BK9094" s="25"/>
    </row>
    <row r="9095" spans="60:63" ht="14.25" x14ac:dyDescent="0.2">
      <c r="BH9095" s="25"/>
      <c r="BI9095" s="25"/>
      <c r="BJ9095" s="25"/>
      <c r="BK9095" s="25"/>
    </row>
    <row r="9096" spans="60:63" ht="14.25" x14ac:dyDescent="0.2">
      <c r="BH9096" s="25"/>
      <c r="BI9096" s="25"/>
      <c r="BJ9096" s="25"/>
      <c r="BK9096" s="25"/>
    </row>
    <row r="9097" spans="60:63" ht="14.25" x14ac:dyDescent="0.2">
      <c r="BH9097" s="25"/>
      <c r="BI9097" s="25"/>
      <c r="BJ9097" s="25"/>
      <c r="BK9097" s="25"/>
    </row>
    <row r="9098" spans="60:63" ht="14.25" x14ac:dyDescent="0.2">
      <c r="BH9098" s="25"/>
      <c r="BI9098" s="25"/>
      <c r="BJ9098" s="25"/>
      <c r="BK9098" s="25"/>
    </row>
    <row r="9099" spans="60:63" ht="14.25" x14ac:dyDescent="0.2">
      <c r="BH9099" s="25"/>
      <c r="BI9099" s="25"/>
      <c r="BJ9099" s="25"/>
      <c r="BK9099" s="25"/>
    </row>
    <row r="9100" spans="60:63" ht="14.25" x14ac:dyDescent="0.2">
      <c r="BH9100" s="25"/>
      <c r="BI9100" s="25"/>
      <c r="BJ9100" s="25"/>
      <c r="BK9100" s="25"/>
    </row>
    <row r="9101" spans="60:63" ht="14.25" x14ac:dyDescent="0.2">
      <c r="BH9101" s="25"/>
      <c r="BI9101" s="25"/>
      <c r="BJ9101" s="25"/>
      <c r="BK9101" s="25"/>
    </row>
    <row r="9102" spans="60:63" ht="14.25" x14ac:dyDescent="0.2">
      <c r="BH9102" s="25"/>
      <c r="BI9102" s="25"/>
      <c r="BJ9102" s="25"/>
      <c r="BK9102" s="25"/>
    </row>
    <row r="9103" spans="60:63" ht="14.25" x14ac:dyDescent="0.2">
      <c r="BH9103" s="25"/>
      <c r="BI9103" s="25"/>
      <c r="BJ9103" s="25"/>
      <c r="BK9103" s="25"/>
    </row>
    <row r="9104" spans="60:63" ht="14.25" x14ac:dyDescent="0.2">
      <c r="BH9104" s="25"/>
      <c r="BI9104" s="25"/>
      <c r="BJ9104" s="25"/>
      <c r="BK9104" s="25"/>
    </row>
    <row r="9105" spans="60:63" ht="14.25" x14ac:dyDescent="0.2">
      <c r="BH9105" s="25"/>
      <c r="BI9105" s="25"/>
      <c r="BJ9105" s="25"/>
      <c r="BK9105" s="25"/>
    </row>
    <row r="9106" spans="60:63" ht="14.25" x14ac:dyDescent="0.2">
      <c r="BH9106" s="25"/>
      <c r="BI9106" s="25"/>
      <c r="BJ9106" s="25"/>
      <c r="BK9106" s="25"/>
    </row>
    <row r="9107" spans="60:63" ht="14.25" x14ac:dyDescent="0.2">
      <c r="BH9107" s="25"/>
      <c r="BI9107" s="25"/>
      <c r="BJ9107" s="25"/>
      <c r="BK9107" s="25"/>
    </row>
    <row r="9108" spans="60:63" ht="14.25" x14ac:dyDescent="0.2">
      <c r="BH9108" s="25"/>
      <c r="BI9108" s="25"/>
      <c r="BJ9108" s="25"/>
      <c r="BK9108" s="25"/>
    </row>
    <row r="9109" spans="60:63" ht="14.25" x14ac:dyDescent="0.2">
      <c r="BH9109" s="25"/>
      <c r="BI9109" s="25"/>
      <c r="BJ9109" s="25"/>
      <c r="BK9109" s="25"/>
    </row>
    <row r="9110" spans="60:63" ht="14.25" x14ac:dyDescent="0.2">
      <c r="BH9110" s="25"/>
      <c r="BI9110" s="25"/>
      <c r="BJ9110" s="25"/>
      <c r="BK9110" s="25"/>
    </row>
    <row r="9111" spans="60:63" ht="14.25" x14ac:dyDescent="0.2">
      <c r="BH9111" s="25"/>
      <c r="BI9111" s="25"/>
      <c r="BJ9111" s="25"/>
      <c r="BK9111" s="25"/>
    </row>
    <row r="9112" spans="60:63" ht="14.25" x14ac:dyDescent="0.2">
      <c r="BH9112" s="25"/>
      <c r="BI9112" s="25"/>
      <c r="BJ9112" s="25"/>
      <c r="BK9112" s="25"/>
    </row>
    <row r="9113" spans="60:63" ht="14.25" x14ac:dyDescent="0.2">
      <c r="BH9113" s="25"/>
      <c r="BI9113" s="25"/>
      <c r="BJ9113" s="25"/>
      <c r="BK9113" s="25"/>
    </row>
    <row r="9114" spans="60:63" ht="14.25" x14ac:dyDescent="0.2">
      <c r="BH9114" s="25"/>
      <c r="BI9114" s="25"/>
      <c r="BJ9114" s="25"/>
      <c r="BK9114" s="25"/>
    </row>
    <row r="9115" spans="60:63" ht="14.25" x14ac:dyDescent="0.2">
      <c r="BH9115" s="25"/>
      <c r="BI9115" s="25"/>
      <c r="BJ9115" s="25"/>
      <c r="BK9115" s="25"/>
    </row>
    <row r="9116" spans="60:63" ht="14.25" x14ac:dyDescent="0.2">
      <c r="BH9116" s="25"/>
      <c r="BI9116" s="25"/>
      <c r="BJ9116" s="25"/>
      <c r="BK9116" s="25"/>
    </row>
    <row r="9117" spans="60:63" ht="14.25" x14ac:dyDescent="0.2">
      <c r="BH9117" s="25"/>
      <c r="BI9117" s="25"/>
      <c r="BJ9117" s="25"/>
      <c r="BK9117" s="25"/>
    </row>
    <row r="9118" spans="60:63" ht="14.25" x14ac:dyDescent="0.2">
      <c r="BH9118" s="25"/>
      <c r="BI9118" s="25"/>
      <c r="BJ9118" s="25"/>
      <c r="BK9118" s="25"/>
    </row>
    <row r="9119" spans="60:63" ht="14.25" x14ac:dyDescent="0.2">
      <c r="BH9119" s="25"/>
      <c r="BI9119" s="25"/>
      <c r="BJ9119" s="25"/>
      <c r="BK9119" s="25"/>
    </row>
    <row r="9120" spans="60:63" ht="14.25" x14ac:dyDescent="0.2">
      <c r="BH9120" s="25"/>
      <c r="BI9120" s="25"/>
      <c r="BJ9120" s="25"/>
      <c r="BK9120" s="25"/>
    </row>
    <row r="9121" spans="60:63" ht="14.25" x14ac:dyDescent="0.2">
      <c r="BH9121" s="25"/>
      <c r="BI9121" s="25"/>
      <c r="BJ9121" s="25"/>
      <c r="BK9121" s="25"/>
    </row>
    <row r="9122" spans="60:63" ht="14.25" x14ac:dyDescent="0.2">
      <c r="BH9122" s="25"/>
      <c r="BI9122" s="25"/>
      <c r="BJ9122" s="25"/>
      <c r="BK9122" s="25"/>
    </row>
    <row r="9123" spans="60:63" ht="14.25" x14ac:dyDescent="0.2">
      <c r="BH9123" s="25"/>
      <c r="BI9123" s="25"/>
      <c r="BJ9123" s="25"/>
      <c r="BK9123" s="25"/>
    </row>
    <row r="9124" spans="60:63" ht="14.25" x14ac:dyDescent="0.2">
      <c r="BH9124" s="25"/>
      <c r="BI9124" s="25"/>
      <c r="BJ9124" s="25"/>
      <c r="BK9124" s="25"/>
    </row>
    <row r="9125" spans="60:63" ht="14.25" x14ac:dyDescent="0.2">
      <c r="BH9125" s="25"/>
      <c r="BI9125" s="25"/>
      <c r="BJ9125" s="25"/>
      <c r="BK9125" s="25"/>
    </row>
    <row r="9126" spans="60:63" ht="14.25" x14ac:dyDescent="0.2">
      <c r="BH9126" s="25"/>
      <c r="BI9126" s="25"/>
      <c r="BJ9126" s="25"/>
      <c r="BK9126" s="25"/>
    </row>
    <row r="9127" spans="60:63" ht="14.25" x14ac:dyDescent="0.2">
      <c r="BH9127" s="25"/>
      <c r="BI9127" s="25"/>
      <c r="BJ9127" s="25"/>
      <c r="BK9127" s="25"/>
    </row>
    <row r="9128" spans="60:63" ht="14.25" x14ac:dyDescent="0.2">
      <c r="BH9128" s="25"/>
      <c r="BI9128" s="25"/>
      <c r="BJ9128" s="25"/>
      <c r="BK9128" s="25"/>
    </row>
    <row r="9129" spans="60:63" ht="14.25" x14ac:dyDescent="0.2">
      <c r="BH9129" s="25"/>
      <c r="BI9129" s="25"/>
      <c r="BJ9129" s="25"/>
      <c r="BK9129" s="25"/>
    </row>
    <row r="9130" spans="60:63" ht="14.25" x14ac:dyDescent="0.2">
      <c r="BH9130" s="25"/>
      <c r="BI9130" s="25"/>
      <c r="BJ9130" s="25"/>
      <c r="BK9130" s="25"/>
    </row>
    <row r="9131" spans="60:63" ht="14.25" x14ac:dyDescent="0.2">
      <c r="BH9131" s="25"/>
      <c r="BI9131" s="25"/>
      <c r="BJ9131" s="25"/>
      <c r="BK9131" s="25"/>
    </row>
    <row r="9132" spans="60:63" ht="14.25" x14ac:dyDescent="0.2">
      <c r="BH9132" s="25"/>
      <c r="BI9132" s="25"/>
      <c r="BJ9132" s="25"/>
      <c r="BK9132" s="25"/>
    </row>
    <row r="9133" spans="60:63" ht="14.25" x14ac:dyDescent="0.2">
      <c r="BH9133" s="25"/>
      <c r="BI9133" s="25"/>
      <c r="BJ9133" s="25"/>
      <c r="BK9133" s="25"/>
    </row>
    <row r="9134" spans="60:63" ht="14.25" x14ac:dyDescent="0.2">
      <c r="BH9134" s="25"/>
      <c r="BI9134" s="25"/>
      <c r="BJ9134" s="25"/>
      <c r="BK9134" s="25"/>
    </row>
    <row r="9135" spans="60:63" ht="14.25" x14ac:dyDescent="0.2">
      <c r="BH9135" s="25"/>
      <c r="BI9135" s="25"/>
      <c r="BJ9135" s="25"/>
      <c r="BK9135" s="25"/>
    </row>
    <row r="9136" spans="60:63" ht="14.25" x14ac:dyDescent="0.2">
      <c r="BH9136" s="25"/>
      <c r="BI9136" s="25"/>
      <c r="BJ9136" s="25"/>
      <c r="BK9136" s="25"/>
    </row>
    <row r="9137" spans="60:63" ht="14.25" x14ac:dyDescent="0.2">
      <c r="BH9137" s="25"/>
      <c r="BI9137" s="25"/>
      <c r="BJ9137" s="25"/>
      <c r="BK9137" s="25"/>
    </row>
    <row r="9138" spans="60:63" ht="14.25" x14ac:dyDescent="0.2">
      <c r="BH9138" s="25"/>
      <c r="BI9138" s="25"/>
      <c r="BJ9138" s="25"/>
      <c r="BK9138" s="25"/>
    </row>
    <row r="9139" spans="60:63" ht="14.25" x14ac:dyDescent="0.2">
      <c r="BH9139" s="25"/>
      <c r="BI9139" s="25"/>
      <c r="BJ9139" s="25"/>
      <c r="BK9139" s="25"/>
    </row>
    <row r="9140" spans="60:63" ht="14.25" x14ac:dyDescent="0.2">
      <c r="BH9140" s="25"/>
      <c r="BI9140" s="25"/>
      <c r="BJ9140" s="25"/>
      <c r="BK9140" s="25"/>
    </row>
    <row r="9141" spans="60:63" ht="14.25" x14ac:dyDescent="0.2">
      <c r="BH9141" s="25"/>
      <c r="BI9141" s="25"/>
      <c r="BJ9141" s="25"/>
      <c r="BK9141" s="25"/>
    </row>
    <row r="9142" spans="60:63" ht="14.25" x14ac:dyDescent="0.2">
      <c r="BH9142" s="25"/>
      <c r="BI9142" s="25"/>
      <c r="BJ9142" s="25"/>
      <c r="BK9142" s="25"/>
    </row>
    <row r="9143" spans="60:63" ht="14.25" x14ac:dyDescent="0.2">
      <c r="BH9143" s="25"/>
      <c r="BI9143" s="25"/>
      <c r="BJ9143" s="25"/>
      <c r="BK9143" s="25"/>
    </row>
    <row r="9144" spans="60:63" ht="14.25" x14ac:dyDescent="0.2">
      <c r="BH9144" s="25"/>
      <c r="BI9144" s="25"/>
      <c r="BJ9144" s="25"/>
      <c r="BK9144" s="25"/>
    </row>
    <row r="9145" spans="60:63" ht="14.25" x14ac:dyDescent="0.2">
      <c r="BH9145" s="25"/>
      <c r="BI9145" s="25"/>
      <c r="BJ9145" s="25"/>
      <c r="BK9145" s="25"/>
    </row>
    <row r="9146" spans="60:63" ht="14.25" x14ac:dyDescent="0.2">
      <c r="BH9146" s="25"/>
      <c r="BI9146" s="25"/>
      <c r="BJ9146" s="25"/>
      <c r="BK9146" s="25"/>
    </row>
    <row r="9147" spans="60:63" ht="14.25" x14ac:dyDescent="0.2">
      <c r="BH9147" s="25"/>
      <c r="BI9147" s="25"/>
      <c r="BJ9147" s="25"/>
      <c r="BK9147" s="25"/>
    </row>
    <row r="9148" spans="60:63" ht="14.25" x14ac:dyDescent="0.2">
      <c r="BH9148" s="25"/>
      <c r="BI9148" s="25"/>
      <c r="BJ9148" s="25"/>
      <c r="BK9148" s="25"/>
    </row>
    <row r="9149" spans="60:63" ht="14.25" x14ac:dyDescent="0.2">
      <c r="BH9149" s="25"/>
      <c r="BI9149" s="25"/>
      <c r="BJ9149" s="25"/>
      <c r="BK9149" s="25"/>
    </row>
    <row r="9150" spans="60:63" ht="14.25" x14ac:dyDescent="0.2">
      <c r="BH9150" s="25"/>
      <c r="BI9150" s="25"/>
      <c r="BJ9150" s="25"/>
      <c r="BK9150" s="25"/>
    </row>
    <row r="9151" spans="60:63" ht="14.25" x14ac:dyDescent="0.2">
      <c r="BH9151" s="25"/>
      <c r="BI9151" s="25"/>
      <c r="BJ9151" s="25"/>
      <c r="BK9151" s="25"/>
    </row>
    <row r="9152" spans="60:63" ht="14.25" x14ac:dyDescent="0.2">
      <c r="BH9152" s="25"/>
      <c r="BI9152" s="25"/>
      <c r="BJ9152" s="25"/>
      <c r="BK9152" s="25"/>
    </row>
    <row r="9153" spans="60:63" ht="14.25" x14ac:dyDescent="0.2">
      <c r="BH9153" s="25"/>
      <c r="BI9153" s="25"/>
      <c r="BJ9153" s="25"/>
      <c r="BK9153" s="25"/>
    </row>
    <row r="9154" spans="60:63" ht="14.25" x14ac:dyDescent="0.2">
      <c r="BH9154" s="25"/>
      <c r="BI9154" s="25"/>
      <c r="BJ9154" s="25"/>
      <c r="BK9154" s="25"/>
    </row>
    <row r="9155" spans="60:63" ht="14.25" x14ac:dyDescent="0.2">
      <c r="BH9155" s="25"/>
      <c r="BI9155" s="25"/>
      <c r="BJ9155" s="25"/>
      <c r="BK9155" s="25"/>
    </row>
    <row r="9156" spans="60:63" ht="14.25" x14ac:dyDescent="0.2">
      <c r="BH9156" s="25"/>
      <c r="BI9156" s="25"/>
      <c r="BJ9156" s="25"/>
      <c r="BK9156" s="25"/>
    </row>
    <row r="9157" spans="60:63" ht="14.25" x14ac:dyDescent="0.2">
      <c r="BH9157" s="25"/>
      <c r="BI9157" s="25"/>
      <c r="BJ9157" s="25"/>
      <c r="BK9157" s="25"/>
    </row>
    <row r="9158" spans="60:63" ht="14.25" x14ac:dyDescent="0.2">
      <c r="BH9158" s="25"/>
      <c r="BI9158" s="25"/>
      <c r="BJ9158" s="25"/>
      <c r="BK9158" s="25"/>
    </row>
    <row r="9159" spans="60:63" ht="14.25" x14ac:dyDescent="0.2">
      <c r="BH9159" s="25"/>
      <c r="BI9159" s="25"/>
      <c r="BJ9159" s="25"/>
      <c r="BK9159" s="25"/>
    </row>
    <row r="9160" spans="60:63" ht="14.25" x14ac:dyDescent="0.2">
      <c r="BH9160" s="25"/>
      <c r="BI9160" s="25"/>
      <c r="BJ9160" s="25"/>
      <c r="BK9160" s="25"/>
    </row>
    <row r="9161" spans="60:63" ht="14.25" x14ac:dyDescent="0.2">
      <c r="BH9161" s="25"/>
      <c r="BI9161" s="25"/>
      <c r="BJ9161" s="25"/>
      <c r="BK9161" s="25"/>
    </row>
    <row r="9162" spans="60:63" ht="14.25" x14ac:dyDescent="0.2">
      <c r="BH9162" s="25"/>
      <c r="BI9162" s="25"/>
      <c r="BJ9162" s="25"/>
      <c r="BK9162" s="25"/>
    </row>
    <row r="9163" spans="60:63" ht="14.25" x14ac:dyDescent="0.2">
      <c r="BH9163" s="25"/>
      <c r="BI9163" s="25"/>
      <c r="BJ9163" s="25"/>
      <c r="BK9163" s="25"/>
    </row>
    <row r="9164" spans="60:63" ht="14.25" x14ac:dyDescent="0.2">
      <c r="BH9164" s="25"/>
      <c r="BI9164" s="25"/>
      <c r="BJ9164" s="25"/>
      <c r="BK9164" s="25"/>
    </row>
    <row r="9165" spans="60:63" ht="14.25" x14ac:dyDescent="0.2">
      <c r="BH9165" s="25"/>
      <c r="BI9165" s="25"/>
      <c r="BJ9165" s="25"/>
      <c r="BK9165" s="25"/>
    </row>
    <row r="9166" spans="60:63" ht="14.25" x14ac:dyDescent="0.2">
      <c r="BH9166" s="25"/>
      <c r="BI9166" s="25"/>
      <c r="BJ9166" s="25"/>
      <c r="BK9166" s="25"/>
    </row>
    <row r="9167" spans="60:63" ht="14.25" x14ac:dyDescent="0.2">
      <c r="BH9167" s="25"/>
      <c r="BI9167" s="25"/>
      <c r="BJ9167" s="25"/>
      <c r="BK9167" s="25"/>
    </row>
    <row r="9168" spans="60:63" ht="14.25" x14ac:dyDescent="0.2">
      <c r="BH9168" s="25"/>
      <c r="BI9168" s="25"/>
      <c r="BJ9168" s="25"/>
      <c r="BK9168" s="25"/>
    </row>
    <row r="9169" spans="60:63" ht="14.25" x14ac:dyDescent="0.2">
      <c r="BH9169" s="25"/>
      <c r="BI9169" s="25"/>
      <c r="BJ9169" s="25"/>
      <c r="BK9169" s="25"/>
    </row>
    <row r="9170" spans="60:63" ht="14.25" x14ac:dyDescent="0.2">
      <c r="BH9170" s="25"/>
      <c r="BI9170" s="25"/>
      <c r="BJ9170" s="25"/>
      <c r="BK9170" s="25"/>
    </row>
    <row r="9171" spans="60:63" ht="14.25" x14ac:dyDescent="0.2">
      <c r="BH9171" s="25"/>
      <c r="BI9171" s="25"/>
      <c r="BJ9171" s="25"/>
      <c r="BK9171" s="25"/>
    </row>
    <row r="9172" spans="60:63" ht="14.25" x14ac:dyDescent="0.2">
      <c r="BH9172" s="25"/>
      <c r="BI9172" s="25"/>
      <c r="BJ9172" s="25"/>
      <c r="BK9172" s="25"/>
    </row>
    <row r="9173" spans="60:63" ht="14.25" x14ac:dyDescent="0.2">
      <c r="BH9173" s="25"/>
      <c r="BI9173" s="25"/>
      <c r="BJ9173" s="25"/>
      <c r="BK9173" s="25"/>
    </row>
    <row r="9174" spans="60:63" ht="14.25" x14ac:dyDescent="0.2">
      <c r="BH9174" s="25"/>
      <c r="BI9174" s="25"/>
      <c r="BJ9174" s="25"/>
      <c r="BK9174" s="25"/>
    </row>
    <row r="9175" spans="60:63" ht="14.25" x14ac:dyDescent="0.2">
      <c r="BH9175" s="25"/>
      <c r="BI9175" s="25"/>
      <c r="BJ9175" s="25"/>
      <c r="BK9175" s="25"/>
    </row>
    <row r="9176" spans="60:63" ht="14.25" x14ac:dyDescent="0.2">
      <c r="BH9176" s="25"/>
      <c r="BI9176" s="25"/>
      <c r="BJ9176" s="25"/>
      <c r="BK9176" s="25"/>
    </row>
    <row r="9177" spans="60:63" ht="14.25" x14ac:dyDescent="0.2">
      <c r="BH9177" s="25"/>
      <c r="BI9177" s="25"/>
      <c r="BJ9177" s="25"/>
      <c r="BK9177" s="25"/>
    </row>
    <row r="9178" spans="60:63" ht="14.25" x14ac:dyDescent="0.2">
      <c r="BH9178" s="25"/>
      <c r="BI9178" s="25"/>
      <c r="BJ9178" s="25"/>
      <c r="BK9178" s="25"/>
    </row>
    <row r="9179" spans="60:63" ht="14.25" x14ac:dyDescent="0.2">
      <c r="BH9179" s="25"/>
      <c r="BI9179" s="25"/>
      <c r="BJ9179" s="25"/>
      <c r="BK9179" s="25"/>
    </row>
    <row r="9180" spans="60:63" ht="14.25" x14ac:dyDescent="0.2">
      <c r="BH9180" s="25"/>
      <c r="BI9180" s="25"/>
      <c r="BJ9180" s="25"/>
      <c r="BK9180" s="25"/>
    </row>
    <row r="9181" spans="60:63" ht="14.25" x14ac:dyDescent="0.2">
      <c r="BH9181" s="25"/>
      <c r="BI9181" s="25"/>
      <c r="BJ9181" s="25"/>
      <c r="BK9181" s="25"/>
    </row>
    <row r="9182" spans="60:63" ht="14.25" x14ac:dyDescent="0.2">
      <c r="BH9182" s="25"/>
      <c r="BI9182" s="25"/>
      <c r="BJ9182" s="25"/>
      <c r="BK9182" s="25"/>
    </row>
    <row r="9183" spans="60:63" ht="14.25" x14ac:dyDescent="0.2">
      <c r="BH9183" s="25"/>
      <c r="BI9183" s="25"/>
      <c r="BJ9183" s="25"/>
      <c r="BK9183" s="25"/>
    </row>
    <row r="9184" spans="60:63" ht="14.25" x14ac:dyDescent="0.2">
      <c r="BH9184" s="25"/>
      <c r="BI9184" s="25"/>
      <c r="BJ9184" s="25"/>
      <c r="BK9184" s="25"/>
    </row>
    <row r="9185" spans="60:63" ht="14.25" x14ac:dyDescent="0.2">
      <c r="BH9185" s="25"/>
      <c r="BI9185" s="25"/>
      <c r="BJ9185" s="25"/>
      <c r="BK9185" s="25"/>
    </row>
    <row r="9186" spans="60:63" ht="14.25" x14ac:dyDescent="0.2">
      <c r="BH9186" s="25"/>
      <c r="BI9186" s="25"/>
      <c r="BJ9186" s="25"/>
      <c r="BK9186" s="25"/>
    </row>
    <row r="9187" spans="60:63" ht="14.25" x14ac:dyDescent="0.2">
      <c r="BH9187" s="25"/>
      <c r="BI9187" s="25"/>
      <c r="BJ9187" s="25"/>
      <c r="BK9187" s="25"/>
    </row>
    <row r="9188" spans="60:63" ht="14.25" x14ac:dyDescent="0.2">
      <c r="BH9188" s="25"/>
      <c r="BI9188" s="25"/>
      <c r="BJ9188" s="25"/>
      <c r="BK9188" s="25"/>
    </row>
    <row r="9189" spans="60:63" ht="14.25" x14ac:dyDescent="0.2">
      <c r="BH9189" s="25"/>
      <c r="BI9189" s="25"/>
      <c r="BJ9189" s="25"/>
      <c r="BK9189" s="25"/>
    </row>
    <row r="9190" spans="60:63" ht="14.25" x14ac:dyDescent="0.2">
      <c r="BH9190" s="25"/>
      <c r="BI9190" s="25"/>
      <c r="BJ9190" s="25"/>
      <c r="BK9190" s="25"/>
    </row>
    <row r="9191" spans="60:63" ht="14.25" x14ac:dyDescent="0.2">
      <c r="BH9191" s="25"/>
      <c r="BI9191" s="25"/>
      <c r="BJ9191" s="25"/>
      <c r="BK9191" s="25"/>
    </row>
    <row r="9192" spans="60:63" ht="14.25" x14ac:dyDescent="0.2">
      <c r="BH9192" s="25"/>
      <c r="BI9192" s="25"/>
      <c r="BJ9192" s="25"/>
      <c r="BK9192" s="25"/>
    </row>
    <row r="9193" spans="60:63" ht="14.25" x14ac:dyDescent="0.2">
      <c r="BH9193" s="25"/>
      <c r="BI9193" s="25"/>
      <c r="BJ9193" s="25"/>
      <c r="BK9193" s="25"/>
    </row>
    <row r="9194" spans="60:63" ht="14.25" x14ac:dyDescent="0.2">
      <c r="BH9194" s="25"/>
      <c r="BI9194" s="25"/>
      <c r="BJ9194" s="25"/>
      <c r="BK9194" s="25"/>
    </row>
    <row r="9195" spans="60:63" ht="14.25" x14ac:dyDescent="0.2">
      <c r="BH9195" s="25"/>
      <c r="BI9195" s="25"/>
      <c r="BJ9195" s="25"/>
      <c r="BK9195" s="25"/>
    </row>
    <row r="9196" spans="60:63" ht="14.25" x14ac:dyDescent="0.2">
      <c r="BH9196" s="25"/>
      <c r="BI9196" s="25"/>
      <c r="BJ9196" s="25"/>
      <c r="BK9196" s="25"/>
    </row>
    <row r="9197" spans="60:63" ht="14.25" x14ac:dyDescent="0.2">
      <c r="BH9197" s="25"/>
      <c r="BI9197" s="25"/>
      <c r="BJ9197" s="25"/>
      <c r="BK9197" s="25"/>
    </row>
    <row r="9198" spans="60:63" ht="14.25" x14ac:dyDescent="0.2">
      <c r="BH9198" s="25"/>
      <c r="BI9198" s="25"/>
      <c r="BJ9198" s="25"/>
      <c r="BK9198" s="25"/>
    </row>
    <row r="9199" spans="60:63" ht="14.25" x14ac:dyDescent="0.2">
      <c r="BH9199" s="25"/>
      <c r="BI9199" s="25"/>
      <c r="BJ9199" s="25"/>
      <c r="BK9199" s="25"/>
    </row>
    <row r="9200" spans="60:63" ht="14.25" x14ac:dyDescent="0.2">
      <c r="BH9200" s="25"/>
      <c r="BI9200" s="25"/>
      <c r="BJ9200" s="25"/>
      <c r="BK9200" s="25"/>
    </row>
    <row r="9201" spans="60:63" ht="14.25" x14ac:dyDescent="0.2">
      <c r="BH9201" s="25"/>
      <c r="BI9201" s="25"/>
      <c r="BJ9201" s="25"/>
      <c r="BK9201" s="25"/>
    </row>
    <row r="9202" spans="60:63" ht="14.25" x14ac:dyDescent="0.2">
      <c r="BH9202" s="25"/>
      <c r="BI9202" s="25"/>
      <c r="BJ9202" s="25"/>
      <c r="BK9202" s="25"/>
    </row>
    <row r="9203" spans="60:63" ht="14.25" x14ac:dyDescent="0.2">
      <c r="BH9203" s="25"/>
      <c r="BI9203" s="25"/>
      <c r="BJ9203" s="25"/>
      <c r="BK9203" s="25"/>
    </row>
    <row r="9204" spans="60:63" ht="14.25" x14ac:dyDescent="0.2">
      <c r="BH9204" s="25"/>
      <c r="BI9204" s="25"/>
      <c r="BJ9204" s="25"/>
      <c r="BK9204" s="25"/>
    </row>
    <row r="9205" spans="60:63" ht="14.25" x14ac:dyDescent="0.2">
      <c r="BH9205" s="25"/>
      <c r="BI9205" s="25"/>
      <c r="BJ9205" s="25"/>
      <c r="BK9205" s="25"/>
    </row>
    <row r="9206" spans="60:63" ht="14.25" x14ac:dyDescent="0.2">
      <c r="BH9206" s="25"/>
      <c r="BI9206" s="25"/>
      <c r="BJ9206" s="25"/>
      <c r="BK9206" s="25"/>
    </row>
    <row r="9207" spans="60:63" ht="14.25" x14ac:dyDescent="0.2">
      <c r="BH9207" s="25"/>
      <c r="BI9207" s="25"/>
      <c r="BJ9207" s="25"/>
      <c r="BK9207" s="25"/>
    </row>
    <row r="9208" spans="60:63" ht="14.25" x14ac:dyDescent="0.2">
      <c r="BH9208" s="25"/>
      <c r="BI9208" s="25"/>
      <c r="BJ9208" s="25"/>
      <c r="BK9208" s="25"/>
    </row>
    <row r="9209" spans="60:63" ht="14.25" x14ac:dyDescent="0.2">
      <c r="BH9209" s="25"/>
      <c r="BI9209" s="25"/>
      <c r="BJ9209" s="25"/>
      <c r="BK9209" s="25"/>
    </row>
    <row r="9210" spans="60:63" ht="14.25" x14ac:dyDescent="0.2">
      <c r="BH9210" s="25"/>
      <c r="BI9210" s="25"/>
      <c r="BJ9210" s="25"/>
      <c r="BK9210" s="25"/>
    </row>
    <row r="9211" spans="60:63" ht="14.25" x14ac:dyDescent="0.2">
      <c r="BH9211" s="25"/>
      <c r="BI9211" s="25"/>
      <c r="BJ9211" s="25"/>
      <c r="BK9211" s="25"/>
    </row>
    <row r="9212" spans="60:63" ht="14.25" x14ac:dyDescent="0.2">
      <c r="BH9212" s="25"/>
      <c r="BI9212" s="25"/>
      <c r="BJ9212" s="25"/>
      <c r="BK9212" s="25"/>
    </row>
    <row r="9213" spans="60:63" ht="14.25" x14ac:dyDescent="0.2">
      <c r="BH9213" s="25"/>
      <c r="BI9213" s="25"/>
      <c r="BJ9213" s="25"/>
      <c r="BK9213" s="25"/>
    </row>
    <row r="9214" spans="60:63" ht="14.25" x14ac:dyDescent="0.2">
      <c r="BH9214" s="25"/>
      <c r="BI9214" s="25"/>
      <c r="BJ9214" s="25"/>
      <c r="BK9214" s="25"/>
    </row>
    <row r="9215" spans="60:63" ht="14.25" x14ac:dyDescent="0.2">
      <c r="BH9215" s="25"/>
      <c r="BI9215" s="25"/>
      <c r="BJ9215" s="25"/>
      <c r="BK9215" s="25"/>
    </row>
    <row r="9216" spans="60:63" ht="14.25" x14ac:dyDescent="0.2">
      <c r="BH9216" s="25"/>
      <c r="BI9216" s="25"/>
      <c r="BJ9216" s="25"/>
      <c r="BK9216" s="25"/>
    </row>
    <row r="9217" spans="60:63" ht="14.25" x14ac:dyDescent="0.2">
      <c r="BH9217" s="25"/>
      <c r="BI9217" s="25"/>
      <c r="BJ9217" s="25"/>
      <c r="BK9217" s="25"/>
    </row>
    <row r="9218" spans="60:63" ht="14.25" x14ac:dyDescent="0.2">
      <c r="BH9218" s="25"/>
      <c r="BI9218" s="25"/>
      <c r="BJ9218" s="25"/>
      <c r="BK9218" s="25"/>
    </row>
    <row r="9219" spans="60:63" ht="14.25" x14ac:dyDescent="0.2">
      <c r="BH9219" s="25"/>
      <c r="BI9219" s="25"/>
      <c r="BJ9219" s="25"/>
      <c r="BK9219" s="25"/>
    </row>
    <row r="9220" spans="60:63" ht="14.25" x14ac:dyDescent="0.2">
      <c r="BH9220" s="25"/>
      <c r="BI9220" s="25"/>
      <c r="BJ9220" s="25"/>
      <c r="BK9220" s="25"/>
    </row>
    <row r="9221" spans="60:63" ht="14.25" x14ac:dyDescent="0.2">
      <c r="BH9221" s="25"/>
      <c r="BI9221" s="25"/>
      <c r="BJ9221" s="25"/>
      <c r="BK9221" s="25"/>
    </row>
    <row r="9222" spans="60:63" ht="14.25" x14ac:dyDescent="0.2">
      <c r="BH9222" s="25"/>
      <c r="BI9222" s="25"/>
      <c r="BJ9222" s="25"/>
      <c r="BK9222" s="25"/>
    </row>
    <row r="9223" spans="60:63" ht="14.25" x14ac:dyDescent="0.2">
      <c r="BH9223" s="25"/>
      <c r="BI9223" s="25"/>
      <c r="BJ9223" s="25"/>
      <c r="BK9223" s="25"/>
    </row>
    <row r="9224" spans="60:63" ht="14.25" x14ac:dyDescent="0.2">
      <c r="BH9224" s="25"/>
      <c r="BI9224" s="25"/>
      <c r="BJ9224" s="25"/>
      <c r="BK9224" s="25"/>
    </row>
    <row r="9225" spans="60:63" ht="14.25" x14ac:dyDescent="0.2">
      <c r="BH9225" s="25"/>
      <c r="BI9225" s="25"/>
      <c r="BJ9225" s="25"/>
      <c r="BK9225" s="25"/>
    </row>
    <row r="9226" spans="60:63" ht="14.25" x14ac:dyDescent="0.2">
      <c r="BH9226" s="25"/>
      <c r="BI9226" s="25"/>
      <c r="BJ9226" s="25"/>
      <c r="BK9226" s="25"/>
    </row>
    <row r="9227" spans="60:63" ht="14.25" x14ac:dyDescent="0.2">
      <c r="BH9227" s="25"/>
      <c r="BI9227" s="25"/>
      <c r="BJ9227" s="25"/>
      <c r="BK9227" s="25"/>
    </row>
    <row r="9228" spans="60:63" ht="14.25" x14ac:dyDescent="0.2">
      <c r="BH9228" s="25"/>
      <c r="BI9228" s="25"/>
      <c r="BJ9228" s="25"/>
      <c r="BK9228" s="25"/>
    </row>
    <row r="9229" spans="60:63" ht="14.25" x14ac:dyDescent="0.2">
      <c r="BH9229" s="25"/>
      <c r="BI9229" s="25"/>
      <c r="BJ9229" s="25"/>
      <c r="BK9229" s="25"/>
    </row>
    <row r="9230" spans="60:63" ht="14.25" x14ac:dyDescent="0.2">
      <c r="BH9230" s="25"/>
      <c r="BI9230" s="25"/>
      <c r="BJ9230" s="25"/>
      <c r="BK9230" s="25"/>
    </row>
    <row r="9231" spans="60:63" ht="14.25" x14ac:dyDescent="0.2">
      <c r="BH9231" s="25"/>
      <c r="BI9231" s="25"/>
      <c r="BJ9231" s="25"/>
      <c r="BK9231" s="25"/>
    </row>
    <row r="9232" spans="60:63" ht="14.25" x14ac:dyDescent="0.2">
      <c r="BH9232" s="25"/>
      <c r="BI9232" s="25"/>
      <c r="BJ9232" s="25"/>
      <c r="BK9232" s="25"/>
    </row>
    <row r="9233" spans="60:63" ht="14.25" x14ac:dyDescent="0.2">
      <c r="BH9233" s="25"/>
      <c r="BI9233" s="25"/>
      <c r="BJ9233" s="25"/>
      <c r="BK9233" s="25"/>
    </row>
    <row r="9234" spans="60:63" ht="14.25" x14ac:dyDescent="0.2">
      <c r="BH9234" s="25"/>
      <c r="BI9234" s="25"/>
      <c r="BJ9234" s="25"/>
      <c r="BK9234" s="25"/>
    </row>
    <row r="9235" spans="60:63" ht="14.25" x14ac:dyDescent="0.2">
      <c r="BH9235" s="25"/>
      <c r="BI9235" s="25"/>
      <c r="BJ9235" s="25"/>
      <c r="BK9235" s="25"/>
    </row>
    <row r="9236" spans="60:63" ht="14.25" x14ac:dyDescent="0.2">
      <c r="BH9236" s="25"/>
      <c r="BI9236" s="25"/>
      <c r="BJ9236" s="25"/>
      <c r="BK9236" s="25"/>
    </row>
    <row r="9237" spans="60:63" ht="14.25" x14ac:dyDescent="0.2">
      <c r="BH9237" s="25"/>
      <c r="BI9237" s="25"/>
      <c r="BJ9237" s="25"/>
      <c r="BK9237" s="25"/>
    </row>
    <row r="9238" spans="60:63" ht="14.25" x14ac:dyDescent="0.2">
      <c r="BH9238" s="25"/>
      <c r="BI9238" s="25"/>
      <c r="BJ9238" s="25"/>
      <c r="BK9238" s="25"/>
    </row>
    <row r="9239" spans="60:63" ht="14.25" x14ac:dyDescent="0.2">
      <c r="BH9239" s="25"/>
      <c r="BI9239" s="25"/>
      <c r="BJ9239" s="25"/>
      <c r="BK9239" s="25"/>
    </row>
    <row r="9240" spans="60:63" ht="14.25" x14ac:dyDescent="0.2">
      <c r="BH9240" s="25"/>
      <c r="BI9240" s="25"/>
      <c r="BJ9240" s="25"/>
      <c r="BK9240" s="25"/>
    </row>
    <row r="9241" spans="60:63" ht="14.25" x14ac:dyDescent="0.2">
      <c r="BH9241" s="25"/>
      <c r="BI9241" s="25"/>
      <c r="BJ9241" s="25"/>
      <c r="BK9241" s="25"/>
    </row>
    <row r="9242" spans="60:63" ht="14.25" x14ac:dyDescent="0.2">
      <c r="BH9242" s="25"/>
      <c r="BI9242" s="25"/>
      <c r="BJ9242" s="25"/>
      <c r="BK9242" s="25"/>
    </row>
    <row r="9243" spans="60:63" ht="14.25" x14ac:dyDescent="0.2">
      <c r="BH9243" s="25"/>
      <c r="BI9243" s="25"/>
      <c r="BJ9243" s="25"/>
      <c r="BK9243" s="25"/>
    </row>
    <row r="9244" spans="60:63" ht="14.25" x14ac:dyDescent="0.2">
      <c r="BH9244" s="25"/>
      <c r="BI9244" s="25"/>
      <c r="BJ9244" s="25"/>
      <c r="BK9244" s="25"/>
    </row>
    <row r="9245" spans="60:63" ht="14.25" x14ac:dyDescent="0.2">
      <c r="BH9245" s="25"/>
      <c r="BI9245" s="25"/>
      <c r="BJ9245" s="25"/>
      <c r="BK9245" s="25"/>
    </row>
    <row r="9246" spans="60:63" ht="14.25" x14ac:dyDescent="0.2">
      <c r="BH9246" s="25"/>
      <c r="BI9246" s="25"/>
      <c r="BJ9246" s="25"/>
      <c r="BK9246" s="25"/>
    </row>
    <row r="9247" spans="60:63" ht="14.25" x14ac:dyDescent="0.2">
      <c r="BH9247" s="25"/>
      <c r="BI9247" s="25"/>
      <c r="BJ9247" s="25"/>
      <c r="BK9247" s="25"/>
    </row>
    <row r="9248" spans="60:63" ht="14.25" x14ac:dyDescent="0.2">
      <c r="BH9248" s="25"/>
      <c r="BI9248" s="25"/>
      <c r="BJ9248" s="25"/>
      <c r="BK9248" s="25"/>
    </row>
    <row r="9249" spans="60:63" ht="14.25" x14ac:dyDescent="0.2">
      <c r="BH9249" s="25"/>
      <c r="BI9249" s="25"/>
      <c r="BJ9249" s="25"/>
      <c r="BK9249" s="25"/>
    </row>
    <row r="9250" spans="60:63" ht="14.25" x14ac:dyDescent="0.2">
      <c r="BH9250" s="25"/>
      <c r="BI9250" s="25"/>
      <c r="BJ9250" s="25"/>
      <c r="BK9250" s="25"/>
    </row>
    <row r="9251" spans="60:63" ht="14.25" x14ac:dyDescent="0.2">
      <c r="BH9251" s="25"/>
      <c r="BI9251" s="25"/>
      <c r="BJ9251" s="25"/>
      <c r="BK9251" s="25"/>
    </row>
    <row r="9252" spans="60:63" ht="14.25" x14ac:dyDescent="0.2">
      <c r="BH9252" s="25"/>
      <c r="BI9252" s="25"/>
      <c r="BJ9252" s="25"/>
      <c r="BK9252" s="25"/>
    </row>
    <row r="9253" spans="60:63" ht="14.25" x14ac:dyDescent="0.2">
      <c r="BH9253" s="25"/>
      <c r="BI9253" s="25"/>
      <c r="BJ9253" s="25"/>
      <c r="BK9253" s="25"/>
    </row>
    <row r="9254" spans="60:63" ht="14.25" x14ac:dyDescent="0.2">
      <c r="BH9254" s="25"/>
      <c r="BI9254" s="25"/>
      <c r="BJ9254" s="25"/>
      <c r="BK9254" s="25"/>
    </row>
    <row r="9255" spans="60:63" ht="14.25" x14ac:dyDescent="0.2">
      <c r="BH9255" s="25"/>
      <c r="BI9255" s="25"/>
      <c r="BJ9255" s="25"/>
      <c r="BK9255" s="25"/>
    </row>
    <row r="9256" spans="60:63" ht="14.25" x14ac:dyDescent="0.2">
      <c r="BH9256" s="25"/>
      <c r="BI9256" s="25"/>
      <c r="BJ9256" s="25"/>
      <c r="BK9256" s="25"/>
    </row>
    <row r="9257" spans="60:63" ht="14.25" x14ac:dyDescent="0.2">
      <c r="BH9257" s="25"/>
      <c r="BI9257" s="25"/>
      <c r="BJ9257" s="25"/>
      <c r="BK9257" s="25"/>
    </row>
    <row r="9258" spans="60:63" ht="14.25" x14ac:dyDescent="0.2">
      <c r="BH9258" s="25"/>
      <c r="BI9258" s="25"/>
      <c r="BJ9258" s="25"/>
      <c r="BK9258" s="25"/>
    </row>
    <row r="9259" spans="60:63" ht="14.25" x14ac:dyDescent="0.2">
      <c r="BH9259" s="25"/>
      <c r="BI9259" s="25"/>
      <c r="BJ9259" s="25"/>
      <c r="BK9259" s="25"/>
    </row>
    <row r="9260" spans="60:63" ht="14.25" x14ac:dyDescent="0.2">
      <c r="BH9260" s="25"/>
      <c r="BI9260" s="25"/>
      <c r="BJ9260" s="25"/>
      <c r="BK9260" s="25"/>
    </row>
    <row r="9261" spans="60:63" ht="14.25" x14ac:dyDescent="0.2">
      <c r="BH9261" s="25"/>
      <c r="BI9261" s="25"/>
      <c r="BJ9261" s="25"/>
      <c r="BK9261" s="25"/>
    </row>
    <row r="9262" spans="60:63" ht="14.25" x14ac:dyDescent="0.2">
      <c r="BH9262" s="25"/>
      <c r="BI9262" s="25"/>
      <c r="BJ9262" s="25"/>
      <c r="BK9262" s="25"/>
    </row>
    <row r="9263" spans="60:63" ht="14.25" x14ac:dyDescent="0.2">
      <c r="BH9263" s="25"/>
      <c r="BI9263" s="25"/>
      <c r="BJ9263" s="25"/>
      <c r="BK9263" s="25"/>
    </row>
    <row r="9264" spans="60:63" ht="14.25" x14ac:dyDescent="0.2">
      <c r="BH9264" s="25"/>
      <c r="BI9264" s="25"/>
      <c r="BJ9264" s="25"/>
      <c r="BK9264" s="25"/>
    </row>
    <row r="9265" spans="60:63" ht="14.25" x14ac:dyDescent="0.2">
      <c r="BH9265" s="25"/>
      <c r="BI9265" s="25"/>
      <c r="BJ9265" s="25"/>
      <c r="BK9265" s="25"/>
    </row>
    <row r="9266" spans="60:63" ht="14.25" x14ac:dyDescent="0.2">
      <c r="BH9266" s="25"/>
      <c r="BI9266" s="25"/>
      <c r="BJ9266" s="25"/>
      <c r="BK9266" s="25"/>
    </row>
    <row r="9267" spans="60:63" ht="14.25" x14ac:dyDescent="0.2">
      <c r="BH9267" s="25"/>
      <c r="BI9267" s="25"/>
      <c r="BJ9267" s="25"/>
      <c r="BK9267" s="25"/>
    </row>
    <row r="9268" spans="60:63" ht="14.25" x14ac:dyDescent="0.2">
      <c r="BH9268" s="25"/>
      <c r="BI9268" s="25"/>
      <c r="BJ9268" s="25"/>
      <c r="BK9268" s="25"/>
    </row>
    <row r="9269" spans="60:63" ht="14.25" x14ac:dyDescent="0.2">
      <c r="BH9269" s="25"/>
      <c r="BI9269" s="25"/>
      <c r="BJ9269" s="25"/>
      <c r="BK9269" s="25"/>
    </row>
    <row r="9270" spans="60:63" ht="14.25" x14ac:dyDescent="0.2">
      <c r="BH9270" s="25"/>
      <c r="BI9270" s="25"/>
      <c r="BJ9270" s="25"/>
      <c r="BK9270" s="25"/>
    </row>
    <row r="9271" spans="60:63" ht="14.25" x14ac:dyDescent="0.2">
      <c r="BH9271" s="25"/>
      <c r="BI9271" s="25"/>
      <c r="BJ9271" s="25"/>
      <c r="BK9271" s="25"/>
    </row>
    <row r="9272" spans="60:63" ht="14.25" x14ac:dyDescent="0.2">
      <c r="BH9272" s="25"/>
      <c r="BI9272" s="25"/>
      <c r="BJ9272" s="25"/>
      <c r="BK9272" s="25"/>
    </row>
    <row r="9273" spans="60:63" ht="14.25" x14ac:dyDescent="0.2">
      <c r="BH9273" s="25"/>
      <c r="BI9273" s="25"/>
      <c r="BJ9273" s="25"/>
      <c r="BK9273" s="25"/>
    </row>
    <row r="9274" spans="60:63" ht="14.25" x14ac:dyDescent="0.2">
      <c r="BH9274" s="25"/>
      <c r="BI9274" s="25"/>
      <c r="BJ9274" s="25"/>
      <c r="BK9274" s="25"/>
    </row>
    <row r="9275" spans="60:63" ht="14.25" x14ac:dyDescent="0.2">
      <c r="BH9275" s="25"/>
      <c r="BI9275" s="25"/>
      <c r="BJ9275" s="25"/>
      <c r="BK9275" s="25"/>
    </row>
    <row r="9276" spans="60:63" ht="14.25" x14ac:dyDescent="0.2">
      <c r="BH9276" s="25"/>
      <c r="BI9276" s="25"/>
      <c r="BJ9276" s="25"/>
      <c r="BK9276" s="25"/>
    </row>
    <row r="9277" spans="60:63" ht="14.25" x14ac:dyDescent="0.2">
      <c r="BH9277" s="25"/>
      <c r="BI9277" s="25"/>
      <c r="BJ9277" s="25"/>
      <c r="BK9277" s="25"/>
    </row>
    <row r="9278" spans="60:63" ht="14.25" x14ac:dyDescent="0.2">
      <c r="BH9278" s="25"/>
      <c r="BI9278" s="25"/>
      <c r="BJ9278" s="25"/>
      <c r="BK9278" s="25"/>
    </row>
    <row r="9279" spans="60:63" ht="14.25" x14ac:dyDescent="0.2">
      <c r="BH9279" s="25"/>
      <c r="BI9279" s="25"/>
      <c r="BJ9279" s="25"/>
      <c r="BK9279" s="25"/>
    </row>
    <row r="9280" spans="60:63" ht="14.25" x14ac:dyDescent="0.2">
      <c r="BH9280" s="25"/>
      <c r="BI9280" s="25"/>
      <c r="BJ9280" s="25"/>
      <c r="BK9280" s="25"/>
    </row>
    <row r="9281" spans="60:63" ht="14.25" x14ac:dyDescent="0.2">
      <c r="BH9281" s="25"/>
      <c r="BI9281" s="25"/>
      <c r="BJ9281" s="25"/>
      <c r="BK9281" s="25"/>
    </row>
    <row r="9282" spans="60:63" ht="14.25" x14ac:dyDescent="0.2">
      <c r="BH9282" s="25"/>
      <c r="BI9282" s="25"/>
      <c r="BJ9282" s="25"/>
      <c r="BK9282" s="25"/>
    </row>
    <row r="9283" spans="60:63" ht="14.25" x14ac:dyDescent="0.2">
      <c r="BH9283" s="25"/>
      <c r="BI9283" s="25"/>
      <c r="BJ9283" s="25"/>
      <c r="BK9283" s="25"/>
    </row>
    <row r="9284" spans="60:63" ht="14.25" x14ac:dyDescent="0.2">
      <c r="BH9284" s="25"/>
      <c r="BI9284" s="25"/>
      <c r="BJ9284" s="25"/>
      <c r="BK9284" s="25"/>
    </row>
    <row r="9285" spans="60:63" ht="14.25" x14ac:dyDescent="0.2">
      <c r="BH9285" s="25"/>
      <c r="BI9285" s="25"/>
      <c r="BJ9285" s="25"/>
      <c r="BK9285" s="25"/>
    </row>
    <row r="9286" spans="60:63" ht="14.25" x14ac:dyDescent="0.2">
      <c r="BH9286" s="25"/>
      <c r="BI9286" s="25"/>
      <c r="BJ9286" s="25"/>
      <c r="BK9286" s="25"/>
    </row>
    <row r="9287" spans="60:63" ht="14.25" x14ac:dyDescent="0.2">
      <c r="BH9287" s="25"/>
      <c r="BI9287" s="25"/>
      <c r="BJ9287" s="25"/>
      <c r="BK9287" s="25"/>
    </row>
    <row r="9288" spans="60:63" ht="14.25" x14ac:dyDescent="0.2">
      <c r="BH9288" s="25"/>
      <c r="BI9288" s="25"/>
      <c r="BJ9288" s="25"/>
      <c r="BK9288" s="25"/>
    </row>
    <row r="9289" spans="60:63" ht="14.25" x14ac:dyDescent="0.2">
      <c r="BH9289" s="25"/>
      <c r="BI9289" s="25"/>
      <c r="BJ9289" s="25"/>
      <c r="BK9289" s="25"/>
    </row>
    <row r="9290" spans="60:63" ht="14.25" x14ac:dyDescent="0.2">
      <c r="BH9290" s="25"/>
      <c r="BI9290" s="25"/>
      <c r="BJ9290" s="25"/>
      <c r="BK9290" s="25"/>
    </row>
    <row r="9291" spans="60:63" ht="14.25" x14ac:dyDescent="0.2">
      <c r="BH9291" s="25"/>
      <c r="BI9291" s="25"/>
      <c r="BJ9291" s="25"/>
      <c r="BK9291" s="25"/>
    </row>
    <row r="9292" spans="60:63" ht="14.25" x14ac:dyDescent="0.2">
      <c r="BH9292" s="25"/>
      <c r="BI9292" s="25"/>
      <c r="BJ9292" s="25"/>
      <c r="BK9292" s="25"/>
    </row>
    <row r="9293" spans="60:63" ht="14.25" x14ac:dyDescent="0.2">
      <c r="BH9293" s="25"/>
      <c r="BI9293" s="25"/>
      <c r="BJ9293" s="25"/>
      <c r="BK9293" s="25"/>
    </row>
    <row r="9294" spans="60:63" ht="14.25" x14ac:dyDescent="0.2">
      <c r="BH9294" s="25"/>
      <c r="BI9294" s="25"/>
      <c r="BJ9294" s="25"/>
      <c r="BK9294" s="25"/>
    </row>
    <row r="9295" spans="60:63" ht="14.25" x14ac:dyDescent="0.2">
      <c r="BH9295" s="25"/>
      <c r="BI9295" s="25"/>
      <c r="BJ9295" s="25"/>
      <c r="BK9295" s="25"/>
    </row>
    <row r="9296" spans="60:63" ht="14.25" x14ac:dyDescent="0.2">
      <c r="BH9296" s="25"/>
      <c r="BI9296" s="25"/>
      <c r="BJ9296" s="25"/>
      <c r="BK9296" s="25"/>
    </row>
    <row r="9297" spans="60:63" ht="14.25" x14ac:dyDescent="0.2">
      <c r="BH9297" s="25"/>
      <c r="BI9297" s="25"/>
      <c r="BJ9297" s="25"/>
      <c r="BK9297" s="25"/>
    </row>
    <row r="9298" spans="60:63" ht="14.25" x14ac:dyDescent="0.2">
      <c r="BH9298" s="25"/>
      <c r="BI9298" s="25"/>
      <c r="BJ9298" s="25"/>
      <c r="BK9298" s="25"/>
    </row>
    <row r="9299" spans="60:63" ht="14.25" x14ac:dyDescent="0.2">
      <c r="BH9299" s="25"/>
      <c r="BI9299" s="25"/>
      <c r="BJ9299" s="25"/>
      <c r="BK9299" s="25"/>
    </row>
    <row r="9300" spans="60:63" ht="14.25" x14ac:dyDescent="0.2">
      <c r="BH9300" s="25"/>
      <c r="BI9300" s="25"/>
      <c r="BJ9300" s="25"/>
      <c r="BK9300" s="25"/>
    </row>
    <row r="9301" spans="60:63" ht="14.25" x14ac:dyDescent="0.2">
      <c r="BH9301" s="25"/>
      <c r="BI9301" s="25"/>
      <c r="BJ9301" s="25"/>
      <c r="BK9301" s="25"/>
    </row>
    <row r="9302" spans="60:63" ht="14.25" x14ac:dyDescent="0.2">
      <c r="BH9302" s="25"/>
      <c r="BI9302" s="25"/>
      <c r="BJ9302" s="25"/>
      <c r="BK9302" s="25"/>
    </row>
    <row r="9303" spans="60:63" ht="14.25" x14ac:dyDescent="0.2">
      <c r="BH9303" s="25"/>
      <c r="BI9303" s="25"/>
      <c r="BJ9303" s="25"/>
      <c r="BK9303" s="25"/>
    </row>
    <row r="9304" spans="60:63" ht="14.25" x14ac:dyDescent="0.2">
      <c r="BH9304" s="25"/>
      <c r="BI9304" s="25"/>
      <c r="BJ9304" s="25"/>
      <c r="BK9304" s="25"/>
    </row>
    <row r="9305" spans="60:63" ht="14.25" x14ac:dyDescent="0.2">
      <c r="BH9305" s="25"/>
      <c r="BI9305" s="25"/>
      <c r="BJ9305" s="25"/>
      <c r="BK9305" s="25"/>
    </row>
    <row r="9306" spans="60:63" ht="14.25" x14ac:dyDescent="0.2">
      <c r="BH9306" s="25"/>
      <c r="BI9306" s="25"/>
      <c r="BJ9306" s="25"/>
      <c r="BK9306" s="25"/>
    </row>
    <row r="9307" spans="60:63" ht="14.25" x14ac:dyDescent="0.2">
      <c r="BH9307" s="25"/>
      <c r="BI9307" s="25"/>
      <c r="BJ9307" s="25"/>
      <c r="BK9307" s="25"/>
    </row>
    <row r="9308" spans="60:63" ht="14.25" x14ac:dyDescent="0.2">
      <c r="BH9308" s="25"/>
      <c r="BI9308" s="25"/>
      <c r="BJ9308" s="25"/>
      <c r="BK9308" s="25"/>
    </row>
    <row r="9309" spans="60:63" ht="14.25" x14ac:dyDescent="0.2">
      <c r="BH9309" s="25"/>
      <c r="BI9309" s="25"/>
      <c r="BJ9309" s="25"/>
      <c r="BK9309" s="25"/>
    </row>
    <row r="9310" spans="60:63" ht="14.25" x14ac:dyDescent="0.2">
      <c r="BH9310" s="25"/>
      <c r="BI9310" s="25"/>
      <c r="BJ9310" s="25"/>
      <c r="BK9310" s="25"/>
    </row>
    <row r="9311" spans="60:63" ht="14.25" x14ac:dyDescent="0.2">
      <c r="BH9311" s="25"/>
      <c r="BI9311" s="25"/>
      <c r="BJ9311" s="25"/>
      <c r="BK9311" s="25"/>
    </row>
    <row r="9312" spans="60:63" ht="14.25" x14ac:dyDescent="0.2">
      <c r="BH9312" s="25"/>
      <c r="BI9312" s="25"/>
      <c r="BJ9312" s="25"/>
      <c r="BK9312" s="25"/>
    </row>
    <row r="9313" spans="60:63" ht="14.25" x14ac:dyDescent="0.2">
      <c r="BH9313" s="25"/>
      <c r="BI9313" s="25"/>
      <c r="BJ9313" s="25"/>
      <c r="BK9313" s="25"/>
    </row>
    <row r="9314" spans="60:63" ht="14.25" x14ac:dyDescent="0.2">
      <c r="BH9314" s="25"/>
      <c r="BI9314" s="25"/>
      <c r="BJ9314" s="25"/>
      <c r="BK9314" s="25"/>
    </row>
    <row r="9315" spans="60:63" ht="14.25" x14ac:dyDescent="0.2">
      <c r="BH9315" s="25"/>
      <c r="BI9315" s="25"/>
      <c r="BJ9315" s="25"/>
      <c r="BK9315" s="25"/>
    </row>
    <row r="9316" spans="60:63" ht="14.25" x14ac:dyDescent="0.2">
      <c r="BH9316" s="25"/>
      <c r="BI9316" s="25"/>
      <c r="BJ9316" s="25"/>
      <c r="BK9316" s="25"/>
    </row>
    <row r="9317" spans="60:63" ht="14.25" x14ac:dyDescent="0.2">
      <c r="BH9317" s="25"/>
      <c r="BI9317" s="25"/>
      <c r="BJ9317" s="25"/>
      <c r="BK9317" s="25"/>
    </row>
    <row r="9318" spans="60:63" ht="14.25" x14ac:dyDescent="0.2">
      <c r="BH9318" s="25"/>
      <c r="BI9318" s="25"/>
      <c r="BJ9318" s="25"/>
      <c r="BK9318" s="25"/>
    </row>
    <row r="9319" spans="60:63" ht="14.25" x14ac:dyDescent="0.2">
      <c r="BH9319" s="25"/>
      <c r="BI9319" s="25"/>
      <c r="BJ9319" s="25"/>
      <c r="BK9319" s="25"/>
    </row>
    <row r="9320" spans="60:63" ht="14.25" x14ac:dyDescent="0.2">
      <c r="BH9320" s="25"/>
      <c r="BI9320" s="25"/>
      <c r="BJ9320" s="25"/>
      <c r="BK9320" s="25"/>
    </row>
    <row r="9321" spans="60:63" ht="14.25" x14ac:dyDescent="0.2">
      <c r="BH9321" s="25"/>
      <c r="BI9321" s="25"/>
      <c r="BJ9321" s="25"/>
      <c r="BK9321" s="25"/>
    </row>
    <row r="9322" spans="60:63" ht="14.25" x14ac:dyDescent="0.2">
      <c r="BH9322" s="25"/>
      <c r="BI9322" s="25"/>
      <c r="BJ9322" s="25"/>
      <c r="BK9322" s="25"/>
    </row>
    <row r="9323" spans="60:63" ht="14.25" x14ac:dyDescent="0.2">
      <c r="BH9323" s="25"/>
      <c r="BI9323" s="25"/>
      <c r="BJ9323" s="25"/>
      <c r="BK9323" s="25"/>
    </row>
    <row r="9324" spans="60:63" ht="14.25" x14ac:dyDescent="0.2">
      <c r="BH9324" s="25"/>
      <c r="BI9324" s="25"/>
      <c r="BJ9324" s="25"/>
      <c r="BK9324" s="25"/>
    </row>
    <row r="9325" spans="60:63" ht="14.25" x14ac:dyDescent="0.2">
      <c r="BH9325" s="25"/>
      <c r="BI9325" s="25"/>
      <c r="BJ9325" s="25"/>
      <c r="BK9325" s="25"/>
    </row>
    <row r="9326" spans="60:63" ht="14.25" x14ac:dyDescent="0.2">
      <c r="BH9326" s="25"/>
      <c r="BI9326" s="25"/>
      <c r="BJ9326" s="25"/>
      <c r="BK9326" s="25"/>
    </row>
    <row r="9327" spans="60:63" ht="14.25" x14ac:dyDescent="0.2">
      <c r="BH9327" s="25"/>
      <c r="BI9327" s="25"/>
      <c r="BJ9327" s="25"/>
      <c r="BK9327" s="25"/>
    </row>
    <row r="9328" spans="60:63" ht="14.25" x14ac:dyDescent="0.2">
      <c r="BH9328" s="25"/>
      <c r="BI9328" s="25"/>
      <c r="BJ9328" s="25"/>
      <c r="BK9328" s="25"/>
    </row>
    <row r="9329" spans="60:63" ht="14.25" x14ac:dyDescent="0.2">
      <c r="BH9329" s="25"/>
      <c r="BI9329" s="25"/>
      <c r="BJ9329" s="25"/>
      <c r="BK9329" s="25"/>
    </row>
    <row r="9330" spans="60:63" ht="14.25" x14ac:dyDescent="0.2">
      <c r="BH9330" s="25"/>
      <c r="BI9330" s="25"/>
      <c r="BJ9330" s="25"/>
      <c r="BK9330" s="25"/>
    </row>
    <row r="9331" spans="60:63" ht="14.25" x14ac:dyDescent="0.2">
      <c r="BH9331" s="25"/>
      <c r="BI9331" s="25"/>
      <c r="BJ9331" s="25"/>
      <c r="BK9331" s="25"/>
    </row>
    <row r="9332" spans="60:63" ht="14.25" x14ac:dyDescent="0.2">
      <c r="BH9332" s="25"/>
      <c r="BI9332" s="25"/>
      <c r="BJ9332" s="25"/>
      <c r="BK9332" s="25"/>
    </row>
    <row r="9333" spans="60:63" ht="14.25" x14ac:dyDescent="0.2">
      <c r="BH9333" s="25"/>
      <c r="BI9333" s="25"/>
      <c r="BJ9333" s="25"/>
      <c r="BK9333" s="25"/>
    </row>
    <row r="9334" spans="60:63" ht="14.25" x14ac:dyDescent="0.2">
      <c r="BH9334" s="25"/>
      <c r="BI9334" s="25"/>
      <c r="BJ9334" s="25"/>
      <c r="BK9334" s="25"/>
    </row>
    <row r="9335" spans="60:63" ht="14.25" x14ac:dyDescent="0.2">
      <c r="BH9335" s="25"/>
      <c r="BI9335" s="25"/>
      <c r="BJ9335" s="25"/>
      <c r="BK9335" s="25"/>
    </row>
    <row r="9336" spans="60:63" ht="14.25" x14ac:dyDescent="0.2">
      <c r="BH9336" s="25"/>
      <c r="BI9336" s="25"/>
      <c r="BJ9336" s="25"/>
      <c r="BK9336" s="25"/>
    </row>
    <row r="9337" spans="60:63" ht="14.25" x14ac:dyDescent="0.2">
      <c r="BH9337" s="25"/>
      <c r="BI9337" s="25"/>
      <c r="BJ9337" s="25"/>
      <c r="BK9337" s="25"/>
    </row>
    <row r="9338" spans="60:63" ht="14.25" x14ac:dyDescent="0.2">
      <c r="BH9338" s="25"/>
      <c r="BI9338" s="25"/>
      <c r="BJ9338" s="25"/>
      <c r="BK9338" s="25"/>
    </row>
    <row r="9339" spans="60:63" ht="14.25" x14ac:dyDescent="0.2">
      <c r="BH9339" s="25"/>
      <c r="BI9339" s="25"/>
      <c r="BJ9339" s="25"/>
      <c r="BK9339" s="25"/>
    </row>
    <row r="9340" spans="60:63" ht="14.25" x14ac:dyDescent="0.2">
      <c r="BH9340" s="25"/>
      <c r="BI9340" s="25"/>
      <c r="BJ9340" s="25"/>
      <c r="BK9340" s="25"/>
    </row>
    <row r="9341" spans="60:63" ht="14.25" x14ac:dyDescent="0.2">
      <c r="BH9341" s="25"/>
      <c r="BI9341" s="25"/>
      <c r="BJ9341" s="25"/>
      <c r="BK9341" s="25"/>
    </row>
    <row r="9342" spans="60:63" ht="14.25" x14ac:dyDescent="0.2">
      <c r="BH9342" s="25"/>
      <c r="BI9342" s="25"/>
      <c r="BJ9342" s="25"/>
      <c r="BK9342" s="25"/>
    </row>
    <row r="9343" spans="60:63" ht="14.25" x14ac:dyDescent="0.2">
      <c r="BH9343" s="25"/>
      <c r="BI9343" s="25"/>
      <c r="BJ9343" s="25"/>
      <c r="BK9343" s="25"/>
    </row>
    <row r="9344" spans="60:63" ht="14.25" x14ac:dyDescent="0.2">
      <c r="BH9344" s="25"/>
      <c r="BI9344" s="25"/>
      <c r="BJ9344" s="25"/>
      <c r="BK9344" s="25"/>
    </row>
    <row r="9345" spans="60:63" ht="14.25" x14ac:dyDescent="0.2">
      <c r="BH9345" s="25"/>
      <c r="BI9345" s="25"/>
      <c r="BJ9345" s="25"/>
      <c r="BK9345" s="25"/>
    </row>
    <row r="9346" spans="60:63" ht="14.25" x14ac:dyDescent="0.2">
      <c r="BH9346" s="25"/>
      <c r="BI9346" s="25"/>
      <c r="BJ9346" s="25"/>
      <c r="BK9346" s="25"/>
    </row>
    <row r="9347" spans="60:63" ht="14.25" x14ac:dyDescent="0.2">
      <c r="BH9347" s="25"/>
      <c r="BI9347" s="25"/>
      <c r="BJ9347" s="25"/>
      <c r="BK9347" s="25"/>
    </row>
    <row r="9348" spans="60:63" ht="14.25" x14ac:dyDescent="0.2">
      <c r="BH9348" s="25"/>
      <c r="BI9348" s="25"/>
      <c r="BJ9348" s="25"/>
      <c r="BK9348" s="25"/>
    </row>
    <row r="9349" spans="60:63" ht="14.25" x14ac:dyDescent="0.2">
      <c r="BH9349" s="25"/>
      <c r="BI9349" s="25"/>
      <c r="BJ9349" s="25"/>
      <c r="BK9349" s="25"/>
    </row>
    <row r="9350" spans="60:63" ht="14.25" x14ac:dyDescent="0.2">
      <c r="BH9350" s="25"/>
      <c r="BI9350" s="25"/>
      <c r="BJ9350" s="25"/>
      <c r="BK9350" s="25"/>
    </row>
    <row r="9351" spans="60:63" ht="14.25" x14ac:dyDescent="0.2">
      <c r="BH9351" s="25"/>
      <c r="BI9351" s="25"/>
      <c r="BJ9351" s="25"/>
      <c r="BK9351" s="25"/>
    </row>
    <row r="9352" spans="60:63" ht="14.25" x14ac:dyDescent="0.2">
      <c r="BH9352" s="25"/>
      <c r="BI9352" s="25"/>
      <c r="BJ9352" s="25"/>
      <c r="BK9352" s="25"/>
    </row>
    <row r="9353" spans="60:63" ht="14.25" x14ac:dyDescent="0.2">
      <c r="BH9353" s="25"/>
      <c r="BI9353" s="25"/>
      <c r="BJ9353" s="25"/>
      <c r="BK9353" s="25"/>
    </row>
    <row r="9354" spans="60:63" ht="14.25" x14ac:dyDescent="0.2">
      <c r="BH9354" s="25"/>
      <c r="BI9354" s="25"/>
      <c r="BJ9354" s="25"/>
      <c r="BK9354" s="25"/>
    </row>
    <row r="9355" spans="60:63" ht="14.25" x14ac:dyDescent="0.2">
      <c r="BH9355" s="25"/>
      <c r="BI9355" s="25"/>
      <c r="BJ9355" s="25"/>
      <c r="BK9355" s="25"/>
    </row>
    <row r="9356" spans="60:63" ht="14.25" x14ac:dyDescent="0.2">
      <c r="BH9356" s="25"/>
      <c r="BI9356" s="25"/>
      <c r="BJ9356" s="25"/>
      <c r="BK9356" s="25"/>
    </row>
    <row r="9357" spans="60:63" ht="14.25" x14ac:dyDescent="0.2">
      <c r="BH9357" s="25"/>
      <c r="BI9357" s="25"/>
      <c r="BJ9357" s="25"/>
      <c r="BK9357" s="25"/>
    </row>
    <row r="9358" spans="60:63" ht="14.25" x14ac:dyDescent="0.2">
      <c r="BH9358" s="25"/>
      <c r="BI9358" s="25"/>
      <c r="BJ9358" s="25"/>
      <c r="BK9358" s="25"/>
    </row>
    <row r="9359" spans="60:63" ht="14.25" x14ac:dyDescent="0.2">
      <c r="BH9359" s="25"/>
      <c r="BI9359" s="25"/>
      <c r="BJ9359" s="25"/>
      <c r="BK9359" s="25"/>
    </row>
    <row r="9360" spans="60:63" ht="14.25" x14ac:dyDescent="0.2">
      <c r="BH9360" s="25"/>
      <c r="BI9360" s="25"/>
      <c r="BJ9360" s="25"/>
      <c r="BK9360" s="25"/>
    </row>
    <row r="9361" spans="60:63" ht="14.25" x14ac:dyDescent="0.2">
      <c r="BH9361" s="25"/>
      <c r="BI9361" s="25"/>
      <c r="BJ9361" s="25"/>
      <c r="BK9361" s="25"/>
    </row>
    <row r="9362" spans="60:63" ht="14.25" x14ac:dyDescent="0.2">
      <c r="BH9362" s="25"/>
      <c r="BI9362" s="25"/>
      <c r="BJ9362" s="25"/>
      <c r="BK9362" s="25"/>
    </row>
    <row r="9363" spans="60:63" ht="14.25" x14ac:dyDescent="0.2">
      <c r="BH9363" s="25"/>
      <c r="BI9363" s="25"/>
      <c r="BJ9363" s="25"/>
      <c r="BK9363" s="25"/>
    </row>
    <row r="9364" spans="60:63" ht="14.25" x14ac:dyDescent="0.2">
      <c r="BH9364" s="25"/>
      <c r="BI9364" s="25"/>
      <c r="BJ9364" s="25"/>
      <c r="BK9364" s="25"/>
    </row>
    <row r="9365" spans="60:63" ht="14.25" x14ac:dyDescent="0.2">
      <c r="BH9365" s="25"/>
      <c r="BI9365" s="25"/>
      <c r="BJ9365" s="25"/>
      <c r="BK9365" s="25"/>
    </row>
    <row r="9366" spans="60:63" ht="14.25" x14ac:dyDescent="0.2">
      <c r="BH9366" s="25"/>
      <c r="BI9366" s="25"/>
      <c r="BJ9366" s="25"/>
      <c r="BK9366" s="25"/>
    </row>
    <row r="9367" spans="60:63" ht="14.25" x14ac:dyDescent="0.2">
      <c r="BH9367" s="25"/>
      <c r="BI9367" s="25"/>
      <c r="BJ9367" s="25"/>
      <c r="BK9367" s="25"/>
    </row>
    <row r="9368" spans="60:63" ht="14.25" x14ac:dyDescent="0.2">
      <c r="BH9368" s="25"/>
      <c r="BI9368" s="25"/>
      <c r="BJ9368" s="25"/>
      <c r="BK9368" s="25"/>
    </row>
    <row r="9369" spans="60:63" ht="14.25" x14ac:dyDescent="0.2">
      <c r="BH9369" s="25"/>
      <c r="BI9369" s="25"/>
      <c r="BJ9369" s="25"/>
      <c r="BK9369" s="25"/>
    </row>
    <row r="9370" spans="60:63" ht="14.25" x14ac:dyDescent="0.2">
      <c r="BH9370" s="25"/>
      <c r="BI9370" s="25"/>
      <c r="BJ9370" s="25"/>
      <c r="BK9370" s="25"/>
    </row>
    <row r="9371" spans="60:63" ht="14.25" x14ac:dyDescent="0.2">
      <c r="BH9371" s="25"/>
      <c r="BI9371" s="25"/>
      <c r="BJ9371" s="25"/>
      <c r="BK9371" s="25"/>
    </row>
    <row r="9372" spans="60:63" ht="14.25" x14ac:dyDescent="0.2">
      <c r="BH9372" s="25"/>
      <c r="BI9372" s="25"/>
      <c r="BJ9372" s="25"/>
      <c r="BK9372" s="25"/>
    </row>
    <row r="9373" spans="60:63" ht="14.25" x14ac:dyDescent="0.2">
      <c r="BH9373" s="25"/>
      <c r="BI9373" s="25"/>
      <c r="BJ9373" s="25"/>
      <c r="BK9373" s="25"/>
    </row>
    <row r="9374" spans="60:63" ht="14.25" x14ac:dyDescent="0.2">
      <c r="BH9374" s="25"/>
      <c r="BI9374" s="25"/>
      <c r="BJ9374" s="25"/>
      <c r="BK9374" s="25"/>
    </row>
    <row r="9375" spans="60:63" ht="14.25" x14ac:dyDescent="0.2">
      <c r="BH9375" s="25"/>
      <c r="BI9375" s="25"/>
      <c r="BJ9375" s="25"/>
      <c r="BK9375" s="25"/>
    </row>
    <row r="9376" spans="60:63" ht="14.25" x14ac:dyDescent="0.2">
      <c r="BH9376" s="25"/>
      <c r="BI9376" s="25"/>
      <c r="BJ9376" s="25"/>
      <c r="BK9376" s="25"/>
    </row>
    <row r="9377" spans="60:63" ht="14.25" x14ac:dyDescent="0.2">
      <c r="BH9377" s="25"/>
      <c r="BI9377" s="25"/>
      <c r="BJ9377" s="25"/>
      <c r="BK9377" s="25"/>
    </row>
    <row r="9378" spans="60:63" ht="14.25" x14ac:dyDescent="0.2">
      <c r="BH9378" s="25"/>
      <c r="BI9378" s="25"/>
      <c r="BJ9378" s="25"/>
      <c r="BK9378" s="25"/>
    </row>
    <row r="9379" spans="60:63" ht="14.25" x14ac:dyDescent="0.2">
      <c r="BH9379" s="25"/>
      <c r="BI9379" s="25"/>
      <c r="BJ9379" s="25"/>
      <c r="BK9379" s="25"/>
    </row>
    <row r="9380" spans="60:63" ht="14.25" x14ac:dyDescent="0.2">
      <c r="BH9380" s="25"/>
      <c r="BI9380" s="25"/>
      <c r="BJ9380" s="25"/>
      <c r="BK9380" s="25"/>
    </row>
    <row r="9381" spans="60:63" ht="14.25" x14ac:dyDescent="0.2">
      <c r="BH9381" s="25"/>
      <c r="BI9381" s="25"/>
      <c r="BJ9381" s="25"/>
      <c r="BK9381" s="25"/>
    </row>
    <row r="9382" spans="60:63" ht="14.25" x14ac:dyDescent="0.2">
      <c r="BH9382" s="25"/>
      <c r="BI9382" s="25"/>
      <c r="BJ9382" s="25"/>
      <c r="BK9382" s="25"/>
    </row>
    <row r="9383" spans="60:63" ht="14.25" x14ac:dyDescent="0.2">
      <c r="BH9383" s="25"/>
      <c r="BI9383" s="25"/>
      <c r="BJ9383" s="25"/>
      <c r="BK9383" s="25"/>
    </row>
    <row r="9384" spans="60:63" ht="14.25" x14ac:dyDescent="0.2">
      <c r="BH9384" s="25"/>
      <c r="BI9384" s="25"/>
      <c r="BJ9384" s="25"/>
      <c r="BK9384" s="25"/>
    </row>
    <row r="9385" spans="60:63" ht="14.25" x14ac:dyDescent="0.2">
      <c r="BH9385" s="25"/>
      <c r="BI9385" s="25"/>
      <c r="BJ9385" s="25"/>
      <c r="BK9385" s="25"/>
    </row>
    <row r="9386" spans="60:63" ht="14.25" x14ac:dyDescent="0.2">
      <c r="BH9386" s="25"/>
      <c r="BI9386" s="25"/>
      <c r="BJ9386" s="25"/>
      <c r="BK9386" s="25"/>
    </row>
    <row r="9387" spans="60:63" ht="14.25" x14ac:dyDescent="0.2">
      <c r="BH9387" s="25"/>
      <c r="BI9387" s="25"/>
      <c r="BJ9387" s="25"/>
      <c r="BK9387" s="25"/>
    </row>
    <row r="9388" spans="60:63" ht="14.25" x14ac:dyDescent="0.2">
      <c r="BH9388" s="25"/>
      <c r="BI9388" s="25"/>
      <c r="BJ9388" s="25"/>
      <c r="BK9388" s="25"/>
    </row>
    <row r="9389" spans="60:63" ht="14.25" x14ac:dyDescent="0.2">
      <c r="BH9389" s="25"/>
      <c r="BI9389" s="25"/>
      <c r="BJ9389" s="25"/>
      <c r="BK9389" s="25"/>
    </row>
    <row r="9390" spans="60:63" ht="14.25" x14ac:dyDescent="0.2">
      <c r="BH9390" s="25"/>
      <c r="BI9390" s="25"/>
      <c r="BJ9390" s="25"/>
      <c r="BK9390" s="25"/>
    </row>
    <row r="9391" spans="60:63" ht="14.25" x14ac:dyDescent="0.2">
      <c r="BH9391" s="25"/>
      <c r="BI9391" s="25"/>
      <c r="BJ9391" s="25"/>
      <c r="BK9391" s="25"/>
    </row>
    <row r="9392" spans="60:63" ht="14.25" x14ac:dyDescent="0.2">
      <c r="BH9392" s="25"/>
      <c r="BI9392" s="25"/>
      <c r="BJ9392" s="25"/>
      <c r="BK9392" s="25"/>
    </row>
    <row r="9393" spans="60:63" ht="14.25" x14ac:dyDescent="0.2">
      <c r="BH9393" s="25"/>
      <c r="BI9393" s="25"/>
      <c r="BJ9393" s="25"/>
      <c r="BK9393" s="25"/>
    </row>
    <row r="9394" spans="60:63" ht="14.25" x14ac:dyDescent="0.2">
      <c r="BH9394" s="25"/>
      <c r="BI9394" s="25"/>
      <c r="BJ9394" s="25"/>
      <c r="BK9394" s="25"/>
    </row>
    <row r="9395" spans="60:63" ht="14.25" x14ac:dyDescent="0.2">
      <c r="BH9395" s="25"/>
      <c r="BI9395" s="25"/>
      <c r="BJ9395" s="25"/>
      <c r="BK9395" s="25"/>
    </row>
    <row r="9396" spans="60:63" ht="14.25" x14ac:dyDescent="0.2">
      <c r="BH9396" s="25"/>
      <c r="BI9396" s="25"/>
      <c r="BJ9396" s="25"/>
      <c r="BK9396" s="25"/>
    </row>
    <row r="9397" spans="60:63" ht="14.25" x14ac:dyDescent="0.2">
      <c r="BH9397" s="25"/>
      <c r="BI9397" s="25"/>
      <c r="BJ9397" s="25"/>
      <c r="BK9397" s="25"/>
    </row>
    <row r="9398" spans="60:63" ht="14.25" x14ac:dyDescent="0.2">
      <c r="BH9398" s="25"/>
      <c r="BI9398" s="25"/>
      <c r="BJ9398" s="25"/>
      <c r="BK9398" s="25"/>
    </row>
    <row r="9399" spans="60:63" ht="14.25" x14ac:dyDescent="0.2">
      <c r="BH9399" s="25"/>
      <c r="BI9399" s="25"/>
      <c r="BJ9399" s="25"/>
      <c r="BK9399" s="25"/>
    </row>
    <row r="9400" spans="60:63" ht="14.25" x14ac:dyDescent="0.2">
      <c r="BH9400" s="25"/>
      <c r="BI9400" s="25"/>
      <c r="BJ9400" s="25"/>
      <c r="BK9400" s="25"/>
    </row>
    <row r="9401" spans="60:63" ht="14.25" x14ac:dyDescent="0.2">
      <c r="BH9401" s="25"/>
      <c r="BI9401" s="25"/>
      <c r="BJ9401" s="25"/>
      <c r="BK9401" s="25"/>
    </row>
    <row r="9402" spans="60:63" ht="14.25" x14ac:dyDescent="0.2">
      <c r="BH9402" s="25"/>
      <c r="BI9402" s="25"/>
      <c r="BJ9402" s="25"/>
      <c r="BK9402" s="25"/>
    </row>
    <row r="9403" spans="60:63" ht="14.25" x14ac:dyDescent="0.2">
      <c r="BH9403" s="25"/>
      <c r="BI9403" s="25"/>
      <c r="BJ9403" s="25"/>
      <c r="BK9403" s="25"/>
    </row>
    <row r="9404" spans="60:63" ht="14.25" x14ac:dyDescent="0.2">
      <c r="BH9404" s="25"/>
      <c r="BI9404" s="25"/>
      <c r="BJ9404" s="25"/>
      <c r="BK9404" s="25"/>
    </row>
    <row r="9405" spans="60:63" ht="14.25" x14ac:dyDescent="0.2">
      <c r="BH9405" s="25"/>
      <c r="BI9405" s="25"/>
      <c r="BJ9405" s="25"/>
      <c r="BK9405" s="25"/>
    </row>
    <row r="9406" spans="60:63" ht="14.25" x14ac:dyDescent="0.2">
      <c r="BH9406" s="25"/>
      <c r="BI9406" s="25"/>
      <c r="BJ9406" s="25"/>
      <c r="BK9406" s="25"/>
    </row>
    <row r="9407" spans="60:63" ht="14.25" x14ac:dyDescent="0.2">
      <c r="BH9407" s="25"/>
      <c r="BI9407" s="25"/>
      <c r="BJ9407" s="25"/>
      <c r="BK9407" s="25"/>
    </row>
    <row r="9408" spans="60:63" ht="14.25" x14ac:dyDescent="0.2">
      <c r="BH9408" s="25"/>
      <c r="BI9408" s="25"/>
      <c r="BJ9408" s="25"/>
      <c r="BK9408" s="25"/>
    </row>
    <row r="9409" spans="60:63" ht="14.25" x14ac:dyDescent="0.2">
      <c r="BH9409" s="25"/>
      <c r="BI9409" s="25"/>
      <c r="BJ9409" s="25"/>
      <c r="BK9409" s="25"/>
    </row>
    <row r="9410" spans="60:63" ht="14.25" x14ac:dyDescent="0.2">
      <c r="BH9410" s="25"/>
      <c r="BI9410" s="25"/>
      <c r="BJ9410" s="25"/>
      <c r="BK9410" s="25"/>
    </row>
    <row r="9411" spans="60:63" ht="14.25" x14ac:dyDescent="0.2">
      <c r="BH9411" s="25"/>
      <c r="BI9411" s="25"/>
      <c r="BJ9411" s="25"/>
      <c r="BK9411" s="25"/>
    </row>
    <row r="9412" spans="60:63" ht="14.25" x14ac:dyDescent="0.2">
      <c r="BH9412" s="25"/>
      <c r="BI9412" s="25"/>
      <c r="BJ9412" s="25"/>
      <c r="BK9412" s="25"/>
    </row>
    <row r="9413" spans="60:63" ht="14.25" x14ac:dyDescent="0.2">
      <c r="BH9413" s="25"/>
      <c r="BI9413" s="25"/>
      <c r="BJ9413" s="25"/>
      <c r="BK9413" s="25"/>
    </row>
    <row r="9414" spans="60:63" ht="14.25" x14ac:dyDescent="0.2">
      <c r="BH9414" s="25"/>
      <c r="BI9414" s="25"/>
      <c r="BJ9414" s="25"/>
      <c r="BK9414" s="25"/>
    </row>
    <row r="9415" spans="60:63" ht="14.25" x14ac:dyDescent="0.2">
      <c r="BH9415" s="25"/>
      <c r="BI9415" s="25"/>
      <c r="BJ9415" s="25"/>
      <c r="BK9415" s="25"/>
    </row>
    <row r="9416" spans="60:63" ht="14.25" x14ac:dyDescent="0.2">
      <c r="BH9416" s="25"/>
      <c r="BI9416" s="25"/>
      <c r="BJ9416" s="25"/>
      <c r="BK9416" s="25"/>
    </row>
    <row r="9417" spans="60:63" ht="14.25" x14ac:dyDescent="0.2">
      <c r="BH9417" s="25"/>
      <c r="BI9417" s="25"/>
      <c r="BJ9417" s="25"/>
      <c r="BK9417" s="25"/>
    </row>
    <row r="9418" spans="60:63" ht="14.25" x14ac:dyDescent="0.2">
      <c r="BH9418" s="25"/>
      <c r="BI9418" s="25"/>
      <c r="BJ9418" s="25"/>
      <c r="BK9418" s="25"/>
    </row>
    <row r="9419" spans="60:63" ht="14.25" x14ac:dyDescent="0.2">
      <c r="BH9419" s="25"/>
      <c r="BI9419" s="25"/>
      <c r="BJ9419" s="25"/>
      <c r="BK9419" s="25"/>
    </row>
    <row r="9420" spans="60:63" ht="14.25" x14ac:dyDescent="0.2">
      <c r="BH9420" s="25"/>
      <c r="BI9420" s="25"/>
      <c r="BJ9420" s="25"/>
      <c r="BK9420" s="25"/>
    </row>
    <row r="9421" spans="60:63" ht="14.25" x14ac:dyDescent="0.2">
      <c r="BH9421" s="25"/>
      <c r="BI9421" s="25"/>
      <c r="BJ9421" s="25"/>
      <c r="BK9421" s="25"/>
    </row>
    <row r="9422" spans="60:63" ht="14.25" x14ac:dyDescent="0.2">
      <c r="BH9422" s="25"/>
      <c r="BI9422" s="25"/>
      <c r="BJ9422" s="25"/>
      <c r="BK9422" s="25"/>
    </row>
    <row r="9423" spans="60:63" ht="14.25" x14ac:dyDescent="0.2">
      <c r="BH9423" s="25"/>
      <c r="BI9423" s="25"/>
      <c r="BJ9423" s="25"/>
      <c r="BK9423" s="25"/>
    </row>
    <row r="9424" spans="60:63" ht="14.25" x14ac:dyDescent="0.2">
      <c r="BH9424" s="25"/>
      <c r="BI9424" s="25"/>
      <c r="BJ9424" s="25"/>
      <c r="BK9424" s="25"/>
    </row>
    <row r="9425" spans="60:63" ht="14.25" x14ac:dyDescent="0.2">
      <c r="BH9425" s="25"/>
      <c r="BI9425" s="25"/>
      <c r="BJ9425" s="25"/>
      <c r="BK9425" s="25"/>
    </row>
    <row r="9426" spans="60:63" ht="14.25" x14ac:dyDescent="0.2">
      <c r="BH9426" s="25"/>
      <c r="BI9426" s="25"/>
      <c r="BJ9426" s="25"/>
      <c r="BK9426" s="25"/>
    </row>
    <row r="9427" spans="60:63" ht="14.25" x14ac:dyDescent="0.2">
      <c r="BH9427" s="25"/>
      <c r="BI9427" s="25"/>
      <c r="BJ9427" s="25"/>
      <c r="BK9427" s="25"/>
    </row>
    <row r="9428" spans="60:63" ht="14.25" x14ac:dyDescent="0.2">
      <c r="BH9428" s="25"/>
      <c r="BI9428" s="25"/>
      <c r="BJ9428" s="25"/>
      <c r="BK9428" s="25"/>
    </row>
    <row r="9429" spans="60:63" ht="14.25" x14ac:dyDescent="0.2">
      <c r="BH9429" s="25"/>
      <c r="BI9429" s="25"/>
      <c r="BJ9429" s="25"/>
      <c r="BK9429" s="25"/>
    </row>
    <row r="9430" spans="60:63" ht="14.25" x14ac:dyDescent="0.2">
      <c r="BH9430" s="25"/>
      <c r="BI9430" s="25"/>
      <c r="BJ9430" s="25"/>
      <c r="BK9430" s="25"/>
    </row>
    <row r="9431" spans="60:63" ht="14.25" x14ac:dyDescent="0.2">
      <c r="BH9431" s="25"/>
      <c r="BI9431" s="25"/>
      <c r="BJ9431" s="25"/>
      <c r="BK9431" s="25"/>
    </row>
    <row r="9432" spans="60:63" ht="14.25" x14ac:dyDescent="0.2">
      <c r="BH9432" s="25"/>
      <c r="BI9432" s="25"/>
      <c r="BJ9432" s="25"/>
      <c r="BK9432" s="25"/>
    </row>
    <row r="9433" spans="60:63" ht="14.25" x14ac:dyDescent="0.2">
      <c r="BH9433" s="25"/>
      <c r="BI9433" s="25"/>
      <c r="BJ9433" s="25"/>
      <c r="BK9433" s="25"/>
    </row>
    <row r="9434" spans="60:63" ht="14.25" x14ac:dyDescent="0.2">
      <c r="BH9434" s="25"/>
      <c r="BI9434" s="25"/>
      <c r="BJ9434" s="25"/>
      <c r="BK9434" s="25"/>
    </row>
    <row r="9435" spans="60:63" ht="14.25" x14ac:dyDescent="0.2">
      <c r="BH9435" s="25"/>
      <c r="BI9435" s="25"/>
      <c r="BJ9435" s="25"/>
      <c r="BK9435" s="25"/>
    </row>
    <row r="9436" spans="60:63" ht="14.25" x14ac:dyDescent="0.2">
      <c r="BH9436" s="25"/>
      <c r="BI9436" s="25"/>
      <c r="BJ9436" s="25"/>
      <c r="BK9436" s="25"/>
    </row>
    <row r="9437" spans="60:63" ht="14.25" x14ac:dyDescent="0.2">
      <c r="BH9437" s="25"/>
      <c r="BI9437" s="25"/>
      <c r="BJ9437" s="25"/>
      <c r="BK9437" s="25"/>
    </row>
    <row r="9438" spans="60:63" ht="14.25" x14ac:dyDescent="0.2">
      <c r="BH9438" s="25"/>
      <c r="BI9438" s="25"/>
      <c r="BJ9438" s="25"/>
      <c r="BK9438" s="25"/>
    </row>
    <row r="9439" spans="60:63" ht="14.25" x14ac:dyDescent="0.2">
      <c r="BH9439" s="25"/>
      <c r="BI9439" s="25"/>
      <c r="BJ9439" s="25"/>
      <c r="BK9439" s="25"/>
    </row>
    <row r="9440" spans="60:63" ht="14.25" x14ac:dyDescent="0.2">
      <c r="BH9440" s="25"/>
      <c r="BI9440" s="25"/>
      <c r="BJ9440" s="25"/>
      <c r="BK9440" s="25"/>
    </row>
    <row r="9441" spans="60:63" ht="14.25" x14ac:dyDescent="0.2">
      <c r="BH9441" s="25"/>
      <c r="BI9441" s="25"/>
      <c r="BJ9441" s="25"/>
      <c r="BK9441" s="25"/>
    </row>
    <row r="9442" spans="60:63" ht="14.25" x14ac:dyDescent="0.2">
      <c r="BH9442" s="25"/>
      <c r="BI9442" s="25"/>
      <c r="BJ9442" s="25"/>
      <c r="BK9442" s="25"/>
    </row>
    <row r="9443" spans="60:63" ht="14.25" x14ac:dyDescent="0.2">
      <c r="BH9443" s="25"/>
      <c r="BI9443" s="25"/>
      <c r="BJ9443" s="25"/>
      <c r="BK9443" s="25"/>
    </row>
    <row r="9444" spans="60:63" ht="14.25" x14ac:dyDescent="0.2">
      <c r="BH9444" s="25"/>
      <c r="BI9444" s="25"/>
      <c r="BJ9444" s="25"/>
      <c r="BK9444" s="25"/>
    </row>
    <row r="9445" spans="60:63" ht="14.25" x14ac:dyDescent="0.2">
      <c r="BH9445" s="25"/>
      <c r="BI9445" s="25"/>
      <c r="BJ9445" s="25"/>
      <c r="BK9445" s="25"/>
    </row>
    <row r="9446" spans="60:63" ht="14.25" x14ac:dyDescent="0.2">
      <c r="BH9446" s="25"/>
      <c r="BI9446" s="25"/>
      <c r="BJ9446" s="25"/>
      <c r="BK9446" s="25"/>
    </row>
    <row r="9447" spans="60:63" ht="14.25" x14ac:dyDescent="0.2">
      <c r="BH9447" s="25"/>
      <c r="BI9447" s="25"/>
      <c r="BJ9447" s="25"/>
      <c r="BK9447" s="25"/>
    </row>
    <row r="9448" spans="60:63" ht="14.25" x14ac:dyDescent="0.2">
      <c r="BH9448" s="25"/>
      <c r="BI9448" s="25"/>
      <c r="BJ9448" s="25"/>
      <c r="BK9448" s="25"/>
    </row>
    <row r="9449" spans="60:63" ht="14.25" x14ac:dyDescent="0.2">
      <c r="BH9449" s="25"/>
      <c r="BI9449" s="25"/>
      <c r="BJ9449" s="25"/>
      <c r="BK9449" s="25"/>
    </row>
    <row r="9450" spans="60:63" ht="14.25" x14ac:dyDescent="0.2">
      <c r="BH9450" s="25"/>
      <c r="BI9450" s="25"/>
      <c r="BJ9450" s="25"/>
      <c r="BK9450" s="25"/>
    </row>
    <row r="9451" spans="60:63" ht="14.25" x14ac:dyDescent="0.2">
      <c r="BH9451" s="25"/>
      <c r="BI9451" s="25"/>
      <c r="BJ9451" s="25"/>
      <c r="BK9451" s="25"/>
    </row>
    <row r="9452" spans="60:63" ht="14.25" x14ac:dyDescent="0.2">
      <c r="BH9452" s="25"/>
      <c r="BI9452" s="25"/>
      <c r="BJ9452" s="25"/>
      <c r="BK9452" s="25"/>
    </row>
    <row r="9453" spans="60:63" ht="14.25" x14ac:dyDescent="0.2">
      <c r="BH9453" s="25"/>
      <c r="BI9453" s="25"/>
      <c r="BJ9453" s="25"/>
      <c r="BK9453" s="25"/>
    </row>
    <row r="9454" spans="60:63" ht="14.25" x14ac:dyDescent="0.2">
      <c r="BH9454" s="25"/>
      <c r="BI9454" s="25"/>
      <c r="BJ9454" s="25"/>
      <c r="BK9454" s="25"/>
    </row>
    <row r="9455" spans="60:63" ht="14.25" x14ac:dyDescent="0.2">
      <c r="BH9455" s="25"/>
      <c r="BI9455" s="25"/>
      <c r="BJ9455" s="25"/>
      <c r="BK9455" s="25"/>
    </row>
    <row r="9456" spans="60:63" ht="14.25" x14ac:dyDescent="0.2">
      <c r="BH9456" s="25"/>
      <c r="BI9456" s="25"/>
      <c r="BJ9456" s="25"/>
      <c r="BK9456" s="25"/>
    </row>
    <row r="9457" spans="60:63" ht="14.25" x14ac:dyDescent="0.2">
      <c r="BH9457" s="25"/>
      <c r="BI9457" s="25"/>
      <c r="BJ9457" s="25"/>
      <c r="BK9457" s="25"/>
    </row>
    <row r="9458" spans="60:63" ht="14.25" x14ac:dyDescent="0.2">
      <c r="BH9458" s="25"/>
      <c r="BI9458" s="25"/>
      <c r="BJ9458" s="25"/>
      <c r="BK9458" s="25"/>
    </row>
    <row r="9459" spans="60:63" ht="14.25" x14ac:dyDescent="0.2">
      <c r="BH9459" s="25"/>
      <c r="BI9459" s="25"/>
      <c r="BJ9459" s="25"/>
      <c r="BK9459" s="25"/>
    </row>
    <row r="9460" spans="60:63" ht="14.25" x14ac:dyDescent="0.2">
      <c r="BH9460" s="25"/>
      <c r="BI9460" s="25"/>
      <c r="BJ9460" s="25"/>
      <c r="BK9460" s="25"/>
    </row>
    <row r="9461" spans="60:63" ht="14.25" x14ac:dyDescent="0.2">
      <c r="BH9461" s="25"/>
      <c r="BI9461" s="25"/>
      <c r="BJ9461" s="25"/>
      <c r="BK9461" s="25"/>
    </row>
    <row r="9462" spans="60:63" ht="14.25" x14ac:dyDescent="0.2">
      <c r="BH9462" s="25"/>
      <c r="BI9462" s="25"/>
      <c r="BJ9462" s="25"/>
      <c r="BK9462" s="25"/>
    </row>
    <row r="9463" spans="60:63" ht="14.25" x14ac:dyDescent="0.2">
      <c r="BH9463" s="25"/>
      <c r="BI9463" s="25"/>
      <c r="BJ9463" s="25"/>
      <c r="BK9463" s="25"/>
    </row>
    <row r="9464" spans="60:63" ht="14.25" x14ac:dyDescent="0.2">
      <c r="BH9464" s="25"/>
      <c r="BI9464" s="25"/>
      <c r="BJ9464" s="25"/>
      <c r="BK9464" s="25"/>
    </row>
    <row r="9465" spans="60:63" ht="14.25" x14ac:dyDescent="0.2">
      <c r="BH9465" s="25"/>
      <c r="BI9465" s="25"/>
      <c r="BJ9465" s="25"/>
      <c r="BK9465" s="25"/>
    </row>
    <row r="9466" spans="60:63" ht="14.25" x14ac:dyDescent="0.2">
      <c r="BH9466" s="25"/>
      <c r="BI9466" s="25"/>
      <c r="BJ9466" s="25"/>
      <c r="BK9466" s="25"/>
    </row>
    <row r="9467" spans="60:63" ht="14.25" x14ac:dyDescent="0.2">
      <c r="BH9467" s="25"/>
      <c r="BI9467" s="25"/>
      <c r="BJ9467" s="25"/>
      <c r="BK9467" s="25"/>
    </row>
    <row r="9468" spans="60:63" ht="14.25" x14ac:dyDescent="0.2">
      <c r="BH9468" s="25"/>
      <c r="BI9468" s="25"/>
      <c r="BJ9468" s="25"/>
      <c r="BK9468" s="25"/>
    </row>
    <row r="9469" spans="60:63" ht="14.25" x14ac:dyDescent="0.2">
      <c r="BH9469" s="25"/>
      <c r="BI9469" s="25"/>
      <c r="BJ9469" s="25"/>
      <c r="BK9469" s="25"/>
    </row>
    <row r="9470" spans="60:63" ht="14.25" x14ac:dyDescent="0.2">
      <c r="BH9470" s="25"/>
      <c r="BI9470" s="25"/>
      <c r="BJ9470" s="25"/>
      <c r="BK9470" s="25"/>
    </row>
    <row r="9471" spans="60:63" ht="14.25" x14ac:dyDescent="0.2">
      <c r="BH9471" s="25"/>
      <c r="BI9471" s="25"/>
      <c r="BJ9471" s="25"/>
      <c r="BK9471" s="25"/>
    </row>
    <row r="9472" spans="60:63" ht="14.25" x14ac:dyDescent="0.2">
      <c r="BH9472" s="25"/>
      <c r="BI9472" s="25"/>
      <c r="BJ9472" s="25"/>
      <c r="BK9472" s="25"/>
    </row>
    <row r="9473" spans="60:63" ht="14.25" x14ac:dyDescent="0.2">
      <c r="BH9473" s="25"/>
      <c r="BI9473" s="25"/>
      <c r="BJ9473" s="25"/>
      <c r="BK9473" s="25"/>
    </row>
    <row r="9474" spans="60:63" ht="14.25" x14ac:dyDescent="0.2">
      <c r="BH9474" s="25"/>
      <c r="BI9474" s="25"/>
      <c r="BJ9474" s="25"/>
      <c r="BK9474" s="25"/>
    </row>
    <row r="9475" spans="60:63" ht="14.25" x14ac:dyDescent="0.2">
      <c r="BH9475" s="25"/>
      <c r="BI9475" s="25"/>
      <c r="BJ9475" s="25"/>
      <c r="BK9475" s="25"/>
    </row>
    <row r="9476" spans="60:63" ht="14.25" x14ac:dyDescent="0.2">
      <c r="BH9476" s="25"/>
      <c r="BI9476" s="25"/>
      <c r="BJ9476" s="25"/>
      <c r="BK9476" s="25"/>
    </row>
    <row r="9477" spans="60:63" ht="14.25" x14ac:dyDescent="0.2">
      <c r="BH9477" s="25"/>
      <c r="BI9477" s="25"/>
      <c r="BJ9477" s="25"/>
      <c r="BK9477" s="25"/>
    </row>
    <row r="9478" spans="60:63" ht="14.25" x14ac:dyDescent="0.2">
      <c r="BH9478" s="25"/>
      <c r="BI9478" s="25"/>
      <c r="BJ9478" s="25"/>
      <c r="BK9478" s="25"/>
    </row>
    <row r="9479" spans="60:63" ht="14.25" x14ac:dyDescent="0.2">
      <c r="BH9479" s="25"/>
      <c r="BI9479" s="25"/>
      <c r="BJ9479" s="25"/>
      <c r="BK9479" s="25"/>
    </row>
    <row r="9480" spans="60:63" ht="14.25" x14ac:dyDescent="0.2">
      <c r="BH9480" s="25"/>
      <c r="BI9480" s="25"/>
      <c r="BJ9480" s="25"/>
      <c r="BK9480" s="25"/>
    </row>
    <row r="9481" spans="60:63" ht="14.25" x14ac:dyDescent="0.2">
      <c r="BH9481" s="25"/>
      <c r="BI9481" s="25"/>
      <c r="BJ9481" s="25"/>
      <c r="BK9481" s="25"/>
    </row>
    <row r="9482" spans="60:63" ht="14.25" x14ac:dyDescent="0.2">
      <c r="BH9482" s="25"/>
      <c r="BI9482" s="25"/>
      <c r="BJ9482" s="25"/>
      <c r="BK9482" s="25"/>
    </row>
    <row r="9483" spans="60:63" ht="14.25" x14ac:dyDescent="0.2">
      <c r="BH9483" s="25"/>
      <c r="BI9483" s="25"/>
      <c r="BJ9483" s="25"/>
      <c r="BK9483" s="25"/>
    </row>
    <row r="9484" spans="60:63" ht="14.25" x14ac:dyDescent="0.2">
      <c r="BH9484" s="25"/>
      <c r="BI9484" s="25"/>
      <c r="BJ9484" s="25"/>
      <c r="BK9484" s="25"/>
    </row>
    <row r="9485" spans="60:63" ht="14.25" x14ac:dyDescent="0.2">
      <c r="BH9485" s="25"/>
      <c r="BI9485" s="25"/>
      <c r="BJ9485" s="25"/>
      <c r="BK9485" s="25"/>
    </row>
    <row r="9486" spans="60:63" ht="14.25" x14ac:dyDescent="0.2">
      <c r="BH9486" s="25"/>
      <c r="BI9486" s="25"/>
      <c r="BJ9486" s="25"/>
      <c r="BK9486" s="25"/>
    </row>
    <row r="9487" spans="60:63" ht="14.25" x14ac:dyDescent="0.2">
      <c r="BH9487" s="25"/>
      <c r="BI9487" s="25"/>
      <c r="BJ9487" s="25"/>
      <c r="BK9487" s="25"/>
    </row>
    <row r="9488" spans="60:63" ht="14.25" x14ac:dyDescent="0.2">
      <c r="BH9488" s="25"/>
      <c r="BI9488" s="25"/>
      <c r="BJ9488" s="25"/>
      <c r="BK9488" s="25"/>
    </row>
    <row r="9489" spans="60:63" ht="14.25" x14ac:dyDescent="0.2">
      <c r="BH9489" s="25"/>
      <c r="BI9489" s="25"/>
      <c r="BJ9489" s="25"/>
      <c r="BK9489" s="25"/>
    </row>
    <row r="9490" spans="60:63" ht="14.25" x14ac:dyDescent="0.2">
      <c r="BH9490" s="25"/>
      <c r="BI9490" s="25"/>
      <c r="BJ9490" s="25"/>
      <c r="BK9490" s="25"/>
    </row>
    <row r="9491" spans="60:63" ht="14.25" x14ac:dyDescent="0.2">
      <c r="BH9491" s="25"/>
      <c r="BI9491" s="25"/>
      <c r="BJ9491" s="25"/>
      <c r="BK9491" s="25"/>
    </row>
    <row r="9492" spans="60:63" ht="14.25" x14ac:dyDescent="0.2">
      <c r="BH9492" s="25"/>
      <c r="BI9492" s="25"/>
      <c r="BJ9492" s="25"/>
      <c r="BK9492" s="25"/>
    </row>
    <row r="9493" spans="60:63" ht="14.25" x14ac:dyDescent="0.2">
      <c r="BH9493" s="25"/>
      <c r="BI9493" s="25"/>
      <c r="BJ9493" s="25"/>
      <c r="BK9493" s="25"/>
    </row>
    <row r="9494" spans="60:63" ht="14.25" x14ac:dyDescent="0.2">
      <c r="BH9494" s="25"/>
      <c r="BI9494" s="25"/>
      <c r="BJ9494" s="25"/>
      <c r="BK9494" s="25"/>
    </row>
    <row r="9495" spans="60:63" ht="14.25" x14ac:dyDescent="0.2">
      <c r="BH9495" s="25"/>
      <c r="BI9495" s="25"/>
      <c r="BJ9495" s="25"/>
      <c r="BK9495" s="25"/>
    </row>
    <row r="9496" spans="60:63" ht="14.25" x14ac:dyDescent="0.2">
      <c r="BH9496" s="25"/>
      <c r="BI9496" s="25"/>
      <c r="BJ9496" s="25"/>
      <c r="BK9496" s="25"/>
    </row>
    <row r="9497" spans="60:63" ht="14.25" x14ac:dyDescent="0.2">
      <c r="BH9497" s="25"/>
      <c r="BI9497" s="25"/>
      <c r="BJ9497" s="25"/>
      <c r="BK9497" s="25"/>
    </row>
    <row r="9498" spans="60:63" ht="14.25" x14ac:dyDescent="0.2">
      <c r="BH9498" s="25"/>
      <c r="BI9498" s="25"/>
      <c r="BJ9498" s="25"/>
      <c r="BK9498" s="25"/>
    </row>
    <row r="9499" spans="60:63" ht="14.25" x14ac:dyDescent="0.2">
      <c r="BH9499" s="25"/>
      <c r="BI9499" s="25"/>
      <c r="BJ9499" s="25"/>
      <c r="BK9499" s="25"/>
    </row>
    <row r="9500" spans="60:63" ht="14.25" x14ac:dyDescent="0.2">
      <c r="BH9500" s="25"/>
      <c r="BI9500" s="25"/>
      <c r="BJ9500" s="25"/>
      <c r="BK9500" s="25"/>
    </row>
    <row r="9501" spans="60:63" ht="14.25" x14ac:dyDescent="0.2">
      <c r="BH9501" s="25"/>
      <c r="BI9501" s="25"/>
      <c r="BJ9501" s="25"/>
      <c r="BK9501" s="25"/>
    </row>
    <row r="9502" spans="60:63" ht="14.25" x14ac:dyDescent="0.2">
      <c r="BH9502" s="25"/>
      <c r="BI9502" s="25"/>
      <c r="BJ9502" s="25"/>
      <c r="BK9502" s="25"/>
    </row>
    <row r="9503" spans="60:63" ht="14.25" x14ac:dyDescent="0.2">
      <c r="BH9503" s="25"/>
      <c r="BI9503" s="25"/>
      <c r="BJ9503" s="25"/>
      <c r="BK9503" s="25"/>
    </row>
    <row r="9504" spans="60:63" ht="14.25" x14ac:dyDescent="0.2">
      <c r="BH9504" s="25"/>
      <c r="BI9504" s="25"/>
      <c r="BJ9504" s="25"/>
      <c r="BK9504" s="25"/>
    </row>
    <row r="9505" spans="60:63" ht="14.25" x14ac:dyDescent="0.2">
      <c r="BH9505" s="25"/>
      <c r="BI9505" s="25"/>
      <c r="BJ9505" s="25"/>
      <c r="BK9505" s="25"/>
    </row>
    <row r="9506" spans="60:63" ht="14.25" x14ac:dyDescent="0.2">
      <c r="BH9506" s="25"/>
      <c r="BI9506" s="25"/>
      <c r="BJ9506" s="25"/>
      <c r="BK9506" s="25"/>
    </row>
    <row r="9507" spans="60:63" ht="14.25" x14ac:dyDescent="0.2">
      <c r="BH9507" s="25"/>
      <c r="BI9507" s="25"/>
      <c r="BJ9507" s="25"/>
      <c r="BK9507" s="25"/>
    </row>
    <row r="9508" spans="60:63" ht="14.25" x14ac:dyDescent="0.2">
      <c r="BH9508" s="25"/>
      <c r="BI9508" s="25"/>
      <c r="BJ9508" s="25"/>
      <c r="BK9508" s="25"/>
    </row>
    <row r="9509" spans="60:63" ht="14.25" x14ac:dyDescent="0.2">
      <c r="BH9509" s="25"/>
      <c r="BI9509" s="25"/>
      <c r="BJ9509" s="25"/>
      <c r="BK9509" s="25"/>
    </row>
    <row r="9510" spans="60:63" ht="14.25" x14ac:dyDescent="0.2">
      <c r="BH9510" s="25"/>
      <c r="BI9510" s="25"/>
      <c r="BJ9510" s="25"/>
      <c r="BK9510" s="25"/>
    </row>
    <row r="9511" spans="60:63" ht="14.25" x14ac:dyDescent="0.2">
      <c r="BH9511" s="25"/>
      <c r="BI9511" s="25"/>
      <c r="BJ9511" s="25"/>
      <c r="BK9511" s="25"/>
    </row>
    <row r="9512" spans="60:63" ht="14.25" x14ac:dyDescent="0.2">
      <c r="BH9512" s="25"/>
      <c r="BI9512" s="25"/>
      <c r="BJ9512" s="25"/>
      <c r="BK9512" s="25"/>
    </row>
    <row r="9513" spans="60:63" ht="14.25" x14ac:dyDescent="0.2">
      <c r="BH9513" s="25"/>
      <c r="BI9513" s="25"/>
      <c r="BJ9513" s="25"/>
      <c r="BK9513" s="25"/>
    </row>
    <row r="9514" spans="60:63" ht="14.25" x14ac:dyDescent="0.2">
      <c r="BH9514" s="25"/>
      <c r="BI9514" s="25"/>
      <c r="BJ9514" s="25"/>
      <c r="BK9514" s="25"/>
    </row>
    <row r="9515" spans="60:63" ht="14.25" x14ac:dyDescent="0.2">
      <c r="BH9515" s="25"/>
      <c r="BI9515" s="25"/>
      <c r="BJ9515" s="25"/>
      <c r="BK9515" s="25"/>
    </row>
    <row r="9516" spans="60:63" ht="14.25" x14ac:dyDescent="0.2">
      <c r="BH9516" s="25"/>
      <c r="BI9516" s="25"/>
      <c r="BJ9516" s="25"/>
      <c r="BK9516" s="25"/>
    </row>
    <row r="9517" spans="60:63" ht="14.25" x14ac:dyDescent="0.2">
      <c r="BH9517" s="25"/>
      <c r="BI9517" s="25"/>
      <c r="BJ9517" s="25"/>
      <c r="BK9517" s="25"/>
    </row>
    <row r="9518" spans="60:63" ht="14.25" x14ac:dyDescent="0.2">
      <c r="BH9518" s="25"/>
      <c r="BI9518" s="25"/>
      <c r="BJ9518" s="25"/>
      <c r="BK9518" s="25"/>
    </row>
    <row r="9519" spans="60:63" ht="14.25" x14ac:dyDescent="0.2">
      <c r="BH9519" s="25"/>
      <c r="BI9519" s="25"/>
      <c r="BJ9519" s="25"/>
      <c r="BK9519" s="25"/>
    </row>
    <row r="9520" spans="60:63" ht="14.25" x14ac:dyDescent="0.2">
      <c r="BH9520" s="25"/>
      <c r="BI9520" s="25"/>
      <c r="BJ9520" s="25"/>
      <c r="BK9520" s="25"/>
    </row>
    <row r="9521" spans="60:63" ht="14.25" x14ac:dyDescent="0.2">
      <c r="BH9521" s="25"/>
      <c r="BI9521" s="25"/>
      <c r="BJ9521" s="25"/>
      <c r="BK9521" s="25"/>
    </row>
    <row r="9522" spans="60:63" ht="14.25" x14ac:dyDescent="0.2">
      <c r="BH9522" s="25"/>
      <c r="BI9522" s="25"/>
      <c r="BJ9522" s="25"/>
      <c r="BK9522" s="25"/>
    </row>
    <row r="9523" spans="60:63" ht="14.25" x14ac:dyDescent="0.2">
      <c r="BH9523" s="25"/>
      <c r="BI9523" s="25"/>
      <c r="BJ9523" s="25"/>
      <c r="BK9523" s="25"/>
    </row>
    <row r="9524" spans="60:63" ht="14.25" x14ac:dyDescent="0.2">
      <c r="BH9524" s="25"/>
      <c r="BI9524" s="25"/>
      <c r="BJ9524" s="25"/>
      <c r="BK9524" s="25"/>
    </row>
    <row r="9525" spans="60:63" ht="14.25" x14ac:dyDescent="0.2">
      <c r="BH9525" s="25"/>
      <c r="BI9525" s="25"/>
      <c r="BJ9525" s="25"/>
      <c r="BK9525" s="25"/>
    </row>
    <row r="9526" spans="60:63" ht="14.25" x14ac:dyDescent="0.2">
      <c r="BH9526" s="25"/>
      <c r="BI9526" s="25"/>
      <c r="BJ9526" s="25"/>
      <c r="BK9526" s="25"/>
    </row>
    <row r="9527" spans="60:63" ht="14.25" x14ac:dyDescent="0.2">
      <c r="BH9527" s="25"/>
      <c r="BI9527" s="25"/>
      <c r="BJ9527" s="25"/>
      <c r="BK9527" s="25"/>
    </row>
    <row r="9528" spans="60:63" ht="14.25" x14ac:dyDescent="0.2">
      <c r="BH9528" s="25"/>
      <c r="BI9528" s="25"/>
      <c r="BJ9528" s="25"/>
      <c r="BK9528" s="25"/>
    </row>
    <row r="9529" spans="60:63" ht="14.25" x14ac:dyDescent="0.2">
      <c r="BH9529" s="25"/>
      <c r="BI9529" s="25"/>
      <c r="BJ9529" s="25"/>
      <c r="BK9529" s="25"/>
    </row>
    <row r="9530" spans="60:63" ht="14.25" x14ac:dyDescent="0.2">
      <c r="BH9530" s="25"/>
      <c r="BI9530" s="25"/>
      <c r="BJ9530" s="25"/>
      <c r="BK9530" s="25"/>
    </row>
    <row r="9531" spans="60:63" ht="14.25" x14ac:dyDescent="0.2">
      <c r="BH9531" s="25"/>
      <c r="BI9531" s="25"/>
      <c r="BJ9531" s="25"/>
      <c r="BK9531" s="25"/>
    </row>
    <row r="9532" spans="60:63" ht="14.25" x14ac:dyDescent="0.2">
      <c r="BH9532" s="25"/>
      <c r="BI9532" s="25"/>
      <c r="BJ9532" s="25"/>
      <c r="BK9532" s="25"/>
    </row>
    <row r="9533" spans="60:63" ht="14.25" x14ac:dyDescent="0.2">
      <c r="BH9533" s="25"/>
      <c r="BI9533" s="25"/>
      <c r="BJ9533" s="25"/>
      <c r="BK9533" s="25"/>
    </row>
    <row r="9534" spans="60:63" ht="14.25" x14ac:dyDescent="0.2">
      <c r="BH9534" s="25"/>
      <c r="BI9534" s="25"/>
      <c r="BJ9534" s="25"/>
      <c r="BK9534" s="25"/>
    </row>
    <row r="9535" spans="60:63" ht="14.25" x14ac:dyDescent="0.2">
      <c r="BH9535" s="25"/>
      <c r="BI9535" s="25"/>
      <c r="BJ9535" s="25"/>
      <c r="BK9535" s="25"/>
    </row>
    <row r="9536" spans="60:63" ht="14.25" x14ac:dyDescent="0.2">
      <c r="BH9536" s="25"/>
      <c r="BI9536" s="25"/>
      <c r="BJ9536" s="25"/>
      <c r="BK9536" s="25"/>
    </row>
    <row r="9537" spans="60:63" ht="14.25" x14ac:dyDescent="0.2">
      <c r="BH9537" s="25"/>
      <c r="BI9537" s="25"/>
      <c r="BJ9537" s="25"/>
      <c r="BK9537" s="25"/>
    </row>
    <row r="9538" spans="60:63" ht="14.25" x14ac:dyDescent="0.2">
      <c r="BH9538" s="25"/>
      <c r="BI9538" s="25"/>
      <c r="BJ9538" s="25"/>
      <c r="BK9538" s="25"/>
    </row>
    <row r="9539" spans="60:63" ht="14.25" x14ac:dyDescent="0.2">
      <c r="BH9539" s="25"/>
      <c r="BI9539" s="25"/>
      <c r="BJ9539" s="25"/>
      <c r="BK9539" s="25"/>
    </row>
    <row r="9540" spans="60:63" ht="14.25" x14ac:dyDescent="0.2">
      <c r="BH9540" s="25"/>
      <c r="BI9540" s="25"/>
      <c r="BJ9540" s="25"/>
      <c r="BK9540" s="25"/>
    </row>
    <row r="9541" spans="60:63" ht="14.25" x14ac:dyDescent="0.2">
      <c r="BH9541" s="25"/>
      <c r="BI9541" s="25"/>
      <c r="BJ9541" s="25"/>
      <c r="BK9541" s="25"/>
    </row>
    <row r="9542" spans="60:63" ht="14.25" x14ac:dyDescent="0.2">
      <c r="BH9542" s="25"/>
      <c r="BI9542" s="25"/>
      <c r="BJ9542" s="25"/>
      <c r="BK9542" s="25"/>
    </row>
    <row r="9543" spans="60:63" ht="14.25" x14ac:dyDescent="0.2">
      <c r="BH9543" s="25"/>
      <c r="BI9543" s="25"/>
      <c r="BJ9543" s="25"/>
      <c r="BK9543" s="25"/>
    </row>
    <row r="9544" spans="60:63" ht="14.25" x14ac:dyDescent="0.2">
      <c r="BH9544" s="25"/>
      <c r="BI9544" s="25"/>
      <c r="BJ9544" s="25"/>
      <c r="BK9544" s="25"/>
    </row>
    <row r="9545" spans="60:63" ht="14.25" x14ac:dyDescent="0.2">
      <c r="BH9545" s="25"/>
      <c r="BI9545" s="25"/>
      <c r="BJ9545" s="25"/>
      <c r="BK9545" s="25"/>
    </row>
    <row r="9546" spans="60:63" ht="14.25" x14ac:dyDescent="0.2">
      <c r="BH9546" s="25"/>
      <c r="BI9546" s="25"/>
      <c r="BJ9546" s="25"/>
      <c r="BK9546" s="25"/>
    </row>
    <row r="9547" spans="60:63" ht="14.25" x14ac:dyDescent="0.2">
      <c r="BH9547" s="25"/>
      <c r="BI9547" s="25"/>
      <c r="BJ9547" s="25"/>
      <c r="BK9547" s="25"/>
    </row>
    <row r="9548" spans="60:63" ht="14.25" x14ac:dyDescent="0.2">
      <c r="BH9548" s="25"/>
      <c r="BI9548" s="25"/>
      <c r="BJ9548" s="25"/>
      <c r="BK9548" s="25"/>
    </row>
    <row r="9549" spans="60:63" ht="14.25" x14ac:dyDescent="0.2">
      <c r="BH9549" s="25"/>
      <c r="BI9549" s="25"/>
      <c r="BJ9549" s="25"/>
      <c r="BK9549" s="25"/>
    </row>
    <row r="9550" spans="60:63" ht="14.25" x14ac:dyDescent="0.2">
      <c r="BH9550" s="25"/>
      <c r="BI9550" s="25"/>
      <c r="BJ9550" s="25"/>
      <c r="BK9550" s="25"/>
    </row>
    <row r="9551" spans="60:63" ht="14.25" x14ac:dyDescent="0.2">
      <c r="BH9551" s="25"/>
      <c r="BI9551" s="25"/>
      <c r="BJ9551" s="25"/>
      <c r="BK9551" s="25"/>
    </row>
    <row r="9552" spans="60:63" ht="14.25" x14ac:dyDescent="0.2">
      <c r="BH9552" s="25"/>
      <c r="BI9552" s="25"/>
      <c r="BJ9552" s="25"/>
      <c r="BK9552" s="25"/>
    </row>
    <row r="9553" spans="60:63" ht="14.25" x14ac:dyDescent="0.2">
      <c r="BH9553" s="25"/>
      <c r="BI9553" s="25"/>
      <c r="BJ9553" s="25"/>
      <c r="BK9553" s="25"/>
    </row>
    <row r="9554" spans="60:63" ht="14.25" x14ac:dyDescent="0.2">
      <c r="BH9554" s="25"/>
      <c r="BI9554" s="25"/>
      <c r="BJ9554" s="25"/>
      <c r="BK9554" s="25"/>
    </row>
    <row r="9555" spans="60:63" ht="14.25" x14ac:dyDescent="0.2">
      <c r="BH9555" s="25"/>
      <c r="BI9555" s="25"/>
      <c r="BJ9555" s="25"/>
      <c r="BK9555" s="25"/>
    </row>
    <row r="9556" spans="60:63" ht="14.25" x14ac:dyDescent="0.2">
      <c r="BH9556" s="25"/>
      <c r="BI9556" s="25"/>
      <c r="BJ9556" s="25"/>
      <c r="BK9556" s="25"/>
    </row>
    <row r="9557" spans="60:63" ht="14.25" x14ac:dyDescent="0.2">
      <c r="BH9557" s="25"/>
      <c r="BI9557" s="25"/>
      <c r="BJ9557" s="25"/>
      <c r="BK9557" s="25"/>
    </row>
    <row r="9558" spans="60:63" ht="14.25" x14ac:dyDescent="0.2">
      <c r="BH9558" s="25"/>
      <c r="BI9558" s="25"/>
      <c r="BJ9558" s="25"/>
      <c r="BK9558" s="25"/>
    </row>
    <row r="9559" spans="60:63" ht="14.25" x14ac:dyDescent="0.2">
      <c r="BH9559" s="25"/>
      <c r="BI9559" s="25"/>
      <c r="BJ9559" s="25"/>
      <c r="BK9559" s="25"/>
    </row>
    <row r="9560" spans="60:63" ht="14.25" x14ac:dyDescent="0.2">
      <c r="BH9560" s="25"/>
      <c r="BI9560" s="25"/>
      <c r="BJ9560" s="25"/>
      <c r="BK9560" s="25"/>
    </row>
    <row r="9561" spans="60:63" ht="14.25" x14ac:dyDescent="0.2">
      <c r="BH9561" s="25"/>
      <c r="BI9561" s="25"/>
      <c r="BJ9561" s="25"/>
      <c r="BK9561" s="25"/>
    </row>
    <row r="9562" spans="60:63" ht="14.25" x14ac:dyDescent="0.2">
      <c r="BH9562" s="25"/>
      <c r="BI9562" s="25"/>
      <c r="BJ9562" s="25"/>
      <c r="BK9562" s="25"/>
    </row>
    <row r="9563" spans="60:63" ht="14.25" x14ac:dyDescent="0.2">
      <c r="BH9563" s="25"/>
      <c r="BI9563" s="25"/>
      <c r="BJ9563" s="25"/>
      <c r="BK9563" s="25"/>
    </row>
    <row r="9564" spans="60:63" ht="14.25" x14ac:dyDescent="0.2">
      <c r="BH9564" s="25"/>
      <c r="BI9564" s="25"/>
      <c r="BJ9564" s="25"/>
      <c r="BK9564" s="25"/>
    </row>
    <row r="9565" spans="60:63" ht="14.25" x14ac:dyDescent="0.2">
      <c r="BH9565" s="25"/>
      <c r="BI9565" s="25"/>
      <c r="BJ9565" s="25"/>
      <c r="BK9565" s="25"/>
    </row>
    <row r="9566" spans="60:63" ht="14.25" x14ac:dyDescent="0.2">
      <c r="BH9566" s="25"/>
      <c r="BI9566" s="25"/>
      <c r="BJ9566" s="25"/>
      <c r="BK9566" s="25"/>
    </row>
    <row r="9567" spans="60:63" ht="14.25" x14ac:dyDescent="0.2">
      <c r="BH9567" s="25"/>
      <c r="BI9567" s="25"/>
      <c r="BJ9567" s="25"/>
      <c r="BK9567" s="25"/>
    </row>
    <row r="9568" spans="60:63" ht="14.25" x14ac:dyDescent="0.2">
      <c r="BH9568" s="25"/>
      <c r="BI9568" s="25"/>
      <c r="BJ9568" s="25"/>
      <c r="BK9568" s="25"/>
    </row>
    <row r="9569" spans="60:63" ht="14.25" x14ac:dyDescent="0.2">
      <c r="BH9569" s="25"/>
      <c r="BI9569" s="25"/>
      <c r="BJ9569" s="25"/>
      <c r="BK9569" s="25"/>
    </row>
    <row r="9570" spans="60:63" ht="14.25" x14ac:dyDescent="0.2">
      <c r="BH9570" s="25"/>
      <c r="BI9570" s="25"/>
      <c r="BJ9570" s="25"/>
      <c r="BK9570" s="25"/>
    </row>
    <row r="9571" spans="60:63" ht="14.25" x14ac:dyDescent="0.2">
      <c r="BH9571" s="25"/>
      <c r="BI9571" s="25"/>
      <c r="BJ9571" s="25"/>
      <c r="BK9571" s="25"/>
    </row>
    <row r="9572" spans="60:63" ht="14.25" x14ac:dyDescent="0.2">
      <c r="BH9572" s="25"/>
      <c r="BI9572" s="25"/>
      <c r="BJ9572" s="25"/>
      <c r="BK9572" s="25"/>
    </row>
    <row r="9573" spans="60:63" ht="14.25" x14ac:dyDescent="0.2">
      <c r="BH9573" s="25"/>
      <c r="BI9573" s="25"/>
      <c r="BJ9573" s="25"/>
      <c r="BK9573" s="25"/>
    </row>
    <row r="9574" spans="60:63" ht="14.25" x14ac:dyDescent="0.2">
      <c r="BH9574" s="25"/>
      <c r="BI9574" s="25"/>
      <c r="BJ9574" s="25"/>
      <c r="BK9574" s="25"/>
    </row>
    <row r="9575" spans="60:63" ht="14.25" x14ac:dyDescent="0.2">
      <c r="BH9575" s="25"/>
      <c r="BI9575" s="25"/>
      <c r="BJ9575" s="25"/>
      <c r="BK9575" s="25"/>
    </row>
    <row r="9576" spans="60:63" ht="14.25" x14ac:dyDescent="0.2">
      <c r="BH9576" s="25"/>
      <c r="BI9576" s="25"/>
      <c r="BJ9576" s="25"/>
      <c r="BK9576" s="25"/>
    </row>
    <row r="9577" spans="60:63" ht="14.25" x14ac:dyDescent="0.2">
      <c r="BH9577" s="25"/>
      <c r="BI9577" s="25"/>
      <c r="BJ9577" s="25"/>
      <c r="BK9577" s="25"/>
    </row>
    <row r="9578" spans="60:63" ht="14.25" x14ac:dyDescent="0.2">
      <c r="BH9578" s="25"/>
      <c r="BI9578" s="25"/>
      <c r="BJ9578" s="25"/>
      <c r="BK9578" s="25"/>
    </row>
    <row r="9579" spans="60:63" ht="14.25" x14ac:dyDescent="0.2">
      <c r="BH9579" s="25"/>
      <c r="BI9579" s="25"/>
      <c r="BJ9579" s="25"/>
      <c r="BK9579" s="25"/>
    </row>
    <row r="9580" spans="60:63" ht="14.25" x14ac:dyDescent="0.2">
      <c r="BH9580" s="25"/>
      <c r="BI9580" s="25"/>
      <c r="BJ9580" s="25"/>
      <c r="BK9580" s="25"/>
    </row>
    <row r="9581" spans="60:63" ht="14.25" x14ac:dyDescent="0.2">
      <c r="BH9581" s="25"/>
      <c r="BI9581" s="25"/>
      <c r="BJ9581" s="25"/>
      <c r="BK9581" s="25"/>
    </row>
    <row r="9582" spans="60:63" ht="14.25" x14ac:dyDescent="0.2">
      <c r="BH9582" s="25"/>
      <c r="BI9582" s="25"/>
      <c r="BJ9582" s="25"/>
      <c r="BK9582" s="25"/>
    </row>
    <row r="9583" spans="60:63" ht="14.25" x14ac:dyDescent="0.2">
      <c r="BH9583" s="25"/>
      <c r="BI9583" s="25"/>
      <c r="BJ9583" s="25"/>
      <c r="BK9583" s="25"/>
    </row>
    <row r="9584" spans="60:63" ht="14.25" x14ac:dyDescent="0.2">
      <c r="BH9584" s="25"/>
      <c r="BI9584" s="25"/>
      <c r="BJ9584" s="25"/>
      <c r="BK9584" s="25"/>
    </row>
    <row r="9585" spans="60:63" ht="14.25" x14ac:dyDescent="0.2">
      <c r="BH9585" s="25"/>
      <c r="BI9585" s="25"/>
      <c r="BJ9585" s="25"/>
      <c r="BK9585" s="25"/>
    </row>
    <row r="9586" spans="60:63" ht="14.25" x14ac:dyDescent="0.2">
      <c r="BH9586" s="25"/>
      <c r="BI9586" s="25"/>
      <c r="BJ9586" s="25"/>
      <c r="BK9586" s="25"/>
    </row>
    <row r="9587" spans="60:63" ht="14.25" x14ac:dyDescent="0.2">
      <c r="BH9587" s="25"/>
      <c r="BI9587" s="25"/>
      <c r="BJ9587" s="25"/>
      <c r="BK9587" s="25"/>
    </row>
    <row r="9588" spans="60:63" ht="14.25" x14ac:dyDescent="0.2">
      <c r="BH9588" s="25"/>
      <c r="BI9588" s="25"/>
      <c r="BJ9588" s="25"/>
      <c r="BK9588" s="25"/>
    </row>
    <row r="9589" spans="60:63" ht="14.25" x14ac:dyDescent="0.2">
      <c r="BH9589" s="25"/>
      <c r="BI9589" s="25"/>
      <c r="BJ9589" s="25"/>
      <c r="BK9589" s="25"/>
    </row>
    <row r="9590" spans="60:63" ht="14.25" x14ac:dyDescent="0.2">
      <c r="BH9590" s="25"/>
      <c r="BI9590" s="25"/>
      <c r="BJ9590" s="25"/>
      <c r="BK9590" s="25"/>
    </row>
    <row r="9591" spans="60:63" ht="14.25" x14ac:dyDescent="0.2">
      <c r="BH9591" s="25"/>
      <c r="BI9591" s="25"/>
      <c r="BJ9591" s="25"/>
      <c r="BK9591" s="25"/>
    </row>
    <row r="9592" spans="60:63" ht="14.25" x14ac:dyDescent="0.2">
      <c r="BH9592" s="25"/>
      <c r="BI9592" s="25"/>
      <c r="BJ9592" s="25"/>
      <c r="BK9592" s="25"/>
    </row>
    <row r="9593" spans="60:63" ht="14.25" x14ac:dyDescent="0.2">
      <c r="BH9593" s="25"/>
      <c r="BI9593" s="25"/>
      <c r="BJ9593" s="25"/>
      <c r="BK9593" s="25"/>
    </row>
    <row r="9594" spans="60:63" ht="14.25" x14ac:dyDescent="0.2">
      <c r="BH9594" s="25"/>
      <c r="BI9594" s="25"/>
      <c r="BJ9594" s="25"/>
      <c r="BK9594" s="25"/>
    </row>
    <row r="9595" spans="60:63" ht="14.25" x14ac:dyDescent="0.2">
      <c r="BH9595" s="25"/>
      <c r="BI9595" s="25"/>
      <c r="BJ9595" s="25"/>
      <c r="BK9595" s="25"/>
    </row>
    <row r="9596" spans="60:63" ht="14.25" x14ac:dyDescent="0.2">
      <c r="BH9596" s="25"/>
      <c r="BI9596" s="25"/>
      <c r="BJ9596" s="25"/>
      <c r="BK9596" s="25"/>
    </row>
    <row r="9597" spans="60:63" ht="14.25" x14ac:dyDescent="0.2">
      <c r="BH9597" s="25"/>
      <c r="BI9597" s="25"/>
      <c r="BJ9597" s="25"/>
      <c r="BK9597" s="25"/>
    </row>
    <row r="9598" spans="60:63" ht="14.25" x14ac:dyDescent="0.2">
      <c r="BH9598" s="25"/>
      <c r="BI9598" s="25"/>
      <c r="BJ9598" s="25"/>
      <c r="BK9598" s="25"/>
    </row>
    <row r="9599" spans="60:63" ht="14.25" x14ac:dyDescent="0.2">
      <c r="BH9599" s="25"/>
      <c r="BI9599" s="25"/>
      <c r="BJ9599" s="25"/>
      <c r="BK9599" s="25"/>
    </row>
    <row r="9600" spans="60:63" ht="14.25" x14ac:dyDescent="0.2">
      <c r="BH9600" s="25"/>
      <c r="BI9600" s="25"/>
      <c r="BJ9600" s="25"/>
      <c r="BK9600" s="25"/>
    </row>
    <row r="9601" spans="60:63" ht="14.25" x14ac:dyDescent="0.2">
      <c r="BH9601" s="25"/>
      <c r="BI9601" s="25"/>
      <c r="BJ9601" s="25"/>
      <c r="BK9601" s="25"/>
    </row>
    <row r="9602" spans="60:63" ht="14.25" x14ac:dyDescent="0.2">
      <c r="BH9602" s="25"/>
      <c r="BI9602" s="25"/>
      <c r="BJ9602" s="25"/>
      <c r="BK9602" s="25"/>
    </row>
    <row r="9603" spans="60:63" ht="14.25" x14ac:dyDescent="0.2">
      <c r="BH9603" s="25"/>
      <c r="BI9603" s="25"/>
      <c r="BJ9603" s="25"/>
      <c r="BK9603" s="25"/>
    </row>
    <row r="9604" spans="60:63" ht="14.25" x14ac:dyDescent="0.2">
      <c r="BH9604" s="25"/>
      <c r="BI9604" s="25"/>
      <c r="BJ9604" s="25"/>
      <c r="BK9604" s="25"/>
    </row>
    <row r="9605" spans="60:63" ht="14.25" x14ac:dyDescent="0.2">
      <c r="BH9605" s="25"/>
      <c r="BI9605" s="25"/>
      <c r="BJ9605" s="25"/>
      <c r="BK9605" s="25"/>
    </row>
    <row r="9606" spans="60:63" ht="14.25" x14ac:dyDescent="0.2">
      <c r="BH9606" s="25"/>
      <c r="BI9606" s="25"/>
      <c r="BJ9606" s="25"/>
      <c r="BK9606" s="25"/>
    </row>
    <row r="9607" spans="60:63" ht="14.25" x14ac:dyDescent="0.2">
      <c r="BH9607" s="25"/>
      <c r="BI9607" s="25"/>
      <c r="BJ9607" s="25"/>
      <c r="BK9607" s="25"/>
    </row>
    <row r="9608" spans="60:63" ht="14.25" x14ac:dyDescent="0.2">
      <c r="BH9608" s="25"/>
      <c r="BI9608" s="25"/>
      <c r="BJ9608" s="25"/>
      <c r="BK9608" s="25"/>
    </row>
    <row r="9609" spans="60:63" ht="14.25" x14ac:dyDescent="0.2">
      <c r="BH9609" s="25"/>
      <c r="BI9609" s="25"/>
      <c r="BJ9609" s="25"/>
      <c r="BK9609" s="25"/>
    </row>
    <row r="9610" spans="60:63" ht="14.25" x14ac:dyDescent="0.2">
      <c r="BH9610" s="25"/>
      <c r="BI9610" s="25"/>
      <c r="BJ9610" s="25"/>
      <c r="BK9610" s="25"/>
    </row>
    <row r="9611" spans="60:63" ht="14.25" x14ac:dyDescent="0.2">
      <c r="BH9611" s="25"/>
      <c r="BI9611" s="25"/>
      <c r="BJ9611" s="25"/>
      <c r="BK9611" s="25"/>
    </row>
    <row r="9612" spans="60:63" ht="14.25" x14ac:dyDescent="0.2">
      <c r="BH9612" s="25"/>
      <c r="BI9612" s="25"/>
      <c r="BJ9612" s="25"/>
      <c r="BK9612" s="25"/>
    </row>
    <row r="9613" spans="60:63" ht="14.25" x14ac:dyDescent="0.2">
      <c r="BH9613" s="25"/>
      <c r="BI9613" s="25"/>
      <c r="BJ9613" s="25"/>
      <c r="BK9613" s="25"/>
    </row>
    <row r="9614" spans="60:63" ht="14.25" x14ac:dyDescent="0.2">
      <c r="BH9614" s="25"/>
      <c r="BI9614" s="25"/>
      <c r="BJ9614" s="25"/>
      <c r="BK9614" s="25"/>
    </row>
    <row r="9615" spans="60:63" ht="14.25" x14ac:dyDescent="0.2">
      <c r="BH9615" s="25"/>
      <c r="BI9615" s="25"/>
      <c r="BJ9615" s="25"/>
      <c r="BK9615" s="25"/>
    </row>
    <row r="9616" spans="60:63" ht="14.25" x14ac:dyDescent="0.2">
      <c r="BH9616" s="25"/>
      <c r="BI9616" s="25"/>
      <c r="BJ9616" s="25"/>
      <c r="BK9616" s="25"/>
    </row>
    <row r="9617" spans="60:63" ht="14.25" x14ac:dyDescent="0.2">
      <c r="BH9617" s="25"/>
      <c r="BI9617" s="25"/>
      <c r="BJ9617" s="25"/>
      <c r="BK9617" s="25"/>
    </row>
    <row r="9618" spans="60:63" ht="14.25" x14ac:dyDescent="0.2">
      <c r="BH9618" s="25"/>
      <c r="BI9618" s="25"/>
      <c r="BJ9618" s="25"/>
      <c r="BK9618" s="25"/>
    </row>
    <row r="9619" spans="60:63" ht="14.25" x14ac:dyDescent="0.2">
      <c r="BH9619" s="25"/>
      <c r="BI9619" s="25"/>
      <c r="BJ9619" s="25"/>
      <c r="BK9619" s="25"/>
    </row>
    <row r="9620" spans="60:63" ht="14.25" x14ac:dyDescent="0.2">
      <c r="BH9620" s="25"/>
      <c r="BI9620" s="25"/>
      <c r="BJ9620" s="25"/>
      <c r="BK9620" s="25"/>
    </row>
    <row r="9621" spans="60:63" ht="14.25" x14ac:dyDescent="0.2">
      <c r="BH9621" s="25"/>
      <c r="BI9621" s="25"/>
      <c r="BJ9621" s="25"/>
      <c r="BK9621" s="25"/>
    </row>
    <row r="9622" spans="60:63" ht="14.25" x14ac:dyDescent="0.2">
      <c r="BH9622" s="25"/>
      <c r="BI9622" s="25"/>
      <c r="BJ9622" s="25"/>
      <c r="BK9622" s="25"/>
    </row>
    <row r="9623" spans="60:63" ht="14.25" x14ac:dyDescent="0.2">
      <c r="BH9623" s="25"/>
      <c r="BI9623" s="25"/>
      <c r="BJ9623" s="25"/>
      <c r="BK9623" s="25"/>
    </row>
    <row r="9624" spans="60:63" ht="14.25" x14ac:dyDescent="0.2">
      <c r="BH9624" s="25"/>
      <c r="BI9624" s="25"/>
      <c r="BJ9624" s="25"/>
      <c r="BK9624" s="25"/>
    </row>
    <row r="9625" spans="60:63" ht="14.25" x14ac:dyDescent="0.2">
      <c r="BH9625" s="25"/>
      <c r="BI9625" s="25"/>
      <c r="BJ9625" s="25"/>
      <c r="BK9625" s="25"/>
    </row>
    <row r="9626" spans="60:63" ht="14.25" x14ac:dyDescent="0.2">
      <c r="BH9626" s="25"/>
      <c r="BI9626" s="25"/>
      <c r="BJ9626" s="25"/>
      <c r="BK9626" s="25"/>
    </row>
    <row r="9627" spans="60:63" ht="14.25" x14ac:dyDescent="0.2">
      <c r="BH9627" s="25"/>
      <c r="BI9627" s="25"/>
      <c r="BJ9627" s="25"/>
      <c r="BK9627" s="25"/>
    </row>
    <row r="9628" spans="60:63" ht="14.25" x14ac:dyDescent="0.2">
      <c r="BH9628" s="25"/>
      <c r="BI9628" s="25"/>
      <c r="BJ9628" s="25"/>
      <c r="BK9628" s="25"/>
    </row>
    <row r="9629" spans="60:63" ht="14.25" x14ac:dyDescent="0.2">
      <c r="BH9629" s="25"/>
      <c r="BI9629" s="25"/>
      <c r="BJ9629" s="25"/>
      <c r="BK9629" s="25"/>
    </row>
    <row r="9630" spans="60:63" ht="14.25" x14ac:dyDescent="0.2">
      <c r="BH9630" s="25"/>
      <c r="BI9630" s="25"/>
      <c r="BJ9630" s="25"/>
      <c r="BK9630" s="25"/>
    </row>
    <row r="9631" spans="60:63" ht="14.25" x14ac:dyDescent="0.2">
      <c r="BH9631" s="25"/>
      <c r="BI9631" s="25"/>
      <c r="BJ9631" s="25"/>
      <c r="BK9631" s="25"/>
    </row>
    <row r="9632" spans="60:63" ht="14.25" x14ac:dyDescent="0.2">
      <c r="BH9632" s="25"/>
      <c r="BI9632" s="25"/>
      <c r="BJ9632" s="25"/>
      <c r="BK9632" s="25"/>
    </row>
    <row r="9633" spans="60:63" ht="14.25" x14ac:dyDescent="0.2">
      <c r="BH9633" s="25"/>
      <c r="BI9633" s="25"/>
      <c r="BJ9633" s="25"/>
      <c r="BK9633" s="25"/>
    </row>
    <row r="9634" spans="60:63" ht="14.25" x14ac:dyDescent="0.2">
      <c r="BH9634" s="25"/>
      <c r="BI9634" s="25"/>
      <c r="BJ9634" s="25"/>
      <c r="BK9634" s="25"/>
    </row>
    <row r="9635" spans="60:63" ht="14.25" x14ac:dyDescent="0.2">
      <c r="BH9635" s="25"/>
      <c r="BI9635" s="25"/>
      <c r="BJ9635" s="25"/>
      <c r="BK9635" s="25"/>
    </row>
    <row r="9636" spans="60:63" ht="14.25" x14ac:dyDescent="0.2">
      <c r="BH9636" s="25"/>
      <c r="BI9636" s="25"/>
      <c r="BJ9636" s="25"/>
      <c r="BK9636" s="25"/>
    </row>
    <row r="9637" spans="60:63" ht="14.25" x14ac:dyDescent="0.2">
      <c r="BH9637" s="25"/>
      <c r="BI9637" s="25"/>
      <c r="BJ9637" s="25"/>
      <c r="BK9637" s="25"/>
    </row>
    <row r="9638" spans="60:63" ht="14.25" x14ac:dyDescent="0.2">
      <c r="BH9638" s="25"/>
      <c r="BI9638" s="25"/>
      <c r="BJ9638" s="25"/>
      <c r="BK9638" s="25"/>
    </row>
    <row r="9639" spans="60:63" ht="14.25" x14ac:dyDescent="0.2">
      <c r="BH9639" s="25"/>
      <c r="BI9639" s="25"/>
      <c r="BJ9639" s="25"/>
      <c r="BK9639" s="25"/>
    </row>
    <row r="9640" spans="60:63" ht="14.25" x14ac:dyDescent="0.2">
      <c r="BH9640" s="25"/>
      <c r="BI9640" s="25"/>
      <c r="BJ9640" s="25"/>
      <c r="BK9640" s="25"/>
    </row>
    <row r="9641" spans="60:63" ht="14.25" x14ac:dyDescent="0.2">
      <c r="BH9641" s="25"/>
      <c r="BI9641" s="25"/>
      <c r="BJ9641" s="25"/>
      <c r="BK9641" s="25"/>
    </row>
    <row r="9642" spans="60:63" ht="14.25" x14ac:dyDescent="0.2">
      <c r="BH9642" s="25"/>
      <c r="BI9642" s="25"/>
      <c r="BJ9642" s="25"/>
      <c r="BK9642" s="25"/>
    </row>
    <row r="9643" spans="60:63" ht="14.25" x14ac:dyDescent="0.2">
      <c r="BH9643" s="25"/>
      <c r="BI9643" s="25"/>
      <c r="BJ9643" s="25"/>
      <c r="BK9643" s="25"/>
    </row>
    <row r="9644" spans="60:63" ht="14.25" x14ac:dyDescent="0.2">
      <c r="BH9644" s="25"/>
      <c r="BI9644" s="25"/>
      <c r="BJ9644" s="25"/>
      <c r="BK9644" s="25"/>
    </row>
    <row r="9645" spans="60:63" ht="14.25" x14ac:dyDescent="0.2">
      <c r="BH9645" s="25"/>
      <c r="BI9645" s="25"/>
      <c r="BJ9645" s="25"/>
      <c r="BK9645" s="25"/>
    </row>
    <row r="9646" spans="60:63" ht="14.25" x14ac:dyDescent="0.2">
      <c r="BH9646" s="25"/>
      <c r="BI9646" s="25"/>
      <c r="BJ9646" s="25"/>
      <c r="BK9646" s="25"/>
    </row>
    <row r="9647" spans="60:63" ht="14.25" x14ac:dyDescent="0.2">
      <c r="BH9647" s="25"/>
      <c r="BI9647" s="25"/>
      <c r="BJ9647" s="25"/>
      <c r="BK9647" s="25"/>
    </row>
    <row r="9648" spans="60:63" ht="14.25" x14ac:dyDescent="0.2">
      <c r="BH9648" s="25"/>
      <c r="BI9648" s="25"/>
      <c r="BJ9648" s="25"/>
      <c r="BK9648" s="25"/>
    </row>
    <row r="9649" spans="60:63" ht="14.25" x14ac:dyDescent="0.2">
      <c r="BH9649" s="25"/>
      <c r="BI9649" s="25"/>
      <c r="BJ9649" s="25"/>
      <c r="BK9649" s="25"/>
    </row>
    <row r="9650" spans="60:63" ht="14.25" x14ac:dyDescent="0.2">
      <c r="BH9650" s="25"/>
      <c r="BI9650" s="25"/>
      <c r="BJ9650" s="25"/>
      <c r="BK9650" s="25"/>
    </row>
    <row r="9651" spans="60:63" ht="14.25" x14ac:dyDescent="0.2">
      <c r="BH9651" s="25"/>
      <c r="BI9651" s="25"/>
      <c r="BJ9651" s="25"/>
      <c r="BK9651" s="25"/>
    </row>
    <row r="9652" spans="60:63" ht="14.25" x14ac:dyDescent="0.2">
      <c r="BH9652" s="25"/>
      <c r="BI9652" s="25"/>
      <c r="BJ9652" s="25"/>
      <c r="BK9652" s="25"/>
    </row>
    <row r="9653" spans="60:63" ht="14.25" x14ac:dyDescent="0.2">
      <c r="BH9653" s="25"/>
      <c r="BI9653" s="25"/>
      <c r="BJ9653" s="25"/>
      <c r="BK9653" s="25"/>
    </row>
    <row r="9654" spans="60:63" ht="14.25" x14ac:dyDescent="0.2">
      <c r="BH9654" s="25"/>
      <c r="BI9654" s="25"/>
      <c r="BJ9654" s="25"/>
      <c r="BK9654" s="25"/>
    </row>
    <row r="9655" spans="60:63" ht="14.25" x14ac:dyDescent="0.2">
      <c r="BH9655" s="25"/>
      <c r="BI9655" s="25"/>
      <c r="BJ9655" s="25"/>
      <c r="BK9655" s="25"/>
    </row>
    <row r="9656" spans="60:63" ht="14.25" x14ac:dyDescent="0.2">
      <c r="BH9656" s="25"/>
      <c r="BI9656" s="25"/>
      <c r="BJ9656" s="25"/>
      <c r="BK9656" s="25"/>
    </row>
    <row r="9657" spans="60:63" ht="14.25" x14ac:dyDescent="0.2">
      <c r="BH9657" s="25"/>
      <c r="BI9657" s="25"/>
      <c r="BJ9657" s="25"/>
      <c r="BK9657" s="25"/>
    </row>
    <row r="9658" spans="60:63" ht="14.25" x14ac:dyDescent="0.2">
      <c r="BH9658" s="25"/>
      <c r="BI9658" s="25"/>
      <c r="BJ9658" s="25"/>
      <c r="BK9658" s="25"/>
    </row>
    <row r="9659" spans="60:63" ht="14.25" x14ac:dyDescent="0.2">
      <c r="BH9659" s="25"/>
      <c r="BI9659" s="25"/>
      <c r="BJ9659" s="25"/>
      <c r="BK9659" s="25"/>
    </row>
    <row r="9660" spans="60:63" ht="14.25" x14ac:dyDescent="0.2">
      <c r="BH9660" s="25"/>
      <c r="BI9660" s="25"/>
      <c r="BJ9660" s="25"/>
      <c r="BK9660" s="25"/>
    </row>
    <row r="9661" spans="60:63" ht="14.25" x14ac:dyDescent="0.2">
      <c r="BH9661" s="25"/>
      <c r="BI9661" s="25"/>
      <c r="BJ9661" s="25"/>
      <c r="BK9661" s="25"/>
    </row>
    <row r="9662" spans="60:63" ht="14.25" x14ac:dyDescent="0.2">
      <c r="BH9662" s="25"/>
      <c r="BI9662" s="25"/>
      <c r="BJ9662" s="25"/>
      <c r="BK9662" s="25"/>
    </row>
    <row r="9663" spans="60:63" ht="14.25" x14ac:dyDescent="0.2">
      <c r="BH9663" s="25"/>
      <c r="BI9663" s="25"/>
      <c r="BJ9663" s="25"/>
      <c r="BK9663" s="25"/>
    </row>
    <row r="9664" spans="60:63" ht="14.25" x14ac:dyDescent="0.2">
      <c r="BH9664" s="25"/>
      <c r="BI9664" s="25"/>
      <c r="BJ9664" s="25"/>
      <c r="BK9664" s="25"/>
    </row>
    <row r="9665" spans="60:63" ht="14.25" x14ac:dyDescent="0.2">
      <c r="BH9665" s="25"/>
      <c r="BI9665" s="25"/>
      <c r="BJ9665" s="25"/>
      <c r="BK9665" s="25"/>
    </row>
    <row r="9666" spans="60:63" ht="14.25" x14ac:dyDescent="0.2">
      <c r="BH9666" s="25"/>
      <c r="BI9666" s="25"/>
      <c r="BJ9666" s="25"/>
      <c r="BK9666" s="25"/>
    </row>
    <row r="9667" spans="60:63" ht="14.25" x14ac:dyDescent="0.2">
      <c r="BH9667" s="25"/>
      <c r="BI9667" s="25"/>
      <c r="BJ9667" s="25"/>
      <c r="BK9667" s="25"/>
    </row>
    <row r="9668" spans="60:63" ht="14.25" x14ac:dyDescent="0.2">
      <c r="BH9668" s="25"/>
      <c r="BI9668" s="25"/>
      <c r="BJ9668" s="25"/>
      <c r="BK9668" s="25"/>
    </row>
    <row r="9669" spans="60:63" ht="14.25" x14ac:dyDescent="0.2">
      <c r="BH9669" s="25"/>
      <c r="BI9669" s="25"/>
      <c r="BJ9669" s="25"/>
      <c r="BK9669" s="25"/>
    </row>
    <row r="9670" spans="60:63" ht="14.25" x14ac:dyDescent="0.2">
      <c r="BH9670" s="25"/>
      <c r="BI9670" s="25"/>
      <c r="BJ9670" s="25"/>
      <c r="BK9670" s="25"/>
    </row>
    <row r="9671" spans="60:63" ht="14.25" x14ac:dyDescent="0.2">
      <c r="BH9671" s="25"/>
      <c r="BI9671" s="25"/>
      <c r="BJ9671" s="25"/>
      <c r="BK9671" s="25"/>
    </row>
    <row r="9672" spans="60:63" ht="14.25" x14ac:dyDescent="0.2">
      <c r="BH9672" s="25"/>
      <c r="BI9672" s="25"/>
      <c r="BJ9672" s="25"/>
      <c r="BK9672" s="25"/>
    </row>
    <row r="9673" spans="60:63" ht="14.25" x14ac:dyDescent="0.2">
      <c r="BH9673" s="25"/>
      <c r="BI9673" s="25"/>
      <c r="BJ9673" s="25"/>
      <c r="BK9673" s="25"/>
    </row>
    <row r="9674" spans="60:63" ht="14.25" x14ac:dyDescent="0.2">
      <c r="BH9674" s="25"/>
      <c r="BI9674" s="25"/>
      <c r="BJ9674" s="25"/>
      <c r="BK9674" s="25"/>
    </row>
    <row r="9675" spans="60:63" ht="14.25" x14ac:dyDescent="0.2">
      <c r="BH9675" s="25"/>
      <c r="BI9675" s="25"/>
      <c r="BJ9675" s="25"/>
      <c r="BK9675" s="25"/>
    </row>
    <row r="9676" spans="60:63" ht="14.25" x14ac:dyDescent="0.2">
      <c r="BH9676" s="25"/>
      <c r="BI9676" s="25"/>
      <c r="BJ9676" s="25"/>
      <c r="BK9676" s="25"/>
    </row>
    <row r="9677" spans="60:63" ht="14.25" x14ac:dyDescent="0.2">
      <c r="BH9677" s="25"/>
      <c r="BI9677" s="25"/>
      <c r="BJ9677" s="25"/>
      <c r="BK9677" s="25"/>
    </row>
    <row r="9678" spans="60:63" ht="14.25" x14ac:dyDescent="0.2">
      <c r="BH9678" s="25"/>
      <c r="BI9678" s="25"/>
      <c r="BJ9678" s="25"/>
      <c r="BK9678" s="25"/>
    </row>
    <row r="9679" spans="60:63" ht="14.25" x14ac:dyDescent="0.2">
      <c r="BH9679" s="25"/>
      <c r="BI9679" s="25"/>
      <c r="BJ9679" s="25"/>
      <c r="BK9679" s="25"/>
    </row>
    <row r="9680" spans="60:63" ht="14.25" x14ac:dyDescent="0.2">
      <c r="BH9680" s="25"/>
      <c r="BI9680" s="25"/>
      <c r="BJ9680" s="25"/>
      <c r="BK9680" s="25"/>
    </row>
    <row r="9681" spans="60:63" ht="14.25" x14ac:dyDescent="0.2">
      <c r="BH9681" s="25"/>
      <c r="BI9681" s="25"/>
      <c r="BJ9681" s="25"/>
      <c r="BK9681" s="25"/>
    </row>
    <row r="9682" spans="60:63" ht="14.25" x14ac:dyDescent="0.2">
      <c r="BH9682" s="25"/>
      <c r="BI9682" s="25"/>
      <c r="BJ9682" s="25"/>
      <c r="BK9682" s="25"/>
    </row>
    <row r="9683" spans="60:63" ht="14.25" x14ac:dyDescent="0.2">
      <c r="BH9683" s="25"/>
      <c r="BI9683" s="25"/>
      <c r="BJ9683" s="25"/>
      <c r="BK9683" s="25"/>
    </row>
    <row r="9684" spans="60:63" ht="14.25" x14ac:dyDescent="0.2">
      <c r="BH9684" s="25"/>
      <c r="BI9684" s="25"/>
      <c r="BJ9684" s="25"/>
      <c r="BK9684" s="25"/>
    </row>
    <row r="9685" spans="60:63" ht="14.25" x14ac:dyDescent="0.2">
      <c r="BH9685" s="25"/>
      <c r="BI9685" s="25"/>
      <c r="BJ9685" s="25"/>
      <c r="BK9685" s="25"/>
    </row>
    <row r="9686" spans="60:63" ht="14.25" x14ac:dyDescent="0.2">
      <c r="BH9686" s="25"/>
      <c r="BI9686" s="25"/>
      <c r="BJ9686" s="25"/>
      <c r="BK9686" s="25"/>
    </row>
    <row r="9687" spans="60:63" ht="14.25" x14ac:dyDescent="0.2">
      <c r="BH9687" s="25"/>
      <c r="BI9687" s="25"/>
      <c r="BJ9687" s="25"/>
      <c r="BK9687" s="25"/>
    </row>
    <row r="9688" spans="60:63" ht="14.25" x14ac:dyDescent="0.2">
      <c r="BH9688" s="25"/>
      <c r="BI9688" s="25"/>
      <c r="BJ9688" s="25"/>
      <c r="BK9688" s="25"/>
    </row>
    <row r="9689" spans="60:63" ht="14.25" x14ac:dyDescent="0.2">
      <c r="BH9689" s="25"/>
      <c r="BI9689" s="25"/>
      <c r="BJ9689" s="25"/>
      <c r="BK9689" s="25"/>
    </row>
    <row r="9690" spans="60:63" ht="14.25" x14ac:dyDescent="0.2">
      <c r="BH9690" s="25"/>
      <c r="BI9690" s="25"/>
      <c r="BJ9690" s="25"/>
      <c r="BK9690" s="25"/>
    </row>
    <row r="9691" spans="60:63" ht="14.25" x14ac:dyDescent="0.2">
      <c r="BH9691" s="25"/>
      <c r="BI9691" s="25"/>
      <c r="BJ9691" s="25"/>
      <c r="BK9691" s="25"/>
    </row>
    <row r="9692" spans="60:63" ht="14.25" x14ac:dyDescent="0.2">
      <c r="BH9692" s="25"/>
      <c r="BI9692" s="25"/>
      <c r="BJ9692" s="25"/>
      <c r="BK9692" s="25"/>
    </row>
    <row r="9693" spans="60:63" ht="14.25" x14ac:dyDescent="0.2">
      <c r="BH9693" s="25"/>
      <c r="BI9693" s="25"/>
      <c r="BJ9693" s="25"/>
      <c r="BK9693" s="25"/>
    </row>
    <row r="9694" spans="60:63" ht="14.25" x14ac:dyDescent="0.2">
      <c r="BH9694" s="25"/>
      <c r="BI9694" s="25"/>
      <c r="BJ9694" s="25"/>
      <c r="BK9694" s="25"/>
    </row>
    <row r="9695" spans="60:63" ht="14.25" x14ac:dyDescent="0.2">
      <c r="BH9695" s="25"/>
      <c r="BI9695" s="25"/>
      <c r="BJ9695" s="25"/>
      <c r="BK9695" s="25"/>
    </row>
    <row r="9696" spans="60:63" ht="14.25" x14ac:dyDescent="0.2">
      <c r="BH9696" s="25"/>
      <c r="BI9696" s="25"/>
      <c r="BJ9696" s="25"/>
      <c r="BK9696" s="25"/>
    </row>
    <row r="9697" spans="60:63" ht="14.25" x14ac:dyDescent="0.2">
      <c r="BH9697" s="25"/>
      <c r="BI9697" s="25"/>
      <c r="BJ9697" s="25"/>
      <c r="BK9697" s="25"/>
    </row>
    <row r="9698" spans="60:63" ht="14.25" x14ac:dyDescent="0.2">
      <c r="BH9698" s="25"/>
      <c r="BI9698" s="25"/>
      <c r="BJ9698" s="25"/>
      <c r="BK9698" s="25"/>
    </row>
    <row r="9699" spans="60:63" ht="14.25" x14ac:dyDescent="0.2">
      <c r="BH9699" s="25"/>
      <c r="BI9699" s="25"/>
      <c r="BJ9699" s="25"/>
      <c r="BK9699" s="25"/>
    </row>
    <row r="9700" spans="60:63" ht="14.25" x14ac:dyDescent="0.2">
      <c r="BH9700" s="25"/>
      <c r="BI9700" s="25"/>
      <c r="BJ9700" s="25"/>
      <c r="BK9700" s="25"/>
    </row>
    <row r="9701" spans="60:63" ht="14.25" x14ac:dyDescent="0.2">
      <c r="BH9701" s="25"/>
      <c r="BI9701" s="25"/>
      <c r="BJ9701" s="25"/>
      <c r="BK9701" s="25"/>
    </row>
    <row r="9702" spans="60:63" ht="14.25" x14ac:dyDescent="0.2">
      <c r="BH9702" s="25"/>
      <c r="BI9702" s="25"/>
      <c r="BJ9702" s="25"/>
      <c r="BK9702" s="25"/>
    </row>
    <row r="9703" spans="60:63" ht="14.25" x14ac:dyDescent="0.2">
      <c r="BH9703" s="25"/>
      <c r="BI9703" s="25"/>
      <c r="BJ9703" s="25"/>
      <c r="BK9703" s="25"/>
    </row>
    <row r="9704" spans="60:63" ht="14.25" x14ac:dyDescent="0.2">
      <c r="BH9704" s="25"/>
      <c r="BI9704" s="25"/>
      <c r="BJ9704" s="25"/>
      <c r="BK9704" s="25"/>
    </row>
    <row r="9705" spans="60:63" ht="14.25" x14ac:dyDescent="0.2">
      <c r="BH9705" s="25"/>
      <c r="BI9705" s="25"/>
      <c r="BJ9705" s="25"/>
      <c r="BK9705" s="25"/>
    </row>
    <row r="9706" spans="60:63" ht="14.25" x14ac:dyDescent="0.2">
      <c r="BH9706" s="25"/>
      <c r="BI9706" s="25"/>
      <c r="BJ9706" s="25"/>
      <c r="BK9706" s="25"/>
    </row>
    <row r="9707" spans="60:63" ht="14.25" x14ac:dyDescent="0.2">
      <c r="BH9707" s="25"/>
      <c r="BI9707" s="25"/>
      <c r="BJ9707" s="25"/>
      <c r="BK9707" s="25"/>
    </row>
    <row r="9708" spans="60:63" ht="14.25" x14ac:dyDescent="0.2">
      <c r="BH9708" s="25"/>
      <c r="BI9708" s="25"/>
      <c r="BJ9708" s="25"/>
      <c r="BK9708" s="25"/>
    </row>
    <row r="9709" spans="60:63" ht="14.25" x14ac:dyDescent="0.2">
      <c r="BH9709" s="25"/>
      <c r="BI9709" s="25"/>
      <c r="BJ9709" s="25"/>
      <c r="BK9709" s="25"/>
    </row>
    <row r="9710" spans="60:63" ht="14.25" x14ac:dyDescent="0.2">
      <c r="BH9710" s="25"/>
      <c r="BI9710" s="25"/>
      <c r="BJ9710" s="25"/>
      <c r="BK9710" s="25"/>
    </row>
    <row r="9711" spans="60:63" ht="14.25" x14ac:dyDescent="0.2">
      <c r="BH9711" s="25"/>
      <c r="BI9711" s="25"/>
      <c r="BJ9711" s="25"/>
      <c r="BK9711" s="25"/>
    </row>
    <row r="9712" spans="60:63" ht="14.25" x14ac:dyDescent="0.2">
      <c r="BH9712" s="25"/>
      <c r="BI9712" s="25"/>
      <c r="BJ9712" s="25"/>
      <c r="BK9712" s="25"/>
    </row>
    <row r="9713" spans="60:63" ht="14.25" x14ac:dyDescent="0.2">
      <c r="BH9713" s="25"/>
      <c r="BI9713" s="25"/>
      <c r="BJ9713" s="25"/>
      <c r="BK9713" s="25"/>
    </row>
    <row r="9714" spans="60:63" ht="14.25" x14ac:dyDescent="0.2">
      <c r="BH9714" s="25"/>
      <c r="BI9714" s="25"/>
      <c r="BJ9714" s="25"/>
      <c r="BK9714" s="25"/>
    </row>
    <row r="9715" spans="60:63" ht="14.25" x14ac:dyDescent="0.2">
      <c r="BH9715" s="25"/>
      <c r="BI9715" s="25"/>
      <c r="BJ9715" s="25"/>
      <c r="BK9715" s="25"/>
    </row>
    <row r="9716" spans="60:63" ht="14.25" x14ac:dyDescent="0.2">
      <c r="BH9716" s="25"/>
      <c r="BI9716" s="25"/>
      <c r="BJ9716" s="25"/>
      <c r="BK9716" s="25"/>
    </row>
    <row r="9717" spans="60:63" ht="14.25" x14ac:dyDescent="0.2">
      <c r="BH9717" s="25"/>
      <c r="BI9717" s="25"/>
      <c r="BJ9717" s="25"/>
      <c r="BK9717" s="25"/>
    </row>
    <row r="9718" spans="60:63" ht="14.25" x14ac:dyDescent="0.2">
      <c r="BH9718" s="25"/>
      <c r="BI9718" s="25"/>
      <c r="BJ9718" s="25"/>
      <c r="BK9718" s="25"/>
    </row>
    <row r="9719" spans="60:63" ht="14.25" x14ac:dyDescent="0.2">
      <c r="BH9719" s="25"/>
      <c r="BI9719" s="25"/>
      <c r="BJ9719" s="25"/>
      <c r="BK9719" s="25"/>
    </row>
    <row r="9720" spans="60:63" ht="14.25" x14ac:dyDescent="0.2">
      <c r="BH9720" s="25"/>
      <c r="BI9720" s="25"/>
      <c r="BJ9720" s="25"/>
      <c r="BK9720" s="25"/>
    </row>
    <row r="9721" spans="60:63" ht="14.25" x14ac:dyDescent="0.2">
      <c r="BH9721" s="25"/>
      <c r="BI9721" s="25"/>
      <c r="BJ9721" s="25"/>
      <c r="BK9721" s="25"/>
    </row>
    <row r="9722" spans="60:63" ht="14.25" x14ac:dyDescent="0.2">
      <c r="BH9722" s="25"/>
      <c r="BI9722" s="25"/>
      <c r="BJ9722" s="25"/>
      <c r="BK9722" s="25"/>
    </row>
    <row r="9723" spans="60:63" ht="14.25" x14ac:dyDescent="0.2">
      <c r="BH9723" s="25"/>
      <c r="BI9723" s="25"/>
      <c r="BJ9723" s="25"/>
      <c r="BK9723" s="25"/>
    </row>
    <row r="9724" spans="60:63" ht="14.25" x14ac:dyDescent="0.2">
      <c r="BH9724" s="25"/>
      <c r="BI9724" s="25"/>
      <c r="BJ9724" s="25"/>
      <c r="BK9724" s="25"/>
    </row>
    <row r="9725" spans="60:63" ht="14.25" x14ac:dyDescent="0.2">
      <c r="BH9725" s="25"/>
      <c r="BI9725" s="25"/>
      <c r="BJ9725" s="25"/>
      <c r="BK9725" s="25"/>
    </row>
    <row r="9726" spans="60:63" ht="14.25" x14ac:dyDescent="0.2">
      <c r="BH9726" s="25"/>
      <c r="BI9726" s="25"/>
      <c r="BJ9726" s="25"/>
      <c r="BK9726" s="25"/>
    </row>
    <row r="9727" spans="60:63" ht="14.25" x14ac:dyDescent="0.2">
      <c r="BH9727" s="25"/>
      <c r="BI9727" s="25"/>
      <c r="BJ9727" s="25"/>
      <c r="BK9727" s="25"/>
    </row>
    <row r="9728" spans="60:63" ht="14.25" x14ac:dyDescent="0.2">
      <c r="BH9728" s="25"/>
      <c r="BI9728" s="25"/>
      <c r="BJ9728" s="25"/>
      <c r="BK9728" s="25"/>
    </row>
    <row r="9729" spans="60:63" ht="14.25" x14ac:dyDescent="0.2">
      <c r="BH9729" s="25"/>
      <c r="BI9729" s="25"/>
      <c r="BJ9729" s="25"/>
      <c r="BK9729" s="25"/>
    </row>
    <row r="9730" spans="60:63" ht="14.25" x14ac:dyDescent="0.2">
      <c r="BH9730" s="25"/>
      <c r="BI9730" s="25"/>
      <c r="BJ9730" s="25"/>
      <c r="BK9730" s="25"/>
    </row>
    <row r="9731" spans="60:63" ht="14.25" x14ac:dyDescent="0.2">
      <c r="BH9731" s="25"/>
      <c r="BI9731" s="25"/>
      <c r="BJ9731" s="25"/>
      <c r="BK9731" s="25"/>
    </row>
    <row r="9732" spans="60:63" ht="14.25" x14ac:dyDescent="0.2">
      <c r="BH9732" s="25"/>
      <c r="BI9732" s="25"/>
      <c r="BJ9732" s="25"/>
      <c r="BK9732" s="25"/>
    </row>
    <row r="9733" spans="60:63" ht="14.25" x14ac:dyDescent="0.2">
      <c r="BH9733" s="25"/>
      <c r="BI9733" s="25"/>
      <c r="BJ9733" s="25"/>
      <c r="BK9733" s="25"/>
    </row>
    <row r="9734" spans="60:63" ht="14.25" x14ac:dyDescent="0.2">
      <c r="BH9734" s="25"/>
      <c r="BI9734" s="25"/>
      <c r="BJ9734" s="25"/>
      <c r="BK9734" s="25"/>
    </row>
    <row r="9735" spans="60:63" ht="14.25" x14ac:dyDescent="0.2">
      <c r="BH9735" s="25"/>
      <c r="BI9735" s="25"/>
      <c r="BJ9735" s="25"/>
      <c r="BK9735" s="25"/>
    </row>
    <row r="9736" spans="60:63" ht="14.25" x14ac:dyDescent="0.2">
      <c r="BH9736" s="25"/>
      <c r="BI9736" s="25"/>
      <c r="BJ9736" s="25"/>
      <c r="BK9736" s="25"/>
    </row>
    <row r="9737" spans="60:63" ht="14.25" x14ac:dyDescent="0.2">
      <c r="BH9737" s="25"/>
      <c r="BI9737" s="25"/>
      <c r="BJ9737" s="25"/>
      <c r="BK9737" s="25"/>
    </row>
    <row r="9738" spans="60:63" ht="14.25" x14ac:dyDescent="0.2">
      <c r="BH9738" s="25"/>
      <c r="BI9738" s="25"/>
      <c r="BJ9738" s="25"/>
      <c r="BK9738" s="25"/>
    </row>
    <row r="9739" spans="60:63" ht="14.25" x14ac:dyDescent="0.2">
      <c r="BH9739" s="25"/>
      <c r="BI9739" s="25"/>
      <c r="BJ9739" s="25"/>
      <c r="BK9739" s="25"/>
    </row>
    <row r="9740" spans="60:63" ht="14.25" x14ac:dyDescent="0.2">
      <c r="BH9740" s="25"/>
      <c r="BI9740" s="25"/>
      <c r="BJ9740" s="25"/>
      <c r="BK9740" s="25"/>
    </row>
    <row r="9741" spans="60:63" ht="14.25" x14ac:dyDescent="0.2">
      <c r="BH9741" s="25"/>
      <c r="BI9741" s="25"/>
      <c r="BJ9741" s="25"/>
      <c r="BK9741" s="25"/>
    </row>
    <row r="9742" spans="60:63" ht="14.25" x14ac:dyDescent="0.2">
      <c r="BH9742" s="25"/>
      <c r="BI9742" s="25"/>
      <c r="BJ9742" s="25"/>
      <c r="BK9742" s="25"/>
    </row>
    <row r="9743" spans="60:63" ht="14.25" x14ac:dyDescent="0.2">
      <c r="BH9743" s="25"/>
      <c r="BI9743" s="25"/>
      <c r="BJ9743" s="25"/>
      <c r="BK9743" s="25"/>
    </row>
    <row r="9744" spans="60:63" ht="14.25" x14ac:dyDescent="0.2">
      <c r="BH9744" s="25"/>
      <c r="BI9744" s="25"/>
      <c r="BJ9744" s="25"/>
      <c r="BK9744" s="25"/>
    </row>
    <row r="9745" spans="60:63" ht="14.25" x14ac:dyDescent="0.2">
      <c r="BH9745" s="25"/>
      <c r="BI9745" s="25"/>
      <c r="BJ9745" s="25"/>
      <c r="BK9745" s="25"/>
    </row>
    <row r="9746" spans="60:63" ht="14.25" x14ac:dyDescent="0.2">
      <c r="BH9746" s="25"/>
      <c r="BI9746" s="25"/>
      <c r="BJ9746" s="25"/>
      <c r="BK9746" s="25"/>
    </row>
    <row r="9747" spans="60:63" ht="14.25" x14ac:dyDescent="0.2">
      <c r="BH9747" s="25"/>
      <c r="BI9747" s="25"/>
      <c r="BJ9747" s="25"/>
      <c r="BK9747" s="25"/>
    </row>
    <row r="9748" spans="60:63" ht="14.25" x14ac:dyDescent="0.2">
      <c r="BH9748" s="25"/>
      <c r="BI9748" s="25"/>
      <c r="BJ9748" s="25"/>
      <c r="BK9748" s="25"/>
    </row>
    <row r="9749" spans="60:63" ht="14.25" x14ac:dyDescent="0.2">
      <c r="BH9749" s="25"/>
      <c r="BI9749" s="25"/>
      <c r="BJ9749" s="25"/>
      <c r="BK9749" s="25"/>
    </row>
    <row r="9750" spans="60:63" ht="14.25" x14ac:dyDescent="0.2">
      <c r="BH9750" s="25"/>
      <c r="BI9750" s="25"/>
      <c r="BJ9750" s="25"/>
      <c r="BK9750" s="25"/>
    </row>
    <row r="9751" spans="60:63" ht="14.25" x14ac:dyDescent="0.2">
      <c r="BH9751" s="25"/>
      <c r="BI9751" s="25"/>
      <c r="BJ9751" s="25"/>
      <c r="BK9751" s="25"/>
    </row>
    <row r="9752" spans="60:63" ht="14.25" x14ac:dyDescent="0.2">
      <c r="BH9752" s="25"/>
      <c r="BI9752" s="25"/>
      <c r="BJ9752" s="25"/>
      <c r="BK9752" s="25"/>
    </row>
    <row r="9753" spans="60:63" ht="14.25" x14ac:dyDescent="0.2">
      <c r="BH9753" s="25"/>
      <c r="BI9753" s="25"/>
      <c r="BJ9753" s="25"/>
      <c r="BK9753" s="25"/>
    </row>
    <row r="9754" spans="60:63" ht="14.25" x14ac:dyDescent="0.2">
      <c r="BH9754" s="25"/>
      <c r="BI9754" s="25"/>
      <c r="BJ9754" s="25"/>
      <c r="BK9754" s="25"/>
    </row>
    <row r="9755" spans="60:63" ht="14.25" x14ac:dyDescent="0.2">
      <c r="BH9755" s="25"/>
      <c r="BI9755" s="25"/>
      <c r="BJ9755" s="25"/>
      <c r="BK9755" s="25"/>
    </row>
    <row r="9756" spans="60:63" ht="14.25" x14ac:dyDescent="0.2">
      <c r="BH9756" s="25"/>
      <c r="BI9756" s="25"/>
      <c r="BJ9756" s="25"/>
      <c r="BK9756" s="25"/>
    </row>
    <row r="9757" spans="60:63" ht="14.25" x14ac:dyDescent="0.2">
      <c r="BH9757" s="25"/>
      <c r="BI9757" s="25"/>
      <c r="BJ9757" s="25"/>
      <c r="BK9757" s="25"/>
    </row>
    <row r="9758" spans="60:63" ht="14.25" x14ac:dyDescent="0.2">
      <c r="BH9758" s="25"/>
      <c r="BI9758" s="25"/>
      <c r="BJ9758" s="25"/>
      <c r="BK9758" s="25"/>
    </row>
    <row r="9759" spans="60:63" ht="14.25" x14ac:dyDescent="0.2">
      <c r="BH9759" s="25"/>
      <c r="BI9759" s="25"/>
      <c r="BJ9759" s="25"/>
      <c r="BK9759" s="25"/>
    </row>
    <row r="9760" spans="60:63" ht="14.25" x14ac:dyDescent="0.2">
      <c r="BH9760" s="25"/>
      <c r="BI9760" s="25"/>
      <c r="BJ9760" s="25"/>
      <c r="BK9760" s="25"/>
    </row>
    <row r="9761" spans="60:63" ht="14.25" x14ac:dyDescent="0.2">
      <c r="BH9761" s="25"/>
      <c r="BI9761" s="25"/>
      <c r="BJ9761" s="25"/>
      <c r="BK9761" s="25"/>
    </row>
    <row r="9762" spans="60:63" ht="14.25" x14ac:dyDescent="0.2">
      <c r="BH9762" s="25"/>
      <c r="BI9762" s="25"/>
      <c r="BJ9762" s="25"/>
      <c r="BK9762" s="25"/>
    </row>
    <row r="9763" spans="60:63" ht="14.25" x14ac:dyDescent="0.2">
      <c r="BH9763" s="25"/>
      <c r="BI9763" s="25"/>
      <c r="BJ9763" s="25"/>
      <c r="BK9763" s="25"/>
    </row>
    <row r="9764" spans="60:63" ht="14.25" x14ac:dyDescent="0.2">
      <c r="BH9764" s="25"/>
      <c r="BI9764" s="25"/>
      <c r="BJ9764" s="25"/>
      <c r="BK9764" s="25"/>
    </row>
    <row r="9765" spans="60:63" ht="14.25" x14ac:dyDescent="0.2">
      <c r="BH9765" s="25"/>
      <c r="BI9765" s="25"/>
      <c r="BJ9765" s="25"/>
      <c r="BK9765" s="25"/>
    </row>
    <row r="9766" spans="60:63" ht="14.25" x14ac:dyDescent="0.2">
      <c r="BH9766" s="25"/>
      <c r="BI9766" s="25"/>
      <c r="BJ9766" s="25"/>
      <c r="BK9766" s="25"/>
    </row>
    <row r="9767" spans="60:63" ht="14.25" x14ac:dyDescent="0.2">
      <c r="BH9767" s="25"/>
      <c r="BI9767" s="25"/>
      <c r="BJ9767" s="25"/>
      <c r="BK9767" s="25"/>
    </row>
    <row r="9768" spans="60:63" ht="14.25" x14ac:dyDescent="0.2">
      <c r="BH9768" s="25"/>
      <c r="BI9768" s="25"/>
      <c r="BJ9768" s="25"/>
      <c r="BK9768" s="25"/>
    </row>
    <row r="9769" spans="60:63" ht="14.25" x14ac:dyDescent="0.2">
      <c r="BH9769" s="25"/>
      <c r="BI9769" s="25"/>
      <c r="BJ9769" s="25"/>
      <c r="BK9769" s="25"/>
    </row>
    <row r="9770" spans="60:63" ht="14.25" x14ac:dyDescent="0.2">
      <c r="BH9770" s="25"/>
      <c r="BI9770" s="25"/>
      <c r="BJ9770" s="25"/>
      <c r="BK9770" s="25"/>
    </row>
    <row r="9771" spans="60:63" ht="14.25" x14ac:dyDescent="0.2">
      <c r="BH9771" s="25"/>
      <c r="BI9771" s="25"/>
      <c r="BJ9771" s="25"/>
      <c r="BK9771" s="25"/>
    </row>
    <row r="9772" spans="60:63" ht="14.25" x14ac:dyDescent="0.2">
      <c r="BH9772" s="25"/>
      <c r="BI9772" s="25"/>
      <c r="BJ9772" s="25"/>
      <c r="BK9772" s="25"/>
    </row>
    <row r="9773" spans="60:63" ht="14.25" x14ac:dyDescent="0.2">
      <c r="BH9773" s="25"/>
      <c r="BI9773" s="25"/>
      <c r="BJ9773" s="25"/>
      <c r="BK9773" s="25"/>
    </row>
    <row r="9774" spans="60:63" ht="14.25" x14ac:dyDescent="0.2">
      <c r="BH9774" s="25"/>
      <c r="BI9774" s="25"/>
      <c r="BJ9774" s="25"/>
      <c r="BK9774" s="25"/>
    </row>
    <row r="9775" spans="60:63" ht="14.25" x14ac:dyDescent="0.2">
      <c r="BH9775" s="25"/>
      <c r="BI9775" s="25"/>
      <c r="BJ9775" s="25"/>
      <c r="BK9775" s="25"/>
    </row>
    <row r="9776" spans="60:63" ht="14.25" x14ac:dyDescent="0.2">
      <c r="BH9776" s="25"/>
      <c r="BI9776" s="25"/>
      <c r="BJ9776" s="25"/>
      <c r="BK9776" s="25"/>
    </row>
    <row r="9777" spans="60:63" ht="14.25" x14ac:dyDescent="0.2">
      <c r="BH9777" s="25"/>
      <c r="BI9777" s="25"/>
      <c r="BJ9777" s="25"/>
      <c r="BK9777" s="25"/>
    </row>
    <row r="9778" spans="60:63" ht="14.25" x14ac:dyDescent="0.2">
      <c r="BH9778" s="25"/>
      <c r="BI9778" s="25"/>
      <c r="BJ9778" s="25"/>
      <c r="BK9778" s="25"/>
    </row>
    <row r="9779" spans="60:63" ht="14.25" x14ac:dyDescent="0.2">
      <c r="BH9779" s="25"/>
      <c r="BI9779" s="25"/>
      <c r="BJ9779" s="25"/>
      <c r="BK9779" s="25"/>
    </row>
    <row r="9780" spans="60:63" ht="14.25" x14ac:dyDescent="0.2">
      <c r="BH9780" s="25"/>
      <c r="BI9780" s="25"/>
      <c r="BJ9780" s="25"/>
      <c r="BK9780" s="25"/>
    </row>
    <row r="9781" spans="60:63" ht="14.25" x14ac:dyDescent="0.2">
      <c r="BH9781" s="25"/>
      <c r="BI9781" s="25"/>
      <c r="BJ9781" s="25"/>
      <c r="BK9781" s="25"/>
    </row>
    <row r="9782" spans="60:63" ht="14.25" x14ac:dyDescent="0.2">
      <c r="BH9782" s="25"/>
      <c r="BI9782" s="25"/>
      <c r="BJ9782" s="25"/>
      <c r="BK9782" s="25"/>
    </row>
    <row r="9783" spans="60:63" ht="14.25" x14ac:dyDescent="0.2">
      <c r="BH9783" s="25"/>
      <c r="BI9783" s="25"/>
      <c r="BJ9783" s="25"/>
      <c r="BK9783" s="25"/>
    </row>
    <row r="9784" spans="60:63" ht="14.25" x14ac:dyDescent="0.2">
      <c r="BH9784" s="25"/>
      <c r="BI9784" s="25"/>
      <c r="BJ9784" s="25"/>
      <c r="BK9784" s="25"/>
    </row>
    <row r="9785" spans="60:63" ht="14.25" x14ac:dyDescent="0.2">
      <c r="BH9785" s="25"/>
      <c r="BI9785" s="25"/>
      <c r="BJ9785" s="25"/>
      <c r="BK9785" s="25"/>
    </row>
    <row r="9786" spans="60:63" ht="14.25" x14ac:dyDescent="0.2">
      <c r="BH9786" s="25"/>
      <c r="BI9786" s="25"/>
      <c r="BJ9786" s="25"/>
      <c r="BK9786" s="25"/>
    </row>
    <row r="9787" spans="60:63" ht="14.25" x14ac:dyDescent="0.2">
      <c r="BH9787" s="25"/>
      <c r="BI9787" s="25"/>
      <c r="BJ9787" s="25"/>
      <c r="BK9787" s="25"/>
    </row>
    <row r="9788" spans="60:63" ht="14.25" x14ac:dyDescent="0.2">
      <c r="BH9788" s="25"/>
      <c r="BI9788" s="25"/>
      <c r="BJ9788" s="25"/>
      <c r="BK9788" s="25"/>
    </row>
    <row r="9789" spans="60:63" ht="14.25" x14ac:dyDescent="0.2">
      <c r="BH9789" s="25"/>
      <c r="BI9789" s="25"/>
      <c r="BJ9789" s="25"/>
      <c r="BK9789" s="25"/>
    </row>
    <row r="9790" spans="60:63" ht="14.25" x14ac:dyDescent="0.2">
      <c r="BH9790" s="25"/>
      <c r="BI9790" s="25"/>
      <c r="BJ9790" s="25"/>
      <c r="BK9790" s="25"/>
    </row>
    <row r="9791" spans="60:63" ht="14.25" x14ac:dyDescent="0.2">
      <c r="BH9791" s="25"/>
      <c r="BI9791" s="25"/>
      <c r="BJ9791" s="25"/>
      <c r="BK9791" s="25"/>
    </row>
    <row r="9792" spans="60:63" ht="14.25" x14ac:dyDescent="0.2">
      <c r="BH9792" s="25"/>
      <c r="BI9792" s="25"/>
      <c r="BJ9792" s="25"/>
      <c r="BK9792" s="25"/>
    </row>
    <row r="9793" spans="60:63" ht="14.25" x14ac:dyDescent="0.2">
      <c r="BH9793" s="25"/>
      <c r="BI9793" s="25"/>
      <c r="BJ9793" s="25"/>
      <c r="BK9793" s="25"/>
    </row>
    <row r="9794" spans="60:63" ht="14.25" x14ac:dyDescent="0.2">
      <c r="BH9794" s="25"/>
      <c r="BI9794" s="25"/>
      <c r="BJ9794" s="25"/>
      <c r="BK9794" s="25"/>
    </row>
    <row r="9795" spans="60:63" ht="14.25" x14ac:dyDescent="0.2">
      <c r="BH9795" s="25"/>
      <c r="BI9795" s="25"/>
      <c r="BJ9795" s="25"/>
      <c r="BK9795" s="25"/>
    </row>
    <row r="9796" spans="60:63" ht="14.25" x14ac:dyDescent="0.2">
      <c r="BH9796" s="25"/>
      <c r="BI9796" s="25"/>
      <c r="BJ9796" s="25"/>
      <c r="BK9796" s="25"/>
    </row>
    <row r="9797" spans="60:63" ht="14.25" x14ac:dyDescent="0.2">
      <c r="BH9797" s="25"/>
      <c r="BI9797" s="25"/>
      <c r="BJ9797" s="25"/>
      <c r="BK9797" s="25"/>
    </row>
    <row r="9798" spans="60:63" ht="14.25" x14ac:dyDescent="0.2">
      <c r="BH9798" s="25"/>
      <c r="BI9798" s="25"/>
      <c r="BJ9798" s="25"/>
      <c r="BK9798" s="25"/>
    </row>
    <row r="9799" spans="60:63" ht="14.25" x14ac:dyDescent="0.2">
      <c r="BH9799" s="25"/>
      <c r="BI9799" s="25"/>
      <c r="BJ9799" s="25"/>
      <c r="BK9799" s="25"/>
    </row>
    <row r="9800" spans="60:63" ht="14.25" x14ac:dyDescent="0.2">
      <c r="BH9800" s="25"/>
      <c r="BI9800" s="25"/>
      <c r="BJ9800" s="25"/>
      <c r="BK9800" s="25"/>
    </row>
    <row r="9801" spans="60:63" ht="14.25" x14ac:dyDescent="0.2">
      <c r="BH9801" s="25"/>
      <c r="BI9801" s="25"/>
      <c r="BJ9801" s="25"/>
      <c r="BK9801" s="25"/>
    </row>
    <row r="9802" spans="60:63" ht="14.25" x14ac:dyDescent="0.2">
      <c r="BH9802" s="25"/>
      <c r="BI9802" s="25"/>
      <c r="BJ9802" s="25"/>
      <c r="BK9802" s="25"/>
    </row>
    <row r="9803" spans="60:63" ht="14.25" x14ac:dyDescent="0.2">
      <c r="BH9803" s="25"/>
      <c r="BI9803" s="25"/>
      <c r="BJ9803" s="25"/>
      <c r="BK9803" s="25"/>
    </row>
    <row r="9804" spans="60:63" ht="14.25" x14ac:dyDescent="0.2">
      <c r="BH9804" s="25"/>
      <c r="BI9804" s="25"/>
      <c r="BJ9804" s="25"/>
      <c r="BK9804" s="25"/>
    </row>
    <row r="9805" spans="60:63" ht="14.25" x14ac:dyDescent="0.2">
      <c r="BH9805" s="25"/>
      <c r="BI9805" s="25"/>
      <c r="BJ9805" s="25"/>
      <c r="BK9805" s="25"/>
    </row>
    <row r="9806" spans="60:63" ht="14.25" x14ac:dyDescent="0.2">
      <c r="BH9806" s="25"/>
      <c r="BI9806" s="25"/>
      <c r="BJ9806" s="25"/>
      <c r="BK9806" s="25"/>
    </row>
    <row r="9807" spans="60:63" ht="14.25" x14ac:dyDescent="0.2">
      <c r="BH9807" s="25"/>
      <c r="BI9807" s="25"/>
      <c r="BJ9807" s="25"/>
      <c r="BK9807" s="25"/>
    </row>
    <row r="9808" spans="60:63" ht="14.25" x14ac:dyDescent="0.2">
      <c r="BH9808" s="25"/>
      <c r="BI9808" s="25"/>
      <c r="BJ9808" s="25"/>
      <c r="BK9808" s="25"/>
    </row>
    <row r="9809" spans="60:63" ht="14.25" x14ac:dyDescent="0.2">
      <c r="BH9809" s="25"/>
      <c r="BI9809" s="25"/>
      <c r="BJ9809" s="25"/>
      <c r="BK9809" s="25"/>
    </row>
    <row r="9810" spans="60:63" ht="14.25" x14ac:dyDescent="0.2">
      <c r="BH9810" s="25"/>
      <c r="BI9810" s="25"/>
      <c r="BJ9810" s="25"/>
      <c r="BK9810" s="25"/>
    </row>
    <row r="9811" spans="60:63" ht="14.25" x14ac:dyDescent="0.2">
      <c r="BH9811" s="25"/>
      <c r="BI9811" s="25"/>
      <c r="BJ9811" s="25"/>
      <c r="BK9811" s="25"/>
    </row>
    <row r="9812" spans="60:63" ht="14.25" x14ac:dyDescent="0.2">
      <c r="BH9812" s="25"/>
      <c r="BI9812" s="25"/>
      <c r="BJ9812" s="25"/>
      <c r="BK9812" s="25"/>
    </row>
    <row r="9813" spans="60:63" ht="14.25" x14ac:dyDescent="0.2">
      <c r="BH9813" s="25"/>
      <c r="BI9813" s="25"/>
      <c r="BJ9813" s="25"/>
      <c r="BK9813" s="25"/>
    </row>
    <row r="9814" spans="60:63" ht="14.25" x14ac:dyDescent="0.2">
      <c r="BH9814" s="25"/>
      <c r="BI9814" s="25"/>
      <c r="BJ9814" s="25"/>
      <c r="BK9814" s="25"/>
    </row>
    <row r="9815" spans="60:63" ht="14.25" x14ac:dyDescent="0.2">
      <c r="BH9815" s="25"/>
      <c r="BI9815" s="25"/>
      <c r="BJ9815" s="25"/>
      <c r="BK9815" s="25"/>
    </row>
    <row r="9816" spans="60:63" ht="14.25" x14ac:dyDescent="0.2">
      <c r="BH9816" s="25"/>
      <c r="BI9816" s="25"/>
      <c r="BJ9816" s="25"/>
      <c r="BK9816" s="25"/>
    </row>
    <row r="9817" spans="60:63" ht="14.25" x14ac:dyDescent="0.2">
      <c r="BH9817" s="25"/>
      <c r="BI9817" s="25"/>
      <c r="BJ9817" s="25"/>
      <c r="BK9817" s="25"/>
    </row>
    <row r="9818" spans="60:63" ht="14.25" x14ac:dyDescent="0.2">
      <c r="BH9818" s="25"/>
      <c r="BI9818" s="25"/>
      <c r="BJ9818" s="25"/>
      <c r="BK9818" s="25"/>
    </row>
    <row r="9819" spans="60:63" ht="14.25" x14ac:dyDescent="0.2">
      <c r="BH9819" s="25"/>
      <c r="BI9819" s="25"/>
      <c r="BJ9819" s="25"/>
      <c r="BK9819" s="25"/>
    </row>
    <row r="9820" spans="60:63" ht="14.25" x14ac:dyDescent="0.2">
      <c r="BH9820" s="25"/>
      <c r="BI9820" s="25"/>
      <c r="BJ9820" s="25"/>
      <c r="BK9820" s="25"/>
    </row>
    <row r="9821" spans="60:63" ht="14.25" x14ac:dyDescent="0.2">
      <c r="BH9821" s="25"/>
      <c r="BI9821" s="25"/>
      <c r="BJ9821" s="25"/>
      <c r="BK9821" s="25"/>
    </row>
    <row r="9822" spans="60:63" ht="14.25" x14ac:dyDescent="0.2">
      <c r="BH9822" s="25"/>
      <c r="BI9822" s="25"/>
      <c r="BJ9822" s="25"/>
      <c r="BK9822" s="25"/>
    </row>
    <row r="9823" spans="60:63" ht="14.25" x14ac:dyDescent="0.2">
      <c r="BH9823" s="25"/>
      <c r="BI9823" s="25"/>
      <c r="BJ9823" s="25"/>
      <c r="BK9823" s="25"/>
    </row>
    <row r="9824" spans="60:63" ht="14.25" x14ac:dyDescent="0.2">
      <c r="BH9824" s="25"/>
      <c r="BI9824" s="25"/>
      <c r="BJ9824" s="25"/>
      <c r="BK9824" s="25"/>
    </row>
    <row r="9825" spans="60:63" ht="14.25" x14ac:dyDescent="0.2">
      <c r="BH9825" s="25"/>
      <c r="BI9825" s="25"/>
      <c r="BJ9825" s="25"/>
      <c r="BK9825" s="25"/>
    </row>
    <row r="9826" spans="60:63" ht="14.25" x14ac:dyDescent="0.2">
      <c r="BH9826" s="25"/>
      <c r="BI9826" s="25"/>
      <c r="BJ9826" s="25"/>
      <c r="BK9826" s="25"/>
    </row>
    <row r="9827" spans="60:63" ht="14.25" x14ac:dyDescent="0.2">
      <c r="BH9827" s="25"/>
      <c r="BI9827" s="25"/>
      <c r="BJ9827" s="25"/>
      <c r="BK9827" s="25"/>
    </row>
    <row r="9828" spans="60:63" ht="14.25" x14ac:dyDescent="0.2">
      <c r="BH9828" s="25"/>
      <c r="BI9828" s="25"/>
      <c r="BJ9828" s="25"/>
      <c r="BK9828" s="25"/>
    </row>
    <row r="9829" spans="60:63" ht="14.25" x14ac:dyDescent="0.2">
      <c r="BH9829" s="25"/>
      <c r="BI9829" s="25"/>
      <c r="BJ9829" s="25"/>
      <c r="BK9829" s="25"/>
    </row>
    <row r="9830" spans="60:63" ht="14.25" x14ac:dyDescent="0.2">
      <c r="BH9830" s="25"/>
      <c r="BI9830" s="25"/>
      <c r="BJ9830" s="25"/>
      <c r="BK9830" s="25"/>
    </row>
    <row r="9831" spans="60:63" ht="14.25" x14ac:dyDescent="0.2">
      <c r="BH9831" s="25"/>
      <c r="BI9831" s="25"/>
      <c r="BJ9831" s="25"/>
      <c r="BK9831" s="25"/>
    </row>
    <row r="9832" spans="60:63" ht="14.25" x14ac:dyDescent="0.2">
      <c r="BH9832" s="25"/>
      <c r="BI9832" s="25"/>
      <c r="BJ9832" s="25"/>
      <c r="BK9832" s="25"/>
    </row>
    <row r="9833" spans="60:63" ht="14.25" x14ac:dyDescent="0.2">
      <c r="BH9833" s="25"/>
      <c r="BI9833" s="25"/>
      <c r="BJ9833" s="25"/>
      <c r="BK9833" s="25"/>
    </row>
    <row r="9834" spans="60:63" ht="14.25" x14ac:dyDescent="0.2">
      <c r="BH9834" s="25"/>
      <c r="BI9834" s="25"/>
      <c r="BJ9834" s="25"/>
      <c r="BK9834" s="25"/>
    </row>
    <row r="9835" spans="60:63" ht="14.25" x14ac:dyDescent="0.2">
      <c r="BH9835" s="25"/>
      <c r="BI9835" s="25"/>
      <c r="BJ9835" s="25"/>
      <c r="BK9835" s="25"/>
    </row>
    <row r="9836" spans="60:63" ht="14.25" x14ac:dyDescent="0.2">
      <c r="BH9836" s="25"/>
      <c r="BI9836" s="25"/>
      <c r="BJ9836" s="25"/>
      <c r="BK9836" s="25"/>
    </row>
    <row r="9837" spans="60:63" ht="14.25" x14ac:dyDescent="0.2">
      <c r="BH9837" s="25"/>
      <c r="BI9837" s="25"/>
      <c r="BJ9837" s="25"/>
      <c r="BK9837" s="25"/>
    </row>
    <row r="9838" spans="60:63" ht="14.25" x14ac:dyDescent="0.2">
      <c r="BH9838" s="25"/>
      <c r="BI9838" s="25"/>
      <c r="BJ9838" s="25"/>
      <c r="BK9838" s="25"/>
    </row>
    <row r="9839" spans="60:63" ht="14.25" x14ac:dyDescent="0.2">
      <c r="BH9839" s="25"/>
      <c r="BI9839" s="25"/>
      <c r="BJ9839" s="25"/>
      <c r="BK9839" s="25"/>
    </row>
    <row r="9840" spans="60:63" ht="14.25" x14ac:dyDescent="0.2">
      <c r="BH9840" s="25"/>
      <c r="BI9840" s="25"/>
      <c r="BJ9840" s="25"/>
      <c r="BK9840" s="25"/>
    </row>
    <row r="9841" spans="60:63" ht="14.25" x14ac:dyDescent="0.2">
      <c r="BH9841" s="25"/>
      <c r="BI9841" s="25"/>
      <c r="BJ9841" s="25"/>
      <c r="BK9841" s="25"/>
    </row>
    <row r="9842" spans="60:63" ht="14.25" x14ac:dyDescent="0.2">
      <c r="BH9842" s="25"/>
      <c r="BI9842" s="25"/>
      <c r="BJ9842" s="25"/>
      <c r="BK9842" s="25"/>
    </row>
    <row r="9843" spans="60:63" ht="14.25" x14ac:dyDescent="0.2">
      <c r="BH9843" s="25"/>
      <c r="BI9843" s="25"/>
      <c r="BJ9843" s="25"/>
      <c r="BK9843" s="25"/>
    </row>
    <row r="9844" spans="60:63" ht="14.25" x14ac:dyDescent="0.2">
      <c r="BH9844" s="25"/>
      <c r="BI9844" s="25"/>
      <c r="BJ9844" s="25"/>
      <c r="BK9844" s="25"/>
    </row>
    <row r="9845" spans="60:63" ht="14.25" x14ac:dyDescent="0.2">
      <c r="BH9845" s="25"/>
      <c r="BI9845" s="25"/>
      <c r="BJ9845" s="25"/>
      <c r="BK9845" s="25"/>
    </row>
    <row r="9846" spans="60:63" ht="14.25" x14ac:dyDescent="0.2">
      <c r="BH9846" s="25"/>
      <c r="BI9846" s="25"/>
      <c r="BJ9846" s="25"/>
      <c r="BK9846" s="25"/>
    </row>
    <row r="9847" spans="60:63" ht="14.25" x14ac:dyDescent="0.2">
      <c r="BH9847" s="25"/>
      <c r="BI9847" s="25"/>
      <c r="BJ9847" s="25"/>
      <c r="BK9847" s="25"/>
    </row>
    <row r="9848" spans="60:63" ht="14.25" x14ac:dyDescent="0.2">
      <c r="BH9848" s="25"/>
      <c r="BI9848" s="25"/>
      <c r="BJ9848" s="25"/>
      <c r="BK9848" s="25"/>
    </row>
    <row r="9849" spans="60:63" ht="14.25" x14ac:dyDescent="0.2">
      <c r="BH9849" s="25"/>
      <c r="BI9849" s="25"/>
      <c r="BJ9849" s="25"/>
      <c r="BK9849" s="25"/>
    </row>
    <row r="9850" spans="60:63" ht="14.25" x14ac:dyDescent="0.2">
      <c r="BH9850" s="25"/>
      <c r="BI9850" s="25"/>
      <c r="BJ9850" s="25"/>
      <c r="BK9850" s="25"/>
    </row>
    <row r="9851" spans="60:63" ht="14.25" x14ac:dyDescent="0.2">
      <c r="BH9851" s="25"/>
      <c r="BI9851" s="25"/>
      <c r="BJ9851" s="25"/>
      <c r="BK9851" s="25"/>
    </row>
    <row r="9852" spans="60:63" ht="14.25" x14ac:dyDescent="0.2">
      <c r="BH9852" s="25"/>
      <c r="BI9852" s="25"/>
      <c r="BJ9852" s="25"/>
      <c r="BK9852" s="25"/>
    </row>
    <row r="9853" spans="60:63" ht="14.25" x14ac:dyDescent="0.2">
      <c r="BH9853" s="25"/>
      <c r="BI9853" s="25"/>
      <c r="BJ9853" s="25"/>
      <c r="BK9853" s="25"/>
    </row>
    <row r="9854" spans="60:63" ht="14.25" x14ac:dyDescent="0.2">
      <c r="BH9854" s="25"/>
      <c r="BI9854" s="25"/>
      <c r="BJ9854" s="25"/>
      <c r="BK9854" s="25"/>
    </row>
    <row r="9855" spans="60:63" ht="14.25" x14ac:dyDescent="0.2">
      <c r="BH9855" s="25"/>
      <c r="BI9855" s="25"/>
      <c r="BJ9855" s="25"/>
      <c r="BK9855" s="25"/>
    </row>
    <row r="9856" spans="60:63" ht="14.25" x14ac:dyDescent="0.2">
      <c r="BH9856" s="25"/>
      <c r="BI9856" s="25"/>
      <c r="BJ9856" s="25"/>
      <c r="BK9856" s="25"/>
    </row>
    <row r="9857" spans="60:63" ht="14.25" x14ac:dyDescent="0.2">
      <c r="BH9857" s="25"/>
      <c r="BI9857" s="25"/>
      <c r="BJ9857" s="25"/>
      <c r="BK9857" s="25"/>
    </row>
    <row r="9858" spans="60:63" ht="14.25" x14ac:dyDescent="0.2">
      <c r="BH9858" s="25"/>
      <c r="BI9858" s="25"/>
      <c r="BJ9858" s="25"/>
      <c r="BK9858" s="25"/>
    </row>
    <row r="9859" spans="60:63" ht="14.25" x14ac:dyDescent="0.2">
      <c r="BH9859" s="25"/>
      <c r="BI9859" s="25"/>
      <c r="BJ9859" s="25"/>
      <c r="BK9859" s="25"/>
    </row>
    <row r="9860" spans="60:63" ht="14.25" x14ac:dyDescent="0.2">
      <c r="BH9860" s="25"/>
      <c r="BI9860" s="25"/>
      <c r="BJ9860" s="25"/>
      <c r="BK9860" s="25"/>
    </row>
    <row r="9861" spans="60:63" ht="14.25" x14ac:dyDescent="0.2">
      <c r="BH9861" s="25"/>
      <c r="BI9861" s="25"/>
      <c r="BJ9861" s="25"/>
      <c r="BK9861" s="25"/>
    </row>
    <row r="9862" spans="60:63" ht="14.25" x14ac:dyDescent="0.2">
      <c r="BH9862" s="25"/>
      <c r="BI9862" s="25"/>
      <c r="BJ9862" s="25"/>
      <c r="BK9862" s="25"/>
    </row>
    <row r="9863" spans="60:63" ht="14.25" x14ac:dyDescent="0.2">
      <c r="BH9863" s="25"/>
      <c r="BI9863" s="25"/>
      <c r="BJ9863" s="25"/>
      <c r="BK9863" s="25"/>
    </row>
    <row r="9864" spans="60:63" ht="14.25" x14ac:dyDescent="0.2">
      <c r="BH9864" s="25"/>
      <c r="BI9864" s="25"/>
      <c r="BJ9864" s="25"/>
      <c r="BK9864" s="25"/>
    </row>
    <row r="9865" spans="60:63" ht="14.25" x14ac:dyDescent="0.2">
      <c r="BH9865" s="25"/>
      <c r="BI9865" s="25"/>
      <c r="BJ9865" s="25"/>
      <c r="BK9865" s="25"/>
    </row>
    <row r="9866" spans="60:63" ht="14.25" x14ac:dyDescent="0.2">
      <c r="BH9866" s="25"/>
      <c r="BI9866" s="25"/>
      <c r="BJ9866" s="25"/>
      <c r="BK9866" s="25"/>
    </row>
    <row r="9867" spans="60:63" ht="14.25" x14ac:dyDescent="0.2">
      <c r="BH9867" s="25"/>
      <c r="BI9867" s="25"/>
      <c r="BJ9867" s="25"/>
      <c r="BK9867" s="25"/>
    </row>
    <row r="9868" spans="60:63" ht="14.25" x14ac:dyDescent="0.2">
      <c r="BH9868" s="25"/>
      <c r="BI9868" s="25"/>
      <c r="BJ9868" s="25"/>
      <c r="BK9868" s="25"/>
    </row>
    <row r="9869" spans="60:63" ht="14.25" x14ac:dyDescent="0.2">
      <c r="BH9869" s="25"/>
      <c r="BI9869" s="25"/>
      <c r="BJ9869" s="25"/>
      <c r="BK9869" s="25"/>
    </row>
    <row r="9870" spans="60:63" ht="14.25" x14ac:dyDescent="0.2">
      <c r="BH9870" s="25"/>
      <c r="BI9870" s="25"/>
      <c r="BJ9870" s="25"/>
      <c r="BK9870" s="25"/>
    </row>
    <row r="9871" spans="60:63" ht="14.25" x14ac:dyDescent="0.2">
      <c r="BH9871" s="25"/>
      <c r="BI9871" s="25"/>
      <c r="BJ9871" s="25"/>
      <c r="BK9871" s="25"/>
    </row>
    <row r="9872" spans="60:63" ht="14.25" x14ac:dyDescent="0.2">
      <c r="BH9872" s="25"/>
      <c r="BI9872" s="25"/>
      <c r="BJ9872" s="25"/>
      <c r="BK9872" s="25"/>
    </row>
    <row r="9873" spans="60:63" ht="14.25" x14ac:dyDescent="0.2">
      <c r="BH9873" s="25"/>
      <c r="BI9873" s="25"/>
      <c r="BJ9873" s="25"/>
      <c r="BK9873" s="25"/>
    </row>
    <row r="9874" spans="60:63" ht="14.25" x14ac:dyDescent="0.2">
      <c r="BH9874" s="25"/>
      <c r="BI9874" s="25"/>
      <c r="BJ9874" s="25"/>
      <c r="BK9874" s="25"/>
    </row>
    <row r="9875" spans="60:63" ht="14.25" x14ac:dyDescent="0.2">
      <c r="BH9875" s="25"/>
      <c r="BI9875" s="25"/>
      <c r="BJ9875" s="25"/>
      <c r="BK9875" s="25"/>
    </row>
    <row r="9876" spans="60:63" ht="14.25" x14ac:dyDescent="0.2">
      <c r="BH9876" s="25"/>
      <c r="BI9876" s="25"/>
      <c r="BJ9876" s="25"/>
      <c r="BK9876" s="25"/>
    </row>
    <row r="9877" spans="60:63" ht="14.25" x14ac:dyDescent="0.2">
      <c r="BH9877" s="25"/>
      <c r="BI9877" s="25"/>
      <c r="BJ9877" s="25"/>
      <c r="BK9877" s="25"/>
    </row>
    <row r="9878" spans="60:63" ht="14.25" x14ac:dyDescent="0.2">
      <c r="BH9878" s="25"/>
      <c r="BI9878" s="25"/>
      <c r="BJ9878" s="25"/>
      <c r="BK9878" s="25"/>
    </row>
    <row r="9879" spans="60:63" ht="14.25" x14ac:dyDescent="0.2">
      <c r="BH9879" s="25"/>
      <c r="BI9879" s="25"/>
      <c r="BJ9879" s="25"/>
      <c r="BK9879" s="25"/>
    </row>
    <row r="9880" spans="60:63" ht="14.25" x14ac:dyDescent="0.2">
      <c r="BH9880" s="25"/>
      <c r="BI9880" s="25"/>
      <c r="BJ9880" s="25"/>
      <c r="BK9880" s="25"/>
    </row>
    <row r="9881" spans="60:63" ht="14.25" x14ac:dyDescent="0.2">
      <c r="BH9881" s="25"/>
      <c r="BI9881" s="25"/>
      <c r="BJ9881" s="25"/>
      <c r="BK9881" s="25"/>
    </row>
    <row r="9882" spans="60:63" ht="14.25" x14ac:dyDescent="0.2">
      <c r="BH9882" s="25"/>
      <c r="BI9882" s="25"/>
      <c r="BJ9882" s="25"/>
      <c r="BK9882" s="25"/>
    </row>
    <row r="9883" spans="60:63" ht="14.25" x14ac:dyDescent="0.2">
      <c r="BH9883" s="25"/>
      <c r="BI9883" s="25"/>
      <c r="BJ9883" s="25"/>
      <c r="BK9883" s="25"/>
    </row>
    <row r="9884" spans="60:63" ht="14.25" x14ac:dyDescent="0.2">
      <c r="BH9884" s="25"/>
      <c r="BI9884" s="25"/>
      <c r="BJ9884" s="25"/>
      <c r="BK9884" s="25"/>
    </row>
    <row r="9885" spans="60:63" ht="14.25" x14ac:dyDescent="0.2">
      <c r="BH9885" s="25"/>
      <c r="BI9885" s="25"/>
      <c r="BJ9885" s="25"/>
      <c r="BK9885" s="25"/>
    </row>
    <row r="9886" spans="60:63" ht="14.25" x14ac:dyDescent="0.2">
      <c r="BH9886" s="25"/>
      <c r="BI9886" s="25"/>
      <c r="BJ9886" s="25"/>
      <c r="BK9886" s="25"/>
    </row>
    <row r="9887" spans="60:63" ht="14.25" x14ac:dyDescent="0.2">
      <c r="BH9887" s="25"/>
      <c r="BI9887" s="25"/>
      <c r="BJ9887" s="25"/>
      <c r="BK9887" s="25"/>
    </row>
    <row r="9888" spans="60:63" ht="14.25" x14ac:dyDescent="0.2">
      <c r="BH9888" s="25"/>
      <c r="BI9888" s="25"/>
      <c r="BJ9888" s="25"/>
      <c r="BK9888" s="25"/>
    </row>
    <row r="9889" spans="60:63" ht="14.25" x14ac:dyDescent="0.2">
      <c r="BH9889" s="25"/>
      <c r="BI9889" s="25"/>
      <c r="BJ9889" s="25"/>
      <c r="BK9889" s="25"/>
    </row>
    <row r="9890" spans="60:63" ht="14.25" x14ac:dyDescent="0.2">
      <c r="BH9890" s="25"/>
      <c r="BI9890" s="25"/>
      <c r="BJ9890" s="25"/>
      <c r="BK9890" s="25"/>
    </row>
    <row r="9891" spans="60:63" ht="14.25" x14ac:dyDescent="0.2">
      <c r="BH9891" s="25"/>
      <c r="BI9891" s="25"/>
      <c r="BJ9891" s="25"/>
      <c r="BK9891" s="25"/>
    </row>
    <row r="9892" spans="60:63" ht="14.25" x14ac:dyDescent="0.2">
      <c r="BH9892" s="25"/>
      <c r="BI9892" s="25"/>
      <c r="BJ9892" s="25"/>
      <c r="BK9892" s="25"/>
    </row>
    <row r="9893" spans="60:63" ht="14.25" x14ac:dyDescent="0.2">
      <c r="BH9893" s="25"/>
      <c r="BI9893" s="25"/>
      <c r="BJ9893" s="25"/>
      <c r="BK9893" s="25"/>
    </row>
    <row r="9894" spans="60:63" ht="14.25" x14ac:dyDescent="0.2">
      <c r="BH9894" s="25"/>
      <c r="BI9894" s="25"/>
      <c r="BJ9894" s="25"/>
      <c r="BK9894" s="25"/>
    </row>
    <row r="9895" spans="60:63" ht="14.25" x14ac:dyDescent="0.2">
      <c r="BH9895" s="25"/>
      <c r="BI9895" s="25"/>
      <c r="BJ9895" s="25"/>
      <c r="BK9895" s="25"/>
    </row>
    <row r="9896" spans="60:63" ht="14.25" x14ac:dyDescent="0.2">
      <c r="BH9896" s="25"/>
      <c r="BI9896" s="25"/>
      <c r="BJ9896" s="25"/>
      <c r="BK9896" s="25"/>
    </row>
    <row r="9897" spans="60:63" ht="14.25" x14ac:dyDescent="0.2">
      <c r="BH9897" s="25"/>
      <c r="BI9897" s="25"/>
      <c r="BJ9897" s="25"/>
      <c r="BK9897" s="25"/>
    </row>
    <row r="9898" spans="60:63" ht="14.25" x14ac:dyDescent="0.2">
      <c r="BH9898" s="25"/>
      <c r="BI9898" s="25"/>
      <c r="BJ9898" s="25"/>
      <c r="BK9898" s="25"/>
    </row>
    <row r="9899" spans="60:63" ht="14.25" x14ac:dyDescent="0.2">
      <c r="BH9899" s="25"/>
      <c r="BI9899" s="25"/>
      <c r="BJ9899" s="25"/>
      <c r="BK9899" s="25"/>
    </row>
    <row r="9900" spans="60:63" ht="14.25" x14ac:dyDescent="0.2">
      <c r="BH9900" s="25"/>
      <c r="BI9900" s="25"/>
      <c r="BJ9900" s="25"/>
      <c r="BK9900" s="25"/>
    </row>
    <row r="9901" spans="60:63" ht="14.25" x14ac:dyDescent="0.2">
      <c r="BH9901" s="25"/>
      <c r="BI9901" s="25"/>
      <c r="BJ9901" s="25"/>
      <c r="BK9901" s="25"/>
    </row>
    <row r="9902" spans="60:63" ht="14.25" x14ac:dyDescent="0.2">
      <c r="BH9902" s="25"/>
      <c r="BI9902" s="25"/>
      <c r="BJ9902" s="25"/>
      <c r="BK9902" s="25"/>
    </row>
    <row r="9903" spans="60:63" ht="14.25" x14ac:dyDescent="0.2">
      <c r="BH9903" s="25"/>
      <c r="BI9903" s="25"/>
      <c r="BJ9903" s="25"/>
      <c r="BK9903" s="25"/>
    </row>
    <row r="9904" spans="60:63" ht="14.25" x14ac:dyDescent="0.2">
      <c r="BH9904" s="25"/>
      <c r="BI9904" s="25"/>
      <c r="BJ9904" s="25"/>
      <c r="BK9904" s="25"/>
    </row>
    <row r="9905" spans="60:63" ht="14.25" x14ac:dyDescent="0.2">
      <c r="BH9905" s="25"/>
      <c r="BI9905" s="25"/>
      <c r="BJ9905" s="25"/>
      <c r="BK9905" s="25"/>
    </row>
    <row r="9906" spans="60:63" ht="14.25" x14ac:dyDescent="0.2">
      <c r="BH9906" s="25"/>
      <c r="BI9906" s="25"/>
      <c r="BJ9906" s="25"/>
      <c r="BK9906" s="25"/>
    </row>
    <row r="9907" spans="60:63" ht="14.25" x14ac:dyDescent="0.2">
      <c r="BH9907" s="25"/>
      <c r="BI9907" s="25"/>
      <c r="BJ9907" s="25"/>
      <c r="BK9907" s="25"/>
    </row>
    <row r="9908" spans="60:63" ht="14.25" x14ac:dyDescent="0.2">
      <c r="BH9908" s="25"/>
      <c r="BI9908" s="25"/>
      <c r="BJ9908" s="25"/>
      <c r="BK9908" s="25"/>
    </row>
    <row r="9909" spans="60:63" ht="14.25" x14ac:dyDescent="0.2">
      <c r="BH9909" s="25"/>
      <c r="BI9909" s="25"/>
      <c r="BJ9909" s="25"/>
      <c r="BK9909" s="25"/>
    </row>
    <row r="9910" spans="60:63" ht="14.25" x14ac:dyDescent="0.2">
      <c r="BH9910" s="25"/>
      <c r="BI9910" s="25"/>
      <c r="BJ9910" s="25"/>
      <c r="BK9910" s="25"/>
    </row>
    <row r="9911" spans="60:63" ht="14.25" x14ac:dyDescent="0.2">
      <c r="BH9911" s="25"/>
      <c r="BI9911" s="25"/>
      <c r="BJ9911" s="25"/>
      <c r="BK9911" s="25"/>
    </row>
    <row r="9912" spans="60:63" ht="14.25" x14ac:dyDescent="0.2">
      <c r="BH9912" s="25"/>
      <c r="BI9912" s="25"/>
      <c r="BJ9912" s="25"/>
      <c r="BK9912" s="25"/>
    </row>
    <row r="9913" spans="60:63" ht="14.25" x14ac:dyDescent="0.2">
      <c r="BH9913" s="25"/>
      <c r="BI9913" s="25"/>
      <c r="BJ9913" s="25"/>
      <c r="BK9913" s="25"/>
    </row>
    <row r="9914" spans="60:63" ht="14.25" x14ac:dyDescent="0.2">
      <c r="BH9914" s="25"/>
      <c r="BI9914" s="25"/>
      <c r="BJ9914" s="25"/>
      <c r="BK9914" s="25"/>
    </row>
    <row r="9915" spans="60:63" ht="14.25" x14ac:dyDescent="0.2">
      <c r="BH9915" s="25"/>
      <c r="BI9915" s="25"/>
      <c r="BJ9915" s="25"/>
      <c r="BK9915" s="25"/>
    </row>
    <row r="9916" spans="60:63" ht="14.25" x14ac:dyDescent="0.2">
      <c r="BH9916" s="25"/>
      <c r="BI9916" s="25"/>
      <c r="BJ9916" s="25"/>
      <c r="BK9916" s="25"/>
    </row>
    <row r="9917" spans="60:63" ht="14.25" x14ac:dyDescent="0.2">
      <c r="BH9917" s="25"/>
      <c r="BI9917" s="25"/>
      <c r="BJ9917" s="25"/>
      <c r="BK9917" s="25"/>
    </row>
    <row r="9918" spans="60:63" ht="14.25" x14ac:dyDescent="0.2">
      <c r="BH9918" s="25"/>
      <c r="BI9918" s="25"/>
      <c r="BJ9918" s="25"/>
      <c r="BK9918" s="25"/>
    </row>
    <row r="9919" spans="60:63" ht="14.25" x14ac:dyDescent="0.2">
      <c r="BH9919" s="25"/>
      <c r="BI9919" s="25"/>
      <c r="BJ9919" s="25"/>
      <c r="BK9919" s="25"/>
    </row>
    <row r="9920" spans="60:63" ht="14.25" x14ac:dyDescent="0.2">
      <c r="BH9920" s="25"/>
      <c r="BI9920" s="25"/>
      <c r="BJ9920" s="25"/>
      <c r="BK9920" s="25"/>
    </row>
    <row r="9921" spans="60:63" ht="14.25" x14ac:dyDescent="0.2">
      <c r="BH9921" s="25"/>
      <c r="BI9921" s="25"/>
      <c r="BJ9921" s="25"/>
      <c r="BK9921" s="25"/>
    </row>
    <row r="9922" spans="60:63" ht="14.25" x14ac:dyDescent="0.2">
      <c r="BH9922" s="25"/>
      <c r="BI9922" s="25"/>
      <c r="BJ9922" s="25"/>
      <c r="BK9922" s="25"/>
    </row>
    <row r="9923" spans="60:63" ht="14.25" x14ac:dyDescent="0.2">
      <c r="BH9923" s="25"/>
      <c r="BI9923" s="25"/>
      <c r="BJ9923" s="25"/>
      <c r="BK9923" s="25"/>
    </row>
    <row r="9924" spans="60:63" ht="14.25" x14ac:dyDescent="0.2">
      <c r="BH9924" s="25"/>
      <c r="BI9924" s="25"/>
      <c r="BJ9924" s="25"/>
      <c r="BK9924" s="25"/>
    </row>
    <row r="9925" spans="60:63" ht="14.25" x14ac:dyDescent="0.2">
      <c r="BH9925" s="25"/>
      <c r="BI9925" s="25"/>
      <c r="BJ9925" s="25"/>
      <c r="BK9925" s="25"/>
    </row>
    <row r="9926" spans="60:63" ht="14.25" x14ac:dyDescent="0.2">
      <c r="BH9926" s="25"/>
      <c r="BI9926" s="25"/>
      <c r="BJ9926" s="25"/>
      <c r="BK9926" s="25"/>
    </row>
    <row r="9927" spans="60:63" ht="14.25" x14ac:dyDescent="0.2">
      <c r="BH9927" s="25"/>
      <c r="BI9927" s="25"/>
      <c r="BJ9927" s="25"/>
      <c r="BK9927" s="25"/>
    </row>
    <row r="9928" spans="60:63" ht="14.25" x14ac:dyDescent="0.2">
      <c r="BH9928" s="25"/>
      <c r="BI9928" s="25"/>
      <c r="BJ9928" s="25"/>
      <c r="BK9928" s="25"/>
    </row>
    <row r="9929" spans="60:63" ht="14.25" x14ac:dyDescent="0.2">
      <c r="BH9929" s="25"/>
      <c r="BI9929" s="25"/>
      <c r="BJ9929" s="25"/>
      <c r="BK9929" s="25"/>
    </row>
    <row r="9930" spans="60:63" ht="14.25" x14ac:dyDescent="0.2">
      <c r="BH9930" s="25"/>
      <c r="BI9930" s="25"/>
      <c r="BJ9930" s="25"/>
      <c r="BK9930" s="25"/>
    </row>
    <row r="9931" spans="60:63" ht="14.25" x14ac:dyDescent="0.2">
      <c r="BH9931" s="25"/>
      <c r="BI9931" s="25"/>
      <c r="BJ9931" s="25"/>
      <c r="BK9931" s="25"/>
    </row>
    <row r="9932" spans="60:63" ht="14.25" x14ac:dyDescent="0.2">
      <c r="BH9932" s="25"/>
      <c r="BI9932" s="25"/>
      <c r="BJ9932" s="25"/>
      <c r="BK9932" s="25"/>
    </row>
    <row r="9933" spans="60:63" ht="14.25" x14ac:dyDescent="0.2">
      <c r="BH9933" s="25"/>
      <c r="BI9933" s="25"/>
      <c r="BJ9933" s="25"/>
      <c r="BK9933" s="25"/>
    </row>
    <row r="9934" spans="60:63" ht="14.25" x14ac:dyDescent="0.2">
      <c r="BH9934" s="25"/>
      <c r="BI9934" s="25"/>
      <c r="BJ9934" s="25"/>
      <c r="BK9934" s="25"/>
    </row>
    <row r="9935" spans="60:63" ht="14.25" x14ac:dyDescent="0.2">
      <c r="BH9935" s="25"/>
      <c r="BI9935" s="25"/>
      <c r="BJ9935" s="25"/>
      <c r="BK9935" s="25"/>
    </row>
    <row r="9936" spans="60:63" ht="14.25" x14ac:dyDescent="0.2">
      <c r="BH9936" s="25"/>
      <c r="BI9936" s="25"/>
      <c r="BJ9936" s="25"/>
      <c r="BK9936" s="25"/>
    </row>
    <row r="9937" spans="60:63" ht="14.25" x14ac:dyDescent="0.2">
      <c r="BH9937" s="25"/>
      <c r="BI9937" s="25"/>
      <c r="BJ9937" s="25"/>
      <c r="BK9937" s="25"/>
    </row>
    <row r="9938" spans="60:63" ht="14.25" x14ac:dyDescent="0.2">
      <c r="BH9938" s="25"/>
      <c r="BI9938" s="25"/>
      <c r="BJ9938" s="25"/>
      <c r="BK9938" s="25"/>
    </row>
    <row r="9939" spans="60:63" ht="14.25" x14ac:dyDescent="0.2">
      <c r="BH9939" s="25"/>
      <c r="BI9939" s="25"/>
      <c r="BJ9939" s="25"/>
      <c r="BK9939" s="25"/>
    </row>
    <row r="9940" spans="60:63" ht="14.25" x14ac:dyDescent="0.2">
      <c r="BH9940" s="25"/>
      <c r="BI9940" s="25"/>
      <c r="BJ9940" s="25"/>
      <c r="BK9940" s="25"/>
    </row>
    <row r="9941" spans="60:63" ht="14.25" x14ac:dyDescent="0.2">
      <c r="BH9941" s="25"/>
      <c r="BI9941" s="25"/>
      <c r="BJ9941" s="25"/>
      <c r="BK9941" s="25"/>
    </row>
    <row r="9942" spans="60:63" ht="14.25" x14ac:dyDescent="0.2">
      <c r="BH9942" s="25"/>
      <c r="BI9942" s="25"/>
      <c r="BJ9942" s="25"/>
      <c r="BK9942" s="25"/>
    </row>
    <row r="9943" spans="60:63" ht="14.25" x14ac:dyDescent="0.2">
      <c r="BH9943" s="25"/>
      <c r="BI9943" s="25"/>
      <c r="BJ9943" s="25"/>
      <c r="BK9943" s="25"/>
    </row>
    <row r="9944" spans="60:63" ht="14.25" x14ac:dyDescent="0.2">
      <c r="BH9944" s="25"/>
      <c r="BI9944" s="25"/>
      <c r="BJ9944" s="25"/>
      <c r="BK9944" s="25"/>
    </row>
    <row r="9945" spans="60:63" ht="14.25" x14ac:dyDescent="0.2">
      <c r="BH9945" s="25"/>
      <c r="BI9945" s="25"/>
      <c r="BJ9945" s="25"/>
      <c r="BK9945" s="25"/>
    </row>
    <row r="9946" spans="60:63" ht="14.25" x14ac:dyDescent="0.2">
      <c r="BH9946" s="25"/>
      <c r="BI9946" s="25"/>
      <c r="BJ9946" s="25"/>
      <c r="BK9946" s="25"/>
    </row>
    <row r="9947" spans="60:63" ht="14.25" x14ac:dyDescent="0.2">
      <c r="BH9947" s="25"/>
      <c r="BI9947" s="25"/>
      <c r="BJ9947" s="25"/>
      <c r="BK9947" s="25"/>
    </row>
    <row r="9948" spans="60:63" ht="14.25" x14ac:dyDescent="0.2">
      <c r="BH9948" s="25"/>
      <c r="BI9948" s="25"/>
      <c r="BJ9948" s="25"/>
      <c r="BK9948" s="25"/>
    </row>
    <row r="9949" spans="60:63" ht="14.25" x14ac:dyDescent="0.2">
      <c r="BH9949" s="25"/>
      <c r="BI9949" s="25"/>
      <c r="BJ9949" s="25"/>
      <c r="BK9949" s="25"/>
    </row>
    <row r="9950" spans="60:63" ht="14.25" x14ac:dyDescent="0.2">
      <c r="BH9950" s="25"/>
      <c r="BI9950" s="25"/>
      <c r="BJ9950" s="25"/>
      <c r="BK9950" s="25"/>
    </row>
    <row r="9951" spans="60:63" ht="14.25" x14ac:dyDescent="0.2">
      <c r="BH9951" s="25"/>
      <c r="BI9951" s="25"/>
      <c r="BJ9951" s="25"/>
      <c r="BK9951" s="25"/>
    </row>
    <row r="9952" spans="60:63" ht="14.25" x14ac:dyDescent="0.2">
      <c r="BH9952" s="25"/>
      <c r="BI9952" s="25"/>
      <c r="BJ9952" s="25"/>
      <c r="BK9952" s="25"/>
    </row>
    <row r="9953" spans="60:63" ht="14.25" x14ac:dyDescent="0.2">
      <c r="BH9953" s="25"/>
      <c r="BI9953" s="25"/>
      <c r="BJ9953" s="25"/>
      <c r="BK9953" s="25"/>
    </row>
    <row r="9954" spans="60:63" ht="14.25" x14ac:dyDescent="0.2">
      <c r="BH9954" s="25"/>
      <c r="BI9954" s="25"/>
      <c r="BJ9954" s="25"/>
      <c r="BK9954" s="25"/>
    </row>
    <row r="9955" spans="60:63" ht="14.25" x14ac:dyDescent="0.2">
      <c r="BH9955" s="25"/>
      <c r="BI9955" s="25"/>
      <c r="BJ9955" s="25"/>
      <c r="BK9955" s="25"/>
    </row>
    <row r="9956" spans="60:63" ht="14.25" x14ac:dyDescent="0.2">
      <c r="BH9956" s="25"/>
      <c r="BI9956" s="25"/>
      <c r="BJ9956" s="25"/>
      <c r="BK9956" s="25"/>
    </row>
    <row r="9957" spans="60:63" ht="14.25" x14ac:dyDescent="0.2">
      <c r="BH9957" s="25"/>
      <c r="BI9957" s="25"/>
      <c r="BJ9957" s="25"/>
      <c r="BK9957" s="25"/>
    </row>
    <row r="9958" spans="60:63" ht="14.25" x14ac:dyDescent="0.2">
      <c r="BH9958" s="25"/>
      <c r="BI9958" s="25"/>
      <c r="BJ9958" s="25"/>
      <c r="BK9958" s="25"/>
    </row>
    <row r="9959" spans="60:63" ht="14.25" x14ac:dyDescent="0.2">
      <c r="BH9959" s="25"/>
      <c r="BI9959" s="25"/>
      <c r="BJ9959" s="25"/>
      <c r="BK9959" s="25"/>
    </row>
    <row r="9960" spans="60:63" ht="14.25" x14ac:dyDescent="0.2">
      <c r="BH9960" s="25"/>
      <c r="BI9960" s="25"/>
      <c r="BJ9960" s="25"/>
      <c r="BK9960" s="25"/>
    </row>
    <row r="9961" spans="60:63" ht="14.25" x14ac:dyDescent="0.2">
      <c r="BH9961" s="25"/>
      <c r="BI9961" s="25"/>
      <c r="BJ9961" s="25"/>
      <c r="BK9961" s="25"/>
    </row>
    <row r="9962" spans="60:63" ht="14.25" x14ac:dyDescent="0.2">
      <c r="BH9962" s="25"/>
      <c r="BI9962" s="25"/>
      <c r="BJ9962" s="25"/>
      <c r="BK9962" s="25"/>
    </row>
    <row r="9963" spans="60:63" ht="14.25" x14ac:dyDescent="0.2">
      <c r="BH9963" s="25"/>
      <c r="BI9963" s="25"/>
      <c r="BJ9963" s="25"/>
      <c r="BK9963" s="25"/>
    </row>
    <row r="9964" spans="60:63" ht="14.25" x14ac:dyDescent="0.2">
      <c r="BH9964" s="25"/>
      <c r="BI9964" s="25"/>
      <c r="BJ9964" s="25"/>
      <c r="BK9964" s="25"/>
    </row>
    <row r="9965" spans="60:63" ht="14.25" x14ac:dyDescent="0.2">
      <c r="BH9965" s="25"/>
      <c r="BI9965" s="25"/>
      <c r="BJ9965" s="25"/>
      <c r="BK9965" s="25"/>
    </row>
    <row r="9966" spans="60:63" ht="14.25" x14ac:dyDescent="0.2">
      <c r="BH9966" s="25"/>
      <c r="BI9966" s="25"/>
      <c r="BJ9966" s="25"/>
      <c r="BK9966" s="25"/>
    </row>
    <row r="9967" spans="60:63" ht="14.25" x14ac:dyDescent="0.2">
      <c r="BH9967" s="25"/>
      <c r="BI9967" s="25"/>
      <c r="BJ9967" s="25"/>
      <c r="BK9967" s="25"/>
    </row>
    <row r="9968" spans="60:63" ht="14.25" x14ac:dyDescent="0.2">
      <c r="BH9968" s="25"/>
      <c r="BI9968" s="25"/>
      <c r="BJ9968" s="25"/>
      <c r="BK9968" s="25"/>
    </row>
    <row r="9969" spans="60:63" ht="14.25" x14ac:dyDescent="0.2">
      <c r="BH9969" s="25"/>
      <c r="BI9969" s="25"/>
      <c r="BJ9969" s="25"/>
      <c r="BK9969" s="25"/>
    </row>
    <row r="9970" spans="60:63" ht="14.25" x14ac:dyDescent="0.2">
      <c r="BH9970" s="25"/>
      <c r="BI9970" s="25"/>
      <c r="BJ9970" s="25"/>
      <c r="BK9970" s="25"/>
    </row>
    <row r="9971" spans="60:63" ht="14.25" x14ac:dyDescent="0.2">
      <c r="BH9971" s="25"/>
      <c r="BI9971" s="25"/>
      <c r="BJ9971" s="25"/>
      <c r="BK9971" s="25"/>
    </row>
    <row r="9972" spans="60:63" ht="14.25" x14ac:dyDescent="0.2">
      <c r="BH9972" s="25"/>
      <c r="BI9972" s="25"/>
      <c r="BJ9972" s="25"/>
      <c r="BK9972" s="25"/>
    </row>
    <row r="9973" spans="60:63" ht="14.25" x14ac:dyDescent="0.2">
      <c r="BH9973" s="25"/>
      <c r="BI9973" s="25"/>
      <c r="BJ9973" s="25"/>
      <c r="BK9973" s="25"/>
    </row>
    <row r="9974" spans="60:63" ht="14.25" x14ac:dyDescent="0.2">
      <c r="BH9974" s="25"/>
      <c r="BI9974" s="25"/>
      <c r="BJ9974" s="25"/>
      <c r="BK9974" s="25"/>
    </row>
    <row r="9975" spans="60:63" ht="14.25" x14ac:dyDescent="0.2">
      <c r="BH9975" s="25"/>
      <c r="BI9975" s="25"/>
      <c r="BJ9975" s="25"/>
      <c r="BK9975" s="25"/>
    </row>
    <row r="9976" spans="60:63" ht="14.25" x14ac:dyDescent="0.2">
      <c r="BH9976" s="25"/>
      <c r="BI9976" s="25"/>
      <c r="BJ9976" s="25"/>
      <c r="BK9976" s="25"/>
    </row>
    <row r="9977" spans="60:63" ht="14.25" x14ac:dyDescent="0.2">
      <c r="BH9977" s="25"/>
      <c r="BI9977" s="25"/>
      <c r="BJ9977" s="25"/>
      <c r="BK9977" s="25"/>
    </row>
    <row r="9978" spans="60:63" ht="14.25" x14ac:dyDescent="0.2">
      <c r="BH9978" s="25"/>
      <c r="BI9978" s="25"/>
      <c r="BJ9978" s="25"/>
      <c r="BK9978" s="25"/>
    </row>
    <row r="9979" spans="60:63" ht="14.25" x14ac:dyDescent="0.2">
      <c r="BH9979" s="25"/>
      <c r="BI9979" s="25"/>
      <c r="BJ9979" s="25"/>
      <c r="BK9979" s="25"/>
    </row>
    <row r="9980" spans="60:63" ht="14.25" x14ac:dyDescent="0.2">
      <c r="BH9980" s="25"/>
      <c r="BI9980" s="25"/>
      <c r="BJ9980" s="25"/>
      <c r="BK9980" s="25"/>
    </row>
    <row r="9981" spans="60:63" ht="14.25" x14ac:dyDescent="0.2">
      <c r="BH9981" s="25"/>
      <c r="BI9981" s="25"/>
      <c r="BJ9981" s="25"/>
      <c r="BK9981" s="25"/>
    </row>
    <row r="9982" spans="60:63" ht="14.25" x14ac:dyDescent="0.2">
      <c r="BH9982" s="25"/>
      <c r="BI9982" s="25"/>
      <c r="BJ9982" s="25"/>
      <c r="BK9982" s="25"/>
    </row>
    <row r="9983" spans="60:63" ht="14.25" x14ac:dyDescent="0.2">
      <c r="BH9983" s="25"/>
      <c r="BI9983" s="25"/>
      <c r="BJ9983" s="25"/>
      <c r="BK9983" s="25"/>
    </row>
    <row r="9984" spans="60:63" ht="14.25" x14ac:dyDescent="0.2">
      <c r="BH9984" s="25"/>
      <c r="BI9984" s="25"/>
      <c r="BJ9984" s="25"/>
      <c r="BK9984" s="25"/>
    </row>
    <row r="9985" spans="60:63" ht="14.25" x14ac:dyDescent="0.2">
      <c r="BH9985" s="25"/>
      <c r="BI9985" s="25"/>
      <c r="BJ9985" s="25"/>
      <c r="BK9985" s="25"/>
    </row>
    <row r="9986" spans="60:63" ht="14.25" x14ac:dyDescent="0.2">
      <c r="BH9986" s="25"/>
      <c r="BI9986" s="25"/>
      <c r="BJ9986" s="25"/>
      <c r="BK9986" s="25"/>
    </row>
    <row r="9987" spans="60:63" ht="14.25" x14ac:dyDescent="0.2">
      <c r="BH9987" s="25"/>
      <c r="BI9987" s="25"/>
      <c r="BJ9987" s="25"/>
      <c r="BK9987" s="25"/>
    </row>
    <row r="9988" spans="60:63" ht="14.25" x14ac:dyDescent="0.2">
      <c r="BH9988" s="25"/>
      <c r="BI9988" s="25"/>
      <c r="BJ9988" s="25"/>
      <c r="BK9988" s="25"/>
    </row>
    <row r="9989" spans="60:63" ht="14.25" x14ac:dyDescent="0.2">
      <c r="BH9989" s="25"/>
      <c r="BI9989" s="25"/>
      <c r="BJ9989" s="25"/>
      <c r="BK9989" s="25"/>
    </row>
    <row r="9990" spans="60:63" ht="14.25" x14ac:dyDescent="0.2">
      <c r="BH9990" s="25"/>
      <c r="BI9990" s="25"/>
      <c r="BJ9990" s="25"/>
      <c r="BK9990" s="25"/>
    </row>
    <row r="9991" spans="60:63" ht="14.25" x14ac:dyDescent="0.2">
      <c r="BH9991" s="25"/>
      <c r="BI9991" s="25"/>
      <c r="BJ9991" s="25"/>
      <c r="BK9991" s="25"/>
    </row>
    <row r="9992" spans="60:63" ht="14.25" x14ac:dyDescent="0.2">
      <c r="BH9992" s="25"/>
      <c r="BI9992" s="25"/>
      <c r="BJ9992" s="25"/>
      <c r="BK9992" s="25"/>
    </row>
    <row r="9993" spans="60:63" ht="14.25" x14ac:dyDescent="0.2">
      <c r="BH9993" s="25"/>
      <c r="BI9993" s="25"/>
      <c r="BJ9993" s="25"/>
      <c r="BK9993" s="25"/>
    </row>
    <row r="9994" spans="60:63" ht="14.25" x14ac:dyDescent="0.2">
      <c r="BH9994" s="25"/>
      <c r="BI9994" s="25"/>
      <c r="BJ9994" s="25"/>
      <c r="BK9994" s="25"/>
    </row>
    <row r="9995" spans="60:63" ht="14.25" x14ac:dyDescent="0.2">
      <c r="BH9995" s="25"/>
      <c r="BI9995" s="25"/>
      <c r="BJ9995" s="25"/>
      <c r="BK9995" s="25"/>
    </row>
    <row r="9996" spans="60:63" ht="14.25" x14ac:dyDescent="0.2">
      <c r="BH9996" s="25"/>
      <c r="BI9996" s="25"/>
      <c r="BJ9996" s="25"/>
      <c r="BK9996" s="25"/>
    </row>
    <row r="9997" spans="60:63" ht="14.25" x14ac:dyDescent="0.2">
      <c r="BH9997" s="25"/>
      <c r="BI9997" s="25"/>
      <c r="BJ9997" s="25"/>
      <c r="BK9997" s="25"/>
    </row>
    <row r="9998" spans="60:63" ht="14.25" x14ac:dyDescent="0.2">
      <c r="BH9998" s="25"/>
      <c r="BI9998" s="25"/>
      <c r="BJ9998" s="25"/>
      <c r="BK9998" s="25"/>
    </row>
    <row r="9999" spans="60:63" ht="14.25" x14ac:dyDescent="0.2">
      <c r="BH9999" s="25"/>
      <c r="BI9999" s="25"/>
      <c r="BJ9999" s="25"/>
      <c r="BK9999" s="25"/>
    </row>
    <row r="10000" spans="60:63" ht="14.25" x14ac:dyDescent="0.2">
      <c r="BH10000" s="25"/>
      <c r="BI10000" s="25"/>
      <c r="BJ10000" s="25"/>
      <c r="BK10000" s="25"/>
    </row>
    <row r="10001" spans="60:63" ht="14.25" x14ac:dyDescent="0.2">
      <c r="BH10001" s="25"/>
      <c r="BI10001" s="25"/>
      <c r="BJ10001" s="25"/>
      <c r="BK10001" s="25"/>
    </row>
    <row r="10002" spans="60:63" ht="14.25" x14ac:dyDescent="0.2">
      <c r="BH10002" s="25"/>
      <c r="BI10002" s="25"/>
      <c r="BJ10002" s="25"/>
      <c r="BK10002" s="25"/>
    </row>
    <row r="10003" spans="60:63" ht="14.25" x14ac:dyDescent="0.2">
      <c r="BH10003" s="25"/>
      <c r="BI10003" s="25"/>
      <c r="BJ10003" s="25"/>
      <c r="BK10003" s="25"/>
    </row>
    <row r="10004" spans="60:63" ht="14.25" x14ac:dyDescent="0.2">
      <c r="BH10004" s="25"/>
      <c r="BI10004" s="25"/>
      <c r="BJ10004" s="25"/>
      <c r="BK10004" s="25"/>
    </row>
    <row r="10005" spans="60:63" ht="14.25" x14ac:dyDescent="0.2">
      <c r="BH10005" s="25"/>
      <c r="BI10005" s="25"/>
      <c r="BJ10005" s="25"/>
      <c r="BK10005" s="25"/>
    </row>
    <row r="10006" spans="60:63" ht="14.25" x14ac:dyDescent="0.2">
      <c r="BH10006" s="25"/>
      <c r="BI10006" s="25"/>
      <c r="BJ10006" s="25"/>
      <c r="BK10006" s="25"/>
    </row>
    <row r="10007" spans="60:63" ht="14.25" x14ac:dyDescent="0.2">
      <c r="BH10007" s="25"/>
      <c r="BI10007" s="25"/>
      <c r="BJ10007" s="25"/>
      <c r="BK10007" s="25"/>
    </row>
    <row r="10008" spans="60:63" ht="14.25" x14ac:dyDescent="0.2">
      <c r="BH10008" s="25"/>
      <c r="BI10008" s="25"/>
      <c r="BJ10008" s="25"/>
      <c r="BK10008" s="25"/>
    </row>
    <row r="10009" spans="60:63" ht="14.25" x14ac:dyDescent="0.2">
      <c r="BH10009" s="25"/>
      <c r="BI10009" s="25"/>
      <c r="BJ10009" s="25"/>
      <c r="BK10009" s="25"/>
    </row>
    <row r="10010" spans="60:63" ht="14.25" x14ac:dyDescent="0.2">
      <c r="BH10010" s="25"/>
      <c r="BI10010" s="25"/>
      <c r="BJ10010" s="25"/>
      <c r="BK10010" s="25"/>
    </row>
    <row r="10011" spans="60:63" ht="14.25" x14ac:dyDescent="0.2">
      <c r="BH10011" s="25"/>
      <c r="BI10011" s="25"/>
      <c r="BJ10011" s="25"/>
      <c r="BK10011" s="25"/>
    </row>
    <row r="10012" spans="60:63" ht="14.25" x14ac:dyDescent="0.2">
      <c r="BH10012" s="25"/>
      <c r="BI10012" s="25"/>
      <c r="BJ10012" s="25"/>
      <c r="BK10012" s="25"/>
    </row>
    <row r="10013" spans="60:63" ht="14.25" x14ac:dyDescent="0.2">
      <c r="BH10013" s="25"/>
      <c r="BI10013" s="25"/>
      <c r="BJ10013" s="25"/>
      <c r="BK10013" s="25"/>
    </row>
    <row r="10014" spans="60:63" ht="14.25" x14ac:dyDescent="0.2">
      <c r="BH10014" s="25"/>
      <c r="BI10014" s="25"/>
      <c r="BJ10014" s="25"/>
      <c r="BK10014" s="25"/>
    </row>
    <row r="10015" spans="60:63" ht="14.25" x14ac:dyDescent="0.2">
      <c r="BH10015" s="25"/>
      <c r="BI10015" s="25"/>
      <c r="BJ10015" s="25"/>
      <c r="BK10015" s="25"/>
    </row>
    <row r="10016" spans="60:63" ht="14.25" x14ac:dyDescent="0.2">
      <c r="BH10016" s="25"/>
      <c r="BI10016" s="25"/>
      <c r="BJ10016" s="25"/>
      <c r="BK10016" s="25"/>
    </row>
    <row r="10017" spans="60:63" ht="14.25" x14ac:dyDescent="0.2">
      <c r="BH10017" s="25"/>
      <c r="BI10017" s="25"/>
      <c r="BJ10017" s="25"/>
      <c r="BK10017" s="25"/>
    </row>
    <row r="10018" spans="60:63" ht="14.25" x14ac:dyDescent="0.2">
      <c r="BH10018" s="25"/>
      <c r="BI10018" s="25"/>
      <c r="BJ10018" s="25"/>
      <c r="BK10018" s="25"/>
    </row>
    <row r="10019" spans="60:63" ht="14.25" x14ac:dyDescent="0.2">
      <c r="BH10019" s="25"/>
      <c r="BI10019" s="25"/>
      <c r="BJ10019" s="25"/>
      <c r="BK10019" s="25"/>
    </row>
    <row r="10020" spans="60:63" ht="14.25" x14ac:dyDescent="0.2">
      <c r="BH10020" s="25"/>
      <c r="BI10020" s="25"/>
      <c r="BJ10020" s="25"/>
      <c r="BK10020" s="25"/>
    </row>
    <row r="10021" spans="60:63" ht="14.25" x14ac:dyDescent="0.2">
      <c r="BH10021" s="25"/>
      <c r="BI10021" s="25"/>
      <c r="BJ10021" s="25"/>
      <c r="BK10021" s="25"/>
    </row>
    <row r="10022" spans="60:63" ht="14.25" x14ac:dyDescent="0.2">
      <c r="BH10022" s="25"/>
      <c r="BI10022" s="25"/>
      <c r="BJ10022" s="25"/>
      <c r="BK10022" s="25"/>
    </row>
    <row r="10023" spans="60:63" ht="14.25" x14ac:dyDescent="0.2">
      <c r="BH10023" s="25"/>
      <c r="BI10023" s="25"/>
      <c r="BJ10023" s="25"/>
      <c r="BK10023" s="25"/>
    </row>
    <row r="10024" spans="60:63" ht="14.25" x14ac:dyDescent="0.2">
      <c r="BH10024" s="25"/>
      <c r="BI10024" s="25"/>
      <c r="BJ10024" s="25"/>
      <c r="BK10024" s="25"/>
    </row>
    <row r="10025" spans="60:63" ht="14.25" x14ac:dyDescent="0.2">
      <c r="BH10025" s="25"/>
      <c r="BI10025" s="25"/>
      <c r="BJ10025" s="25"/>
      <c r="BK10025" s="25"/>
    </row>
    <row r="10026" spans="60:63" ht="14.25" x14ac:dyDescent="0.2">
      <c r="BH10026" s="25"/>
      <c r="BI10026" s="25"/>
      <c r="BJ10026" s="25"/>
      <c r="BK10026" s="25"/>
    </row>
    <row r="10027" spans="60:63" ht="14.25" x14ac:dyDescent="0.2">
      <c r="BH10027" s="25"/>
      <c r="BI10027" s="25"/>
      <c r="BJ10027" s="25"/>
      <c r="BK10027" s="25"/>
    </row>
    <row r="10028" spans="60:63" ht="14.25" x14ac:dyDescent="0.2">
      <c r="BH10028" s="25"/>
      <c r="BI10028" s="25"/>
      <c r="BJ10028" s="25"/>
      <c r="BK10028" s="25"/>
    </row>
    <row r="10029" spans="60:63" ht="14.25" x14ac:dyDescent="0.2">
      <c r="BH10029" s="25"/>
      <c r="BI10029" s="25"/>
      <c r="BJ10029" s="25"/>
      <c r="BK10029" s="25"/>
    </row>
    <row r="10030" spans="60:63" ht="14.25" x14ac:dyDescent="0.2">
      <c r="BH10030" s="25"/>
      <c r="BI10030" s="25"/>
      <c r="BJ10030" s="25"/>
      <c r="BK10030" s="25"/>
    </row>
    <row r="10031" spans="60:63" ht="14.25" x14ac:dyDescent="0.2">
      <c r="BH10031" s="25"/>
      <c r="BI10031" s="25"/>
      <c r="BJ10031" s="25"/>
      <c r="BK10031" s="25"/>
    </row>
    <row r="10032" spans="60:63" ht="14.25" x14ac:dyDescent="0.2">
      <c r="BH10032" s="25"/>
      <c r="BI10032" s="25"/>
      <c r="BJ10032" s="25"/>
      <c r="BK10032" s="25"/>
    </row>
    <row r="10033" spans="60:63" ht="14.25" x14ac:dyDescent="0.2">
      <c r="BH10033" s="25"/>
      <c r="BI10033" s="25"/>
      <c r="BJ10033" s="25"/>
      <c r="BK10033" s="25"/>
    </row>
    <row r="10034" spans="60:63" ht="14.25" x14ac:dyDescent="0.2">
      <c r="BH10034" s="25"/>
      <c r="BI10034" s="25"/>
      <c r="BJ10034" s="25"/>
      <c r="BK10034" s="25"/>
    </row>
    <row r="10035" spans="60:63" ht="14.25" x14ac:dyDescent="0.2">
      <c r="BH10035" s="25"/>
      <c r="BI10035" s="25"/>
      <c r="BJ10035" s="25"/>
      <c r="BK10035" s="25"/>
    </row>
    <row r="10036" spans="60:63" ht="14.25" x14ac:dyDescent="0.2">
      <c r="BH10036" s="25"/>
      <c r="BI10036" s="25"/>
      <c r="BJ10036" s="25"/>
      <c r="BK10036" s="25"/>
    </row>
    <row r="10037" spans="60:63" ht="14.25" x14ac:dyDescent="0.2">
      <c r="BH10037" s="25"/>
      <c r="BI10037" s="25"/>
      <c r="BJ10037" s="25"/>
      <c r="BK10037" s="25"/>
    </row>
    <row r="10038" spans="60:63" ht="14.25" x14ac:dyDescent="0.2">
      <c r="BH10038" s="25"/>
      <c r="BI10038" s="25"/>
      <c r="BJ10038" s="25"/>
      <c r="BK10038" s="25"/>
    </row>
    <row r="10039" spans="60:63" ht="14.25" x14ac:dyDescent="0.2">
      <c r="BH10039" s="25"/>
      <c r="BI10039" s="25"/>
      <c r="BJ10039" s="25"/>
      <c r="BK10039" s="25"/>
    </row>
    <row r="10040" spans="60:63" ht="14.25" x14ac:dyDescent="0.2">
      <c r="BH10040" s="25"/>
      <c r="BI10040" s="25"/>
      <c r="BJ10040" s="25"/>
      <c r="BK10040" s="25"/>
    </row>
    <row r="10041" spans="60:63" ht="14.25" x14ac:dyDescent="0.2">
      <c r="BH10041" s="25"/>
      <c r="BI10041" s="25"/>
      <c r="BJ10041" s="25"/>
      <c r="BK10041" s="25"/>
    </row>
    <row r="10042" spans="60:63" ht="14.25" x14ac:dyDescent="0.2">
      <c r="BH10042" s="25"/>
      <c r="BI10042" s="25"/>
      <c r="BJ10042" s="25"/>
      <c r="BK10042" s="25"/>
    </row>
    <row r="10043" spans="60:63" ht="14.25" x14ac:dyDescent="0.2">
      <c r="BH10043" s="25"/>
      <c r="BI10043" s="25"/>
      <c r="BJ10043" s="25"/>
      <c r="BK10043" s="25"/>
    </row>
    <row r="10044" spans="60:63" ht="14.25" x14ac:dyDescent="0.2">
      <c r="BH10044" s="25"/>
      <c r="BI10044" s="25"/>
      <c r="BJ10044" s="25"/>
      <c r="BK10044" s="25"/>
    </row>
    <row r="10045" spans="60:63" ht="14.25" x14ac:dyDescent="0.2">
      <c r="BH10045" s="25"/>
      <c r="BI10045" s="25"/>
      <c r="BJ10045" s="25"/>
      <c r="BK10045" s="25"/>
    </row>
    <row r="10046" spans="60:63" ht="14.25" x14ac:dyDescent="0.2">
      <c r="BH10046" s="25"/>
      <c r="BI10046" s="25"/>
      <c r="BJ10046" s="25"/>
      <c r="BK10046" s="25"/>
    </row>
    <row r="10047" spans="60:63" ht="14.25" x14ac:dyDescent="0.2">
      <c r="BH10047" s="25"/>
      <c r="BI10047" s="25"/>
      <c r="BJ10047" s="25"/>
      <c r="BK10047" s="25"/>
    </row>
    <row r="10048" spans="60:63" ht="14.25" x14ac:dyDescent="0.2">
      <c r="BH10048" s="25"/>
      <c r="BI10048" s="25"/>
      <c r="BJ10048" s="25"/>
      <c r="BK10048" s="25"/>
    </row>
    <row r="10049" spans="60:63" ht="14.25" x14ac:dyDescent="0.2">
      <c r="BH10049" s="25"/>
      <c r="BI10049" s="25"/>
      <c r="BJ10049" s="25"/>
      <c r="BK10049" s="25"/>
    </row>
    <row r="10050" spans="60:63" ht="14.25" x14ac:dyDescent="0.2">
      <c r="BH10050" s="25"/>
      <c r="BI10050" s="25"/>
      <c r="BJ10050" s="25"/>
      <c r="BK10050" s="25"/>
    </row>
    <row r="10051" spans="60:63" ht="14.25" x14ac:dyDescent="0.2">
      <c r="BH10051" s="25"/>
      <c r="BI10051" s="25"/>
      <c r="BJ10051" s="25"/>
      <c r="BK10051" s="25"/>
    </row>
    <row r="10052" spans="60:63" ht="14.25" x14ac:dyDescent="0.2">
      <c r="BH10052" s="25"/>
      <c r="BI10052" s="25"/>
      <c r="BJ10052" s="25"/>
      <c r="BK10052" s="25"/>
    </row>
    <row r="10053" spans="60:63" ht="14.25" x14ac:dyDescent="0.2">
      <c r="BH10053" s="25"/>
      <c r="BI10053" s="25"/>
      <c r="BJ10053" s="25"/>
      <c r="BK10053" s="25"/>
    </row>
    <row r="10054" spans="60:63" ht="14.25" x14ac:dyDescent="0.2">
      <c r="BH10054" s="25"/>
      <c r="BI10054" s="25"/>
      <c r="BJ10054" s="25"/>
      <c r="BK10054" s="25"/>
    </row>
    <row r="10055" spans="60:63" ht="14.25" x14ac:dyDescent="0.2">
      <c r="BH10055" s="25"/>
      <c r="BI10055" s="25"/>
      <c r="BJ10055" s="25"/>
      <c r="BK10055" s="25"/>
    </row>
    <row r="10056" spans="60:63" ht="14.25" x14ac:dyDescent="0.2">
      <c r="BH10056" s="25"/>
      <c r="BI10056" s="25"/>
      <c r="BJ10056" s="25"/>
      <c r="BK10056" s="25"/>
    </row>
    <row r="10057" spans="60:63" ht="14.25" x14ac:dyDescent="0.2">
      <c r="BH10057" s="25"/>
      <c r="BI10057" s="25"/>
      <c r="BJ10057" s="25"/>
      <c r="BK10057" s="25"/>
    </row>
    <row r="10058" spans="60:63" ht="14.25" x14ac:dyDescent="0.2">
      <c r="BH10058" s="25"/>
      <c r="BI10058" s="25"/>
      <c r="BJ10058" s="25"/>
      <c r="BK10058" s="25"/>
    </row>
    <row r="10059" spans="60:63" ht="14.25" x14ac:dyDescent="0.2">
      <c r="BH10059" s="25"/>
      <c r="BI10059" s="25"/>
      <c r="BJ10059" s="25"/>
      <c r="BK10059" s="25"/>
    </row>
    <row r="10060" spans="60:63" ht="14.25" x14ac:dyDescent="0.2">
      <c r="BH10060" s="25"/>
      <c r="BI10060" s="25"/>
      <c r="BJ10060" s="25"/>
      <c r="BK10060" s="25"/>
    </row>
    <row r="10061" spans="60:63" ht="14.25" x14ac:dyDescent="0.2">
      <c r="BH10061" s="25"/>
      <c r="BI10061" s="25"/>
      <c r="BJ10061" s="25"/>
      <c r="BK10061" s="25"/>
    </row>
    <row r="10062" spans="60:63" ht="14.25" x14ac:dyDescent="0.2">
      <c r="BH10062" s="25"/>
      <c r="BI10062" s="25"/>
      <c r="BJ10062" s="25"/>
      <c r="BK10062" s="25"/>
    </row>
    <row r="10063" spans="60:63" ht="14.25" x14ac:dyDescent="0.2">
      <c r="BH10063" s="25"/>
      <c r="BI10063" s="25"/>
      <c r="BJ10063" s="25"/>
      <c r="BK10063" s="25"/>
    </row>
    <row r="10064" spans="60:63" ht="14.25" x14ac:dyDescent="0.2">
      <c r="BH10064" s="25"/>
      <c r="BI10064" s="25"/>
      <c r="BJ10064" s="25"/>
      <c r="BK10064" s="25"/>
    </row>
    <row r="10065" spans="60:63" ht="14.25" x14ac:dyDescent="0.2">
      <c r="BH10065" s="25"/>
      <c r="BI10065" s="25"/>
      <c r="BJ10065" s="25"/>
      <c r="BK10065" s="25"/>
    </row>
    <row r="10066" spans="60:63" ht="14.25" x14ac:dyDescent="0.2">
      <c r="BH10066" s="25"/>
      <c r="BI10066" s="25"/>
      <c r="BJ10066" s="25"/>
      <c r="BK10066" s="25"/>
    </row>
    <row r="10067" spans="60:63" ht="14.25" x14ac:dyDescent="0.2">
      <c r="BH10067" s="25"/>
      <c r="BI10067" s="25"/>
      <c r="BJ10067" s="25"/>
      <c r="BK10067" s="25"/>
    </row>
    <row r="10068" spans="60:63" ht="14.25" x14ac:dyDescent="0.2">
      <c r="BH10068" s="25"/>
      <c r="BI10068" s="25"/>
      <c r="BJ10068" s="25"/>
      <c r="BK10068" s="25"/>
    </row>
    <row r="10069" spans="60:63" ht="14.25" x14ac:dyDescent="0.2">
      <c r="BH10069" s="25"/>
      <c r="BI10069" s="25"/>
      <c r="BJ10069" s="25"/>
      <c r="BK10069" s="25"/>
    </row>
    <row r="10070" spans="60:63" ht="14.25" x14ac:dyDescent="0.2">
      <c r="BH10070" s="25"/>
      <c r="BI10070" s="25"/>
      <c r="BJ10070" s="25"/>
      <c r="BK10070" s="25"/>
    </row>
    <row r="10071" spans="60:63" ht="14.25" x14ac:dyDescent="0.2">
      <c r="BH10071" s="25"/>
      <c r="BI10071" s="25"/>
      <c r="BJ10071" s="25"/>
      <c r="BK10071" s="25"/>
    </row>
    <row r="10072" spans="60:63" ht="14.25" x14ac:dyDescent="0.2">
      <c r="BH10072" s="25"/>
      <c r="BI10072" s="25"/>
      <c r="BJ10072" s="25"/>
      <c r="BK10072" s="25"/>
    </row>
    <row r="10073" spans="60:63" ht="14.25" x14ac:dyDescent="0.2">
      <c r="BH10073" s="25"/>
      <c r="BI10073" s="25"/>
      <c r="BJ10073" s="25"/>
      <c r="BK10073" s="25"/>
    </row>
    <row r="10074" spans="60:63" ht="14.25" x14ac:dyDescent="0.2">
      <c r="BH10074" s="25"/>
      <c r="BI10074" s="25"/>
      <c r="BJ10074" s="25"/>
      <c r="BK10074" s="25"/>
    </row>
    <row r="10075" spans="60:63" ht="14.25" x14ac:dyDescent="0.2">
      <c r="BH10075" s="25"/>
      <c r="BI10075" s="25"/>
      <c r="BJ10075" s="25"/>
      <c r="BK10075" s="25"/>
    </row>
    <row r="10076" spans="60:63" ht="14.25" x14ac:dyDescent="0.2">
      <c r="BH10076" s="25"/>
      <c r="BI10076" s="25"/>
      <c r="BJ10076" s="25"/>
      <c r="BK10076" s="25"/>
    </row>
    <row r="10077" spans="60:63" ht="14.25" x14ac:dyDescent="0.2">
      <c r="BH10077" s="25"/>
      <c r="BI10077" s="25"/>
      <c r="BJ10077" s="25"/>
      <c r="BK10077" s="25"/>
    </row>
    <row r="10078" spans="60:63" ht="14.25" x14ac:dyDescent="0.2">
      <c r="BH10078" s="25"/>
      <c r="BI10078" s="25"/>
      <c r="BJ10078" s="25"/>
      <c r="BK10078" s="25"/>
    </row>
    <row r="10079" spans="60:63" ht="14.25" x14ac:dyDescent="0.2">
      <c r="BH10079" s="25"/>
      <c r="BI10079" s="25"/>
      <c r="BJ10079" s="25"/>
      <c r="BK10079" s="25"/>
    </row>
    <row r="10080" spans="60:63" ht="14.25" x14ac:dyDescent="0.2">
      <c r="BH10080" s="25"/>
      <c r="BI10080" s="25"/>
      <c r="BJ10080" s="25"/>
      <c r="BK10080" s="25"/>
    </row>
    <row r="10081" spans="60:63" ht="14.25" x14ac:dyDescent="0.2">
      <c r="BH10081" s="25"/>
      <c r="BI10081" s="25"/>
      <c r="BJ10081" s="25"/>
      <c r="BK10081" s="25"/>
    </row>
    <row r="10082" spans="60:63" ht="14.25" x14ac:dyDescent="0.2">
      <c r="BH10082" s="25"/>
      <c r="BI10082" s="25"/>
      <c r="BJ10082" s="25"/>
      <c r="BK10082" s="25"/>
    </row>
    <row r="10083" spans="60:63" ht="14.25" x14ac:dyDescent="0.2">
      <c r="BH10083" s="25"/>
      <c r="BI10083" s="25"/>
      <c r="BJ10083" s="25"/>
      <c r="BK10083" s="25"/>
    </row>
    <row r="10084" spans="60:63" ht="14.25" x14ac:dyDescent="0.2">
      <c r="BH10084" s="25"/>
      <c r="BI10084" s="25"/>
      <c r="BJ10084" s="25"/>
      <c r="BK10084" s="25"/>
    </row>
    <row r="10085" spans="60:63" ht="14.25" x14ac:dyDescent="0.2">
      <c r="BH10085" s="25"/>
      <c r="BI10085" s="25"/>
      <c r="BJ10085" s="25"/>
      <c r="BK10085" s="25"/>
    </row>
    <row r="10086" spans="60:63" ht="14.25" x14ac:dyDescent="0.2">
      <c r="BH10086" s="25"/>
      <c r="BI10086" s="25"/>
      <c r="BJ10086" s="25"/>
      <c r="BK10086" s="25"/>
    </row>
    <row r="10087" spans="60:63" ht="14.25" x14ac:dyDescent="0.2">
      <c r="BH10087" s="25"/>
      <c r="BI10087" s="25"/>
      <c r="BJ10087" s="25"/>
      <c r="BK10087" s="25"/>
    </row>
    <row r="10088" spans="60:63" ht="14.25" x14ac:dyDescent="0.2">
      <c r="BH10088" s="25"/>
      <c r="BI10088" s="25"/>
      <c r="BJ10088" s="25"/>
      <c r="BK10088" s="25"/>
    </row>
    <row r="10089" spans="60:63" ht="14.25" x14ac:dyDescent="0.2">
      <c r="BH10089" s="25"/>
      <c r="BI10089" s="25"/>
      <c r="BJ10089" s="25"/>
      <c r="BK10089" s="25"/>
    </row>
    <row r="10090" spans="60:63" ht="14.25" x14ac:dyDescent="0.2">
      <c r="BH10090" s="25"/>
      <c r="BI10090" s="25"/>
      <c r="BJ10090" s="25"/>
      <c r="BK10090" s="25"/>
    </row>
    <row r="10091" spans="60:63" ht="14.25" x14ac:dyDescent="0.2">
      <c r="BH10091" s="25"/>
      <c r="BI10091" s="25"/>
      <c r="BJ10091" s="25"/>
      <c r="BK10091" s="25"/>
    </row>
    <row r="10092" spans="60:63" ht="14.25" x14ac:dyDescent="0.2">
      <c r="BH10092" s="25"/>
      <c r="BI10092" s="25"/>
      <c r="BJ10092" s="25"/>
      <c r="BK10092" s="25"/>
    </row>
    <row r="10093" spans="60:63" ht="14.25" x14ac:dyDescent="0.2">
      <c r="BH10093" s="25"/>
      <c r="BI10093" s="25"/>
      <c r="BJ10093" s="25"/>
      <c r="BK10093" s="25"/>
    </row>
    <row r="10094" spans="60:63" ht="14.25" x14ac:dyDescent="0.2">
      <c r="BH10094" s="25"/>
      <c r="BI10094" s="25"/>
      <c r="BJ10094" s="25"/>
      <c r="BK10094" s="25"/>
    </row>
    <row r="10095" spans="60:63" ht="14.25" x14ac:dyDescent="0.2">
      <c r="BH10095" s="25"/>
      <c r="BI10095" s="25"/>
      <c r="BJ10095" s="25"/>
      <c r="BK10095" s="25"/>
    </row>
    <row r="10096" spans="60:63" ht="14.25" x14ac:dyDescent="0.2">
      <c r="BH10096" s="25"/>
      <c r="BI10096" s="25"/>
      <c r="BJ10096" s="25"/>
      <c r="BK10096" s="25"/>
    </row>
    <row r="10097" spans="60:63" ht="14.25" x14ac:dyDescent="0.2">
      <c r="BH10097" s="25"/>
      <c r="BI10097" s="25"/>
      <c r="BJ10097" s="25"/>
      <c r="BK10097" s="25"/>
    </row>
    <row r="10098" spans="60:63" ht="14.25" x14ac:dyDescent="0.2">
      <c r="BH10098" s="25"/>
      <c r="BI10098" s="25"/>
      <c r="BJ10098" s="25"/>
      <c r="BK10098" s="25"/>
    </row>
    <row r="10099" spans="60:63" ht="14.25" x14ac:dyDescent="0.2">
      <c r="BH10099" s="25"/>
      <c r="BI10099" s="25"/>
      <c r="BJ10099" s="25"/>
      <c r="BK10099" s="25"/>
    </row>
    <row r="10100" spans="60:63" ht="14.25" x14ac:dyDescent="0.2">
      <c r="BH10100" s="25"/>
      <c r="BI10100" s="25"/>
      <c r="BJ10100" s="25"/>
      <c r="BK10100" s="25"/>
    </row>
    <row r="10101" spans="60:63" ht="14.25" x14ac:dyDescent="0.2">
      <c r="BH10101" s="25"/>
      <c r="BI10101" s="25"/>
      <c r="BJ10101" s="25"/>
      <c r="BK10101" s="25"/>
    </row>
    <row r="10102" spans="60:63" ht="14.25" x14ac:dyDescent="0.2">
      <c r="BH10102" s="25"/>
      <c r="BI10102" s="25"/>
      <c r="BJ10102" s="25"/>
      <c r="BK10102" s="25"/>
    </row>
    <row r="10103" spans="60:63" ht="14.25" x14ac:dyDescent="0.2">
      <c r="BH10103" s="25"/>
      <c r="BI10103" s="25"/>
      <c r="BJ10103" s="25"/>
      <c r="BK10103" s="25"/>
    </row>
    <row r="10104" spans="60:63" ht="14.25" x14ac:dyDescent="0.2">
      <c r="BH10104" s="25"/>
      <c r="BI10104" s="25"/>
      <c r="BJ10104" s="25"/>
      <c r="BK10104" s="25"/>
    </row>
    <row r="10105" spans="60:63" ht="14.25" x14ac:dyDescent="0.2">
      <c r="BH10105" s="25"/>
      <c r="BI10105" s="25"/>
      <c r="BJ10105" s="25"/>
      <c r="BK10105" s="25"/>
    </row>
    <row r="10106" spans="60:63" ht="14.25" x14ac:dyDescent="0.2">
      <c r="BH10106" s="25"/>
      <c r="BI10106" s="25"/>
      <c r="BJ10106" s="25"/>
      <c r="BK10106" s="25"/>
    </row>
    <row r="10107" spans="60:63" ht="14.25" x14ac:dyDescent="0.2">
      <c r="BH10107" s="25"/>
      <c r="BI10107" s="25"/>
      <c r="BJ10107" s="25"/>
      <c r="BK10107" s="25"/>
    </row>
    <row r="10108" spans="60:63" ht="14.25" x14ac:dyDescent="0.2">
      <c r="BH10108" s="25"/>
      <c r="BI10108" s="25"/>
      <c r="BJ10108" s="25"/>
      <c r="BK10108" s="25"/>
    </row>
    <row r="10109" spans="60:63" ht="14.25" x14ac:dyDescent="0.2">
      <c r="BH10109" s="25"/>
      <c r="BI10109" s="25"/>
      <c r="BJ10109" s="25"/>
      <c r="BK10109" s="25"/>
    </row>
    <row r="10110" spans="60:63" ht="14.25" x14ac:dyDescent="0.2">
      <c r="BH10110" s="25"/>
      <c r="BI10110" s="25"/>
      <c r="BJ10110" s="25"/>
      <c r="BK10110" s="25"/>
    </row>
    <row r="10111" spans="60:63" ht="14.25" x14ac:dyDescent="0.2">
      <c r="BH10111" s="25"/>
      <c r="BI10111" s="25"/>
      <c r="BJ10111" s="25"/>
      <c r="BK10111" s="25"/>
    </row>
    <row r="10112" spans="60:63" ht="14.25" x14ac:dyDescent="0.2">
      <c r="BH10112" s="25"/>
      <c r="BI10112" s="25"/>
      <c r="BJ10112" s="25"/>
      <c r="BK10112" s="25"/>
    </row>
    <row r="10113" spans="60:63" ht="14.25" x14ac:dyDescent="0.2">
      <c r="BH10113" s="25"/>
      <c r="BI10113" s="25"/>
      <c r="BJ10113" s="25"/>
      <c r="BK10113" s="25"/>
    </row>
    <row r="10114" spans="60:63" ht="14.25" x14ac:dyDescent="0.2">
      <c r="BH10114" s="25"/>
      <c r="BI10114" s="25"/>
      <c r="BJ10114" s="25"/>
      <c r="BK10114" s="25"/>
    </row>
    <row r="10115" spans="60:63" ht="14.25" x14ac:dyDescent="0.2">
      <c r="BH10115" s="25"/>
      <c r="BI10115" s="25"/>
      <c r="BJ10115" s="25"/>
      <c r="BK10115" s="25"/>
    </row>
    <row r="10116" spans="60:63" ht="14.25" x14ac:dyDescent="0.2">
      <c r="BH10116" s="25"/>
      <c r="BI10116" s="25"/>
      <c r="BJ10116" s="25"/>
      <c r="BK10116" s="25"/>
    </row>
    <row r="10117" spans="60:63" ht="14.25" x14ac:dyDescent="0.2">
      <c r="BH10117" s="25"/>
      <c r="BI10117" s="25"/>
      <c r="BJ10117" s="25"/>
      <c r="BK10117" s="25"/>
    </row>
    <row r="10118" spans="60:63" ht="14.25" x14ac:dyDescent="0.2">
      <c r="BH10118" s="25"/>
      <c r="BI10118" s="25"/>
      <c r="BJ10118" s="25"/>
      <c r="BK10118" s="25"/>
    </row>
    <row r="10119" spans="60:63" ht="14.25" x14ac:dyDescent="0.2">
      <c r="BH10119" s="25"/>
      <c r="BI10119" s="25"/>
      <c r="BJ10119" s="25"/>
      <c r="BK10119" s="25"/>
    </row>
    <row r="10120" spans="60:63" ht="14.25" x14ac:dyDescent="0.2">
      <c r="BH10120" s="25"/>
      <c r="BI10120" s="25"/>
      <c r="BJ10120" s="25"/>
      <c r="BK10120" s="25"/>
    </row>
    <row r="10121" spans="60:63" ht="14.25" x14ac:dyDescent="0.2">
      <c r="BH10121" s="25"/>
      <c r="BI10121" s="25"/>
      <c r="BJ10121" s="25"/>
      <c r="BK10121" s="25"/>
    </row>
    <row r="10122" spans="60:63" ht="14.25" x14ac:dyDescent="0.2">
      <c r="BH10122" s="25"/>
      <c r="BI10122" s="25"/>
      <c r="BJ10122" s="25"/>
      <c r="BK10122" s="25"/>
    </row>
    <row r="10123" spans="60:63" ht="14.25" x14ac:dyDescent="0.2">
      <c r="BH10123" s="25"/>
      <c r="BI10123" s="25"/>
      <c r="BJ10123" s="25"/>
      <c r="BK10123" s="25"/>
    </row>
    <row r="10124" spans="60:63" ht="14.25" x14ac:dyDescent="0.2">
      <c r="BH10124" s="25"/>
      <c r="BI10124" s="25"/>
      <c r="BJ10124" s="25"/>
      <c r="BK10124" s="25"/>
    </row>
    <row r="10125" spans="60:63" ht="14.25" x14ac:dyDescent="0.2">
      <c r="BH10125" s="25"/>
      <c r="BI10125" s="25"/>
      <c r="BJ10125" s="25"/>
      <c r="BK10125" s="25"/>
    </row>
    <row r="10126" spans="60:63" ht="14.25" x14ac:dyDescent="0.2">
      <c r="BH10126" s="25"/>
      <c r="BI10126" s="25"/>
      <c r="BJ10126" s="25"/>
      <c r="BK10126" s="25"/>
    </row>
    <row r="10127" spans="60:63" ht="14.25" x14ac:dyDescent="0.2">
      <c r="BH10127" s="25"/>
      <c r="BI10127" s="25"/>
      <c r="BJ10127" s="25"/>
      <c r="BK10127" s="25"/>
    </row>
    <row r="10128" spans="60:63" ht="14.25" x14ac:dyDescent="0.2">
      <c r="BH10128" s="25"/>
      <c r="BI10128" s="25"/>
      <c r="BJ10128" s="25"/>
      <c r="BK10128" s="25"/>
    </row>
    <row r="10129" spans="60:63" ht="14.25" x14ac:dyDescent="0.2">
      <c r="BH10129" s="25"/>
      <c r="BI10129" s="25"/>
      <c r="BJ10129" s="25"/>
      <c r="BK10129" s="25"/>
    </row>
    <row r="10130" spans="60:63" ht="14.25" x14ac:dyDescent="0.2">
      <c r="BH10130" s="25"/>
      <c r="BI10130" s="25"/>
      <c r="BJ10130" s="25"/>
      <c r="BK10130" s="25"/>
    </row>
    <row r="10131" spans="60:63" ht="14.25" x14ac:dyDescent="0.2">
      <c r="BH10131" s="25"/>
      <c r="BI10131" s="25"/>
      <c r="BJ10131" s="25"/>
      <c r="BK10131" s="25"/>
    </row>
    <row r="10132" spans="60:63" ht="14.25" x14ac:dyDescent="0.2">
      <c r="BH10132" s="25"/>
      <c r="BI10132" s="25"/>
      <c r="BJ10132" s="25"/>
      <c r="BK10132" s="25"/>
    </row>
    <row r="10133" spans="60:63" ht="14.25" x14ac:dyDescent="0.2">
      <c r="BH10133" s="25"/>
      <c r="BI10133" s="25"/>
      <c r="BJ10133" s="25"/>
      <c r="BK10133" s="25"/>
    </row>
    <row r="10134" spans="60:63" ht="14.25" x14ac:dyDescent="0.2">
      <c r="BH10134" s="25"/>
      <c r="BI10134" s="25"/>
      <c r="BJ10134" s="25"/>
      <c r="BK10134" s="25"/>
    </row>
    <row r="10135" spans="60:63" ht="14.25" x14ac:dyDescent="0.2">
      <c r="BH10135" s="25"/>
      <c r="BI10135" s="25"/>
      <c r="BJ10135" s="25"/>
      <c r="BK10135" s="25"/>
    </row>
    <row r="10136" spans="60:63" ht="14.25" x14ac:dyDescent="0.2">
      <c r="BH10136" s="25"/>
      <c r="BI10136" s="25"/>
      <c r="BJ10136" s="25"/>
      <c r="BK10136" s="25"/>
    </row>
    <row r="10137" spans="60:63" ht="14.25" x14ac:dyDescent="0.2">
      <c r="BH10137" s="25"/>
      <c r="BI10137" s="25"/>
      <c r="BJ10137" s="25"/>
      <c r="BK10137" s="25"/>
    </row>
    <row r="10138" spans="60:63" ht="14.25" x14ac:dyDescent="0.2">
      <c r="BH10138" s="25"/>
      <c r="BI10138" s="25"/>
      <c r="BJ10138" s="25"/>
      <c r="BK10138" s="25"/>
    </row>
    <row r="10139" spans="60:63" ht="14.25" x14ac:dyDescent="0.2">
      <c r="BH10139" s="25"/>
      <c r="BI10139" s="25"/>
      <c r="BJ10139" s="25"/>
      <c r="BK10139" s="25"/>
    </row>
    <row r="10140" spans="60:63" ht="14.25" x14ac:dyDescent="0.2">
      <c r="BH10140" s="25"/>
      <c r="BI10140" s="25"/>
      <c r="BJ10140" s="25"/>
      <c r="BK10140" s="25"/>
    </row>
    <row r="10141" spans="60:63" ht="14.25" x14ac:dyDescent="0.2">
      <c r="BH10141" s="25"/>
      <c r="BI10141" s="25"/>
      <c r="BJ10141" s="25"/>
      <c r="BK10141" s="25"/>
    </row>
    <row r="10142" spans="60:63" ht="14.25" x14ac:dyDescent="0.2">
      <c r="BH10142" s="25"/>
      <c r="BI10142" s="25"/>
      <c r="BJ10142" s="25"/>
      <c r="BK10142" s="25"/>
    </row>
    <row r="10143" spans="60:63" ht="14.25" x14ac:dyDescent="0.2">
      <c r="BH10143" s="25"/>
      <c r="BI10143" s="25"/>
      <c r="BJ10143" s="25"/>
      <c r="BK10143" s="25"/>
    </row>
    <row r="10144" spans="60:63" ht="14.25" x14ac:dyDescent="0.2">
      <c r="BH10144" s="25"/>
      <c r="BI10144" s="25"/>
      <c r="BJ10144" s="25"/>
      <c r="BK10144" s="25"/>
    </row>
    <row r="10145" spans="60:63" ht="14.25" x14ac:dyDescent="0.2">
      <c r="BH10145" s="25"/>
      <c r="BI10145" s="25"/>
      <c r="BJ10145" s="25"/>
      <c r="BK10145" s="25"/>
    </row>
    <row r="10146" spans="60:63" ht="14.25" x14ac:dyDescent="0.2">
      <c r="BH10146" s="25"/>
      <c r="BI10146" s="25"/>
      <c r="BJ10146" s="25"/>
      <c r="BK10146" s="25"/>
    </row>
    <row r="10147" spans="60:63" ht="14.25" x14ac:dyDescent="0.2">
      <c r="BH10147" s="25"/>
      <c r="BI10147" s="25"/>
      <c r="BJ10147" s="25"/>
      <c r="BK10147" s="25"/>
    </row>
    <row r="10148" spans="60:63" ht="14.25" x14ac:dyDescent="0.2">
      <c r="BH10148" s="25"/>
      <c r="BI10148" s="25"/>
      <c r="BJ10148" s="25"/>
      <c r="BK10148" s="25"/>
    </row>
    <row r="10149" spans="60:63" ht="14.25" x14ac:dyDescent="0.2">
      <c r="BH10149" s="25"/>
      <c r="BI10149" s="25"/>
      <c r="BJ10149" s="25"/>
      <c r="BK10149" s="25"/>
    </row>
    <row r="10150" spans="60:63" ht="14.25" x14ac:dyDescent="0.2">
      <c r="BH10150" s="25"/>
      <c r="BI10150" s="25"/>
      <c r="BJ10150" s="25"/>
      <c r="BK10150" s="25"/>
    </row>
    <row r="10151" spans="60:63" ht="14.25" x14ac:dyDescent="0.2">
      <c r="BH10151" s="25"/>
      <c r="BI10151" s="25"/>
      <c r="BJ10151" s="25"/>
      <c r="BK10151" s="25"/>
    </row>
    <row r="10152" spans="60:63" ht="14.25" x14ac:dyDescent="0.2">
      <c r="BH10152" s="25"/>
      <c r="BI10152" s="25"/>
      <c r="BJ10152" s="25"/>
      <c r="BK10152" s="25"/>
    </row>
    <row r="10153" spans="60:63" ht="14.25" x14ac:dyDescent="0.2">
      <c r="BH10153" s="25"/>
      <c r="BI10153" s="25"/>
      <c r="BJ10153" s="25"/>
      <c r="BK10153" s="25"/>
    </row>
    <row r="10154" spans="60:63" ht="14.25" x14ac:dyDescent="0.2">
      <c r="BH10154" s="25"/>
      <c r="BI10154" s="25"/>
      <c r="BJ10154" s="25"/>
      <c r="BK10154" s="25"/>
    </row>
    <row r="10155" spans="60:63" ht="14.25" x14ac:dyDescent="0.2">
      <c r="BH10155" s="25"/>
      <c r="BI10155" s="25"/>
      <c r="BJ10155" s="25"/>
      <c r="BK10155" s="25"/>
    </row>
    <row r="10156" spans="60:63" ht="14.25" x14ac:dyDescent="0.2">
      <c r="BH10156" s="25"/>
      <c r="BI10156" s="25"/>
      <c r="BJ10156" s="25"/>
      <c r="BK10156" s="25"/>
    </row>
    <row r="10157" spans="60:63" ht="14.25" x14ac:dyDescent="0.2">
      <c r="BH10157" s="25"/>
      <c r="BI10157" s="25"/>
      <c r="BJ10157" s="25"/>
      <c r="BK10157" s="25"/>
    </row>
    <row r="10158" spans="60:63" ht="14.25" x14ac:dyDescent="0.2">
      <c r="BH10158" s="25"/>
      <c r="BI10158" s="25"/>
      <c r="BJ10158" s="25"/>
      <c r="BK10158" s="25"/>
    </row>
    <row r="10159" spans="60:63" ht="14.25" x14ac:dyDescent="0.2">
      <c r="BH10159" s="25"/>
      <c r="BI10159" s="25"/>
      <c r="BJ10159" s="25"/>
      <c r="BK10159" s="25"/>
    </row>
    <row r="10160" spans="60:63" ht="14.25" x14ac:dyDescent="0.2">
      <c r="BH10160" s="25"/>
      <c r="BI10160" s="25"/>
      <c r="BJ10160" s="25"/>
      <c r="BK10160" s="25"/>
    </row>
    <row r="10161" spans="60:63" ht="14.25" x14ac:dyDescent="0.2">
      <c r="BH10161" s="25"/>
      <c r="BI10161" s="25"/>
      <c r="BJ10161" s="25"/>
      <c r="BK10161" s="25"/>
    </row>
    <row r="10162" spans="60:63" ht="14.25" x14ac:dyDescent="0.2">
      <c r="BH10162" s="25"/>
      <c r="BI10162" s="25"/>
      <c r="BJ10162" s="25"/>
      <c r="BK10162" s="25"/>
    </row>
    <row r="10163" spans="60:63" ht="14.25" x14ac:dyDescent="0.2">
      <c r="BH10163" s="25"/>
      <c r="BI10163" s="25"/>
      <c r="BJ10163" s="25"/>
      <c r="BK10163" s="25"/>
    </row>
    <row r="10164" spans="60:63" ht="14.25" x14ac:dyDescent="0.2">
      <c r="BH10164" s="25"/>
      <c r="BI10164" s="25"/>
      <c r="BJ10164" s="25"/>
      <c r="BK10164" s="25"/>
    </row>
    <row r="10165" spans="60:63" ht="14.25" x14ac:dyDescent="0.2">
      <c r="BH10165" s="25"/>
      <c r="BI10165" s="25"/>
      <c r="BJ10165" s="25"/>
      <c r="BK10165" s="25"/>
    </row>
    <row r="10166" spans="60:63" ht="14.25" x14ac:dyDescent="0.2">
      <c r="BH10166" s="25"/>
      <c r="BI10166" s="25"/>
      <c r="BJ10166" s="25"/>
      <c r="BK10166" s="25"/>
    </row>
    <row r="10167" spans="60:63" ht="14.25" x14ac:dyDescent="0.2">
      <c r="BH10167" s="25"/>
      <c r="BI10167" s="25"/>
      <c r="BJ10167" s="25"/>
      <c r="BK10167" s="25"/>
    </row>
    <row r="10168" spans="60:63" ht="14.25" x14ac:dyDescent="0.2">
      <c r="BH10168" s="25"/>
      <c r="BI10168" s="25"/>
      <c r="BJ10168" s="25"/>
      <c r="BK10168" s="25"/>
    </row>
    <row r="10169" spans="60:63" ht="14.25" x14ac:dyDescent="0.2">
      <c r="BH10169" s="25"/>
      <c r="BI10169" s="25"/>
      <c r="BJ10169" s="25"/>
      <c r="BK10169" s="25"/>
    </row>
    <row r="10170" spans="60:63" ht="14.25" x14ac:dyDescent="0.2">
      <c r="BH10170" s="25"/>
      <c r="BI10170" s="25"/>
      <c r="BJ10170" s="25"/>
      <c r="BK10170" s="25"/>
    </row>
    <row r="10171" spans="60:63" ht="14.25" x14ac:dyDescent="0.2">
      <c r="BH10171" s="25"/>
      <c r="BI10171" s="25"/>
      <c r="BJ10171" s="25"/>
      <c r="BK10171" s="25"/>
    </row>
    <row r="10172" spans="60:63" ht="14.25" x14ac:dyDescent="0.2">
      <c r="BH10172" s="25"/>
      <c r="BI10172" s="25"/>
      <c r="BJ10172" s="25"/>
      <c r="BK10172" s="25"/>
    </row>
    <row r="10173" spans="60:63" ht="14.25" x14ac:dyDescent="0.2">
      <c r="BH10173" s="25"/>
      <c r="BI10173" s="25"/>
      <c r="BJ10173" s="25"/>
      <c r="BK10173" s="25"/>
    </row>
    <row r="10174" spans="60:63" ht="14.25" x14ac:dyDescent="0.2">
      <c r="BH10174" s="25"/>
      <c r="BI10174" s="25"/>
      <c r="BJ10174" s="25"/>
      <c r="BK10174" s="25"/>
    </row>
    <row r="10175" spans="60:63" ht="14.25" x14ac:dyDescent="0.2">
      <c r="BH10175" s="25"/>
      <c r="BI10175" s="25"/>
      <c r="BJ10175" s="25"/>
      <c r="BK10175" s="25"/>
    </row>
    <row r="10176" spans="60:63" ht="14.25" x14ac:dyDescent="0.2">
      <c r="BH10176" s="25"/>
      <c r="BI10176" s="25"/>
      <c r="BJ10176" s="25"/>
      <c r="BK10176" s="25"/>
    </row>
    <row r="10177" spans="60:63" ht="14.25" x14ac:dyDescent="0.2">
      <c r="BH10177" s="25"/>
      <c r="BI10177" s="25"/>
      <c r="BJ10177" s="25"/>
      <c r="BK10177" s="25"/>
    </row>
    <row r="10178" spans="60:63" ht="14.25" x14ac:dyDescent="0.2">
      <c r="BH10178" s="25"/>
      <c r="BI10178" s="25"/>
      <c r="BJ10178" s="25"/>
      <c r="BK10178" s="25"/>
    </row>
    <row r="10179" spans="60:63" ht="14.25" x14ac:dyDescent="0.2">
      <c r="BH10179" s="25"/>
      <c r="BI10179" s="25"/>
      <c r="BJ10179" s="25"/>
      <c r="BK10179" s="25"/>
    </row>
    <row r="10180" spans="60:63" ht="14.25" x14ac:dyDescent="0.2">
      <c r="BH10180" s="25"/>
      <c r="BI10180" s="25"/>
      <c r="BJ10180" s="25"/>
      <c r="BK10180" s="25"/>
    </row>
    <row r="10181" spans="60:63" ht="14.25" x14ac:dyDescent="0.2">
      <c r="BH10181" s="25"/>
      <c r="BI10181" s="25"/>
      <c r="BJ10181" s="25"/>
      <c r="BK10181" s="25"/>
    </row>
    <row r="10182" spans="60:63" ht="14.25" x14ac:dyDescent="0.2">
      <c r="BH10182" s="25"/>
      <c r="BI10182" s="25"/>
      <c r="BJ10182" s="25"/>
      <c r="BK10182" s="25"/>
    </row>
    <row r="10183" spans="60:63" ht="14.25" x14ac:dyDescent="0.2">
      <c r="BH10183" s="25"/>
      <c r="BI10183" s="25"/>
      <c r="BJ10183" s="25"/>
      <c r="BK10183" s="25"/>
    </row>
    <row r="10184" spans="60:63" ht="14.25" x14ac:dyDescent="0.2">
      <c r="BH10184" s="25"/>
      <c r="BI10184" s="25"/>
      <c r="BJ10184" s="25"/>
      <c r="BK10184" s="25"/>
    </row>
    <row r="10185" spans="60:63" ht="14.25" x14ac:dyDescent="0.2">
      <c r="BH10185" s="25"/>
      <c r="BI10185" s="25"/>
      <c r="BJ10185" s="25"/>
      <c r="BK10185" s="25"/>
    </row>
    <row r="10186" spans="60:63" ht="14.25" x14ac:dyDescent="0.2">
      <c r="BH10186" s="25"/>
      <c r="BI10186" s="25"/>
      <c r="BJ10186" s="25"/>
      <c r="BK10186" s="25"/>
    </row>
    <row r="10187" spans="60:63" ht="14.25" x14ac:dyDescent="0.2">
      <c r="BH10187" s="25"/>
      <c r="BI10187" s="25"/>
      <c r="BJ10187" s="25"/>
      <c r="BK10187" s="25"/>
    </row>
    <row r="10188" spans="60:63" ht="14.25" x14ac:dyDescent="0.2">
      <c r="BH10188" s="25"/>
      <c r="BI10188" s="25"/>
      <c r="BJ10188" s="25"/>
      <c r="BK10188" s="25"/>
    </row>
    <row r="10189" spans="60:63" ht="14.25" x14ac:dyDescent="0.2">
      <c r="BH10189" s="25"/>
      <c r="BI10189" s="25"/>
      <c r="BJ10189" s="25"/>
      <c r="BK10189" s="25"/>
    </row>
    <row r="10190" spans="60:63" ht="14.25" x14ac:dyDescent="0.2">
      <c r="BH10190" s="25"/>
      <c r="BI10190" s="25"/>
      <c r="BJ10190" s="25"/>
      <c r="BK10190" s="25"/>
    </row>
    <row r="10191" spans="60:63" ht="14.25" x14ac:dyDescent="0.2">
      <c r="BH10191" s="25"/>
      <c r="BI10191" s="25"/>
      <c r="BJ10191" s="25"/>
      <c r="BK10191" s="25"/>
    </row>
    <row r="10192" spans="60:63" ht="14.25" x14ac:dyDescent="0.2">
      <c r="BH10192" s="25"/>
      <c r="BI10192" s="25"/>
      <c r="BJ10192" s="25"/>
      <c r="BK10192" s="25"/>
    </row>
    <row r="10193" spans="60:63" ht="14.25" x14ac:dyDescent="0.2">
      <c r="BH10193" s="25"/>
      <c r="BI10193" s="25"/>
      <c r="BJ10193" s="25"/>
      <c r="BK10193" s="25"/>
    </row>
    <row r="10194" spans="60:63" ht="14.25" x14ac:dyDescent="0.2">
      <c r="BH10194" s="25"/>
      <c r="BI10194" s="25"/>
      <c r="BJ10194" s="25"/>
      <c r="BK10194" s="25"/>
    </row>
    <row r="10195" spans="60:63" ht="14.25" x14ac:dyDescent="0.2">
      <c r="BH10195" s="25"/>
      <c r="BI10195" s="25"/>
      <c r="BJ10195" s="25"/>
      <c r="BK10195" s="25"/>
    </row>
    <row r="10196" spans="60:63" ht="14.25" x14ac:dyDescent="0.2">
      <c r="BH10196" s="25"/>
      <c r="BI10196" s="25"/>
      <c r="BJ10196" s="25"/>
      <c r="BK10196" s="25"/>
    </row>
    <row r="10197" spans="60:63" ht="14.25" x14ac:dyDescent="0.2">
      <c r="BH10197" s="25"/>
      <c r="BI10197" s="25"/>
      <c r="BJ10197" s="25"/>
      <c r="BK10197" s="25"/>
    </row>
    <row r="10198" spans="60:63" ht="14.25" x14ac:dyDescent="0.2">
      <c r="BH10198" s="25"/>
      <c r="BI10198" s="25"/>
      <c r="BJ10198" s="25"/>
      <c r="BK10198" s="25"/>
    </row>
    <row r="10199" spans="60:63" ht="14.25" x14ac:dyDescent="0.2">
      <c r="BH10199" s="25"/>
      <c r="BI10199" s="25"/>
      <c r="BJ10199" s="25"/>
      <c r="BK10199" s="25"/>
    </row>
    <row r="10200" spans="60:63" ht="14.25" x14ac:dyDescent="0.2">
      <c r="BH10200" s="25"/>
      <c r="BI10200" s="25"/>
      <c r="BJ10200" s="25"/>
      <c r="BK10200" s="25"/>
    </row>
    <row r="10201" spans="60:63" ht="14.25" x14ac:dyDescent="0.2">
      <c r="BH10201" s="25"/>
      <c r="BI10201" s="25"/>
      <c r="BJ10201" s="25"/>
      <c r="BK10201" s="25"/>
    </row>
    <row r="10202" spans="60:63" ht="14.25" x14ac:dyDescent="0.2">
      <c r="BH10202" s="25"/>
      <c r="BI10202" s="25"/>
      <c r="BJ10202" s="25"/>
      <c r="BK10202" s="25"/>
    </row>
    <row r="10203" spans="60:63" ht="14.25" x14ac:dyDescent="0.2">
      <c r="BH10203" s="25"/>
      <c r="BI10203" s="25"/>
      <c r="BJ10203" s="25"/>
      <c r="BK10203" s="25"/>
    </row>
    <row r="10204" spans="60:63" ht="14.25" x14ac:dyDescent="0.2">
      <c r="BH10204" s="25"/>
      <c r="BI10204" s="25"/>
      <c r="BJ10204" s="25"/>
      <c r="BK10204" s="25"/>
    </row>
    <row r="10205" spans="60:63" ht="14.25" x14ac:dyDescent="0.2">
      <c r="BH10205" s="25"/>
      <c r="BI10205" s="25"/>
      <c r="BJ10205" s="25"/>
      <c r="BK10205" s="25"/>
    </row>
    <row r="10206" spans="60:63" ht="14.25" x14ac:dyDescent="0.2">
      <c r="BH10206" s="25"/>
      <c r="BI10206" s="25"/>
      <c r="BJ10206" s="25"/>
      <c r="BK10206" s="25"/>
    </row>
    <row r="10207" spans="60:63" ht="14.25" x14ac:dyDescent="0.2">
      <c r="BH10207" s="25"/>
      <c r="BI10207" s="25"/>
      <c r="BJ10207" s="25"/>
      <c r="BK10207" s="25"/>
    </row>
    <row r="10208" spans="60:63" ht="14.25" x14ac:dyDescent="0.2">
      <c r="BH10208" s="25"/>
      <c r="BI10208" s="25"/>
      <c r="BJ10208" s="25"/>
      <c r="BK10208" s="25"/>
    </row>
    <row r="10209" spans="60:63" ht="14.25" x14ac:dyDescent="0.2">
      <c r="BH10209" s="25"/>
      <c r="BI10209" s="25"/>
      <c r="BJ10209" s="25"/>
      <c r="BK10209" s="25"/>
    </row>
    <row r="10210" spans="60:63" ht="14.25" x14ac:dyDescent="0.2">
      <c r="BH10210" s="25"/>
      <c r="BI10210" s="25"/>
      <c r="BJ10210" s="25"/>
      <c r="BK10210" s="25"/>
    </row>
    <row r="10211" spans="60:63" ht="14.25" x14ac:dyDescent="0.2">
      <c r="BH10211" s="25"/>
      <c r="BI10211" s="25"/>
      <c r="BJ10211" s="25"/>
      <c r="BK10211" s="25"/>
    </row>
    <row r="10212" spans="60:63" ht="14.25" x14ac:dyDescent="0.2">
      <c r="BH10212" s="25"/>
      <c r="BI10212" s="25"/>
      <c r="BJ10212" s="25"/>
      <c r="BK10212" s="25"/>
    </row>
    <row r="10213" spans="60:63" ht="14.25" x14ac:dyDescent="0.2">
      <c r="BH10213" s="25"/>
      <c r="BI10213" s="25"/>
      <c r="BJ10213" s="25"/>
      <c r="BK10213" s="25"/>
    </row>
    <row r="10214" spans="60:63" ht="14.25" x14ac:dyDescent="0.2">
      <c r="BH10214" s="25"/>
      <c r="BI10214" s="25"/>
      <c r="BJ10214" s="25"/>
      <c r="BK10214" s="25"/>
    </row>
    <row r="10215" spans="60:63" ht="14.25" x14ac:dyDescent="0.2">
      <c r="BH10215" s="25"/>
      <c r="BI10215" s="25"/>
      <c r="BJ10215" s="25"/>
      <c r="BK10215" s="25"/>
    </row>
    <row r="10216" spans="60:63" ht="14.25" x14ac:dyDescent="0.2">
      <c r="BH10216" s="25"/>
      <c r="BI10216" s="25"/>
      <c r="BJ10216" s="25"/>
      <c r="BK10216" s="25"/>
    </row>
    <row r="10217" spans="60:63" ht="14.25" x14ac:dyDescent="0.2">
      <c r="BH10217" s="25"/>
      <c r="BI10217" s="25"/>
      <c r="BJ10217" s="25"/>
      <c r="BK10217" s="25"/>
    </row>
    <row r="10218" spans="60:63" ht="14.25" x14ac:dyDescent="0.2">
      <c r="BH10218" s="25"/>
      <c r="BI10218" s="25"/>
      <c r="BJ10218" s="25"/>
      <c r="BK10218" s="25"/>
    </row>
    <row r="10219" spans="60:63" ht="14.25" x14ac:dyDescent="0.2">
      <c r="BH10219" s="25"/>
      <c r="BI10219" s="25"/>
      <c r="BJ10219" s="25"/>
      <c r="BK10219" s="25"/>
    </row>
    <row r="10220" spans="60:63" ht="14.25" x14ac:dyDescent="0.2">
      <c r="BH10220" s="25"/>
      <c r="BI10220" s="25"/>
      <c r="BJ10220" s="25"/>
      <c r="BK10220" s="25"/>
    </row>
    <row r="10221" spans="60:63" ht="14.25" x14ac:dyDescent="0.2">
      <c r="BH10221" s="25"/>
      <c r="BI10221" s="25"/>
      <c r="BJ10221" s="25"/>
      <c r="BK10221" s="25"/>
    </row>
    <row r="10222" spans="60:63" ht="14.25" x14ac:dyDescent="0.2">
      <c r="BH10222" s="25"/>
      <c r="BI10222" s="25"/>
      <c r="BJ10222" s="25"/>
      <c r="BK10222" s="25"/>
    </row>
    <row r="10223" spans="60:63" ht="14.25" x14ac:dyDescent="0.2">
      <c r="BH10223" s="25"/>
      <c r="BI10223" s="25"/>
      <c r="BJ10223" s="25"/>
      <c r="BK10223" s="25"/>
    </row>
    <row r="10224" spans="60:63" ht="14.25" x14ac:dyDescent="0.2">
      <c r="BH10224" s="25"/>
      <c r="BI10224" s="25"/>
      <c r="BJ10224" s="25"/>
      <c r="BK10224" s="25"/>
    </row>
    <row r="10225" spans="60:63" ht="14.25" x14ac:dyDescent="0.2">
      <c r="BH10225" s="25"/>
      <c r="BI10225" s="25"/>
      <c r="BJ10225" s="25"/>
      <c r="BK10225" s="25"/>
    </row>
    <row r="10226" spans="60:63" ht="14.25" x14ac:dyDescent="0.2">
      <c r="BH10226" s="25"/>
      <c r="BI10226" s="25"/>
      <c r="BJ10226" s="25"/>
      <c r="BK10226" s="25"/>
    </row>
    <row r="10227" spans="60:63" ht="14.25" x14ac:dyDescent="0.2">
      <c r="BH10227" s="25"/>
      <c r="BI10227" s="25"/>
      <c r="BJ10227" s="25"/>
      <c r="BK10227" s="25"/>
    </row>
    <row r="10228" spans="60:63" ht="14.25" x14ac:dyDescent="0.2">
      <c r="BH10228" s="25"/>
      <c r="BI10228" s="25"/>
      <c r="BJ10228" s="25"/>
      <c r="BK10228" s="25"/>
    </row>
    <row r="10229" spans="60:63" ht="14.25" x14ac:dyDescent="0.2">
      <c r="BH10229" s="25"/>
      <c r="BI10229" s="25"/>
      <c r="BJ10229" s="25"/>
      <c r="BK10229" s="25"/>
    </row>
    <row r="10230" spans="60:63" ht="14.25" x14ac:dyDescent="0.2">
      <c r="BH10230" s="25"/>
      <c r="BI10230" s="25"/>
      <c r="BJ10230" s="25"/>
      <c r="BK10230" s="25"/>
    </row>
    <row r="10231" spans="60:63" ht="14.25" x14ac:dyDescent="0.2">
      <c r="BH10231" s="25"/>
      <c r="BI10231" s="25"/>
      <c r="BJ10231" s="25"/>
      <c r="BK10231" s="25"/>
    </row>
    <row r="10232" spans="60:63" ht="14.25" x14ac:dyDescent="0.2">
      <c r="BH10232" s="25"/>
      <c r="BI10232" s="25"/>
      <c r="BJ10232" s="25"/>
      <c r="BK10232" s="25"/>
    </row>
    <row r="10233" spans="60:63" ht="14.25" x14ac:dyDescent="0.2">
      <c r="BH10233" s="25"/>
      <c r="BI10233" s="25"/>
      <c r="BJ10233" s="25"/>
      <c r="BK10233" s="25"/>
    </row>
    <row r="10234" spans="60:63" ht="14.25" x14ac:dyDescent="0.2">
      <c r="BH10234" s="25"/>
      <c r="BI10234" s="25"/>
      <c r="BJ10234" s="25"/>
      <c r="BK10234" s="25"/>
    </row>
    <row r="10235" spans="60:63" ht="14.25" x14ac:dyDescent="0.2">
      <c r="BH10235" s="25"/>
      <c r="BI10235" s="25"/>
      <c r="BJ10235" s="25"/>
      <c r="BK10235" s="25"/>
    </row>
    <row r="10236" spans="60:63" ht="14.25" x14ac:dyDescent="0.2">
      <c r="BH10236" s="25"/>
      <c r="BI10236" s="25"/>
      <c r="BJ10236" s="25"/>
      <c r="BK10236" s="25"/>
    </row>
    <row r="10237" spans="60:63" ht="14.25" x14ac:dyDescent="0.2">
      <c r="BH10237" s="25"/>
      <c r="BI10237" s="25"/>
      <c r="BJ10237" s="25"/>
      <c r="BK10237" s="25"/>
    </row>
    <row r="10238" spans="60:63" ht="14.25" x14ac:dyDescent="0.2">
      <c r="BH10238" s="25"/>
      <c r="BI10238" s="25"/>
      <c r="BJ10238" s="25"/>
      <c r="BK10238" s="25"/>
    </row>
    <row r="10239" spans="60:63" ht="14.25" x14ac:dyDescent="0.2">
      <c r="BH10239" s="25"/>
      <c r="BI10239" s="25"/>
      <c r="BJ10239" s="25"/>
      <c r="BK10239" s="25"/>
    </row>
    <row r="10240" spans="60:63" ht="14.25" x14ac:dyDescent="0.2">
      <c r="BH10240" s="25"/>
      <c r="BI10240" s="25"/>
      <c r="BJ10240" s="25"/>
      <c r="BK10240" s="25"/>
    </row>
    <row r="10241" spans="60:63" ht="14.25" x14ac:dyDescent="0.2">
      <c r="BH10241" s="25"/>
      <c r="BI10241" s="25"/>
      <c r="BJ10241" s="25"/>
      <c r="BK10241" s="25"/>
    </row>
    <row r="10242" spans="60:63" ht="14.25" x14ac:dyDescent="0.2">
      <c r="BH10242" s="25"/>
      <c r="BI10242" s="25"/>
      <c r="BJ10242" s="25"/>
      <c r="BK10242" s="25"/>
    </row>
    <row r="10243" spans="60:63" ht="14.25" x14ac:dyDescent="0.2">
      <c r="BH10243" s="25"/>
      <c r="BI10243" s="25"/>
      <c r="BJ10243" s="25"/>
      <c r="BK10243" s="25"/>
    </row>
    <row r="10244" spans="60:63" ht="14.25" x14ac:dyDescent="0.2">
      <c r="BH10244" s="25"/>
      <c r="BI10244" s="25"/>
      <c r="BJ10244" s="25"/>
      <c r="BK10244" s="25"/>
    </row>
    <row r="10245" spans="60:63" ht="14.25" x14ac:dyDescent="0.2">
      <c r="BH10245" s="25"/>
      <c r="BI10245" s="25"/>
      <c r="BJ10245" s="25"/>
      <c r="BK10245" s="25"/>
    </row>
    <row r="10246" spans="60:63" ht="14.25" x14ac:dyDescent="0.2">
      <c r="BH10246" s="25"/>
      <c r="BI10246" s="25"/>
      <c r="BJ10246" s="25"/>
      <c r="BK10246" s="25"/>
    </row>
    <row r="10247" spans="60:63" ht="14.25" x14ac:dyDescent="0.2">
      <c r="BH10247" s="25"/>
      <c r="BI10247" s="25"/>
      <c r="BJ10247" s="25"/>
      <c r="BK10247" s="25"/>
    </row>
    <row r="10248" spans="60:63" ht="14.25" x14ac:dyDescent="0.2">
      <c r="BH10248" s="25"/>
      <c r="BI10248" s="25"/>
      <c r="BJ10248" s="25"/>
      <c r="BK10248" s="25"/>
    </row>
    <row r="10249" spans="60:63" ht="14.25" x14ac:dyDescent="0.2">
      <c r="BH10249" s="25"/>
      <c r="BI10249" s="25"/>
      <c r="BJ10249" s="25"/>
      <c r="BK10249" s="25"/>
    </row>
    <row r="10250" spans="60:63" ht="14.25" x14ac:dyDescent="0.2">
      <c r="BH10250" s="25"/>
      <c r="BI10250" s="25"/>
      <c r="BJ10250" s="25"/>
      <c r="BK10250" s="25"/>
    </row>
    <row r="10251" spans="60:63" ht="14.25" x14ac:dyDescent="0.2">
      <c r="BH10251" s="25"/>
      <c r="BI10251" s="25"/>
      <c r="BJ10251" s="25"/>
      <c r="BK10251" s="25"/>
    </row>
    <row r="10252" spans="60:63" ht="14.25" x14ac:dyDescent="0.2">
      <c r="BH10252" s="25"/>
      <c r="BI10252" s="25"/>
      <c r="BJ10252" s="25"/>
      <c r="BK10252" s="25"/>
    </row>
    <row r="10253" spans="60:63" ht="14.25" x14ac:dyDescent="0.2">
      <c r="BH10253" s="25"/>
      <c r="BI10253" s="25"/>
      <c r="BJ10253" s="25"/>
      <c r="BK10253" s="25"/>
    </row>
    <row r="10254" spans="60:63" ht="14.25" x14ac:dyDescent="0.2">
      <c r="BH10254" s="25"/>
      <c r="BI10254" s="25"/>
      <c r="BJ10254" s="25"/>
      <c r="BK10254" s="25"/>
    </row>
    <row r="10255" spans="60:63" ht="14.25" x14ac:dyDescent="0.2">
      <c r="BH10255" s="25"/>
      <c r="BI10255" s="25"/>
      <c r="BJ10255" s="25"/>
      <c r="BK10255" s="25"/>
    </row>
    <row r="10256" spans="60:63" ht="14.25" x14ac:dyDescent="0.2">
      <c r="BH10256" s="25"/>
      <c r="BI10256" s="25"/>
      <c r="BJ10256" s="25"/>
      <c r="BK10256" s="25"/>
    </row>
    <row r="10257" spans="60:63" ht="14.25" x14ac:dyDescent="0.2">
      <c r="BH10257" s="25"/>
      <c r="BI10257" s="25"/>
      <c r="BJ10257" s="25"/>
      <c r="BK10257" s="25"/>
    </row>
    <row r="10258" spans="60:63" ht="14.25" x14ac:dyDescent="0.2">
      <c r="BH10258" s="25"/>
      <c r="BI10258" s="25"/>
      <c r="BJ10258" s="25"/>
      <c r="BK10258" s="25"/>
    </row>
    <row r="10259" spans="60:63" ht="14.25" x14ac:dyDescent="0.2">
      <c r="BH10259" s="25"/>
      <c r="BI10259" s="25"/>
      <c r="BJ10259" s="25"/>
      <c r="BK10259" s="25"/>
    </row>
    <row r="10260" spans="60:63" ht="14.25" x14ac:dyDescent="0.2">
      <c r="BH10260" s="25"/>
      <c r="BI10260" s="25"/>
      <c r="BJ10260" s="25"/>
      <c r="BK10260" s="25"/>
    </row>
    <row r="10261" spans="60:63" ht="14.25" x14ac:dyDescent="0.2">
      <c r="BH10261" s="25"/>
      <c r="BI10261" s="25"/>
      <c r="BJ10261" s="25"/>
      <c r="BK10261" s="25"/>
    </row>
    <row r="10262" spans="60:63" ht="14.25" x14ac:dyDescent="0.2">
      <c r="BH10262" s="25"/>
      <c r="BI10262" s="25"/>
      <c r="BJ10262" s="25"/>
      <c r="BK10262" s="25"/>
    </row>
    <row r="10263" spans="60:63" ht="14.25" x14ac:dyDescent="0.2">
      <c r="BH10263" s="25"/>
      <c r="BI10263" s="25"/>
      <c r="BJ10263" s="25"/>
      <c r="BK10263" s="25"/>
    </row>
    <row r="10264" spans="60:63" ht="14.25" x14ac:dyDescent="0.2">
      <c r="BH10264" s="25"/>
      <c r="BI10264" s="25"/>
      <c r="BJ10264" s="25"/>
      <c r="BK10264" s="25"/>
    </row>
    <row r="10265" spans="60:63" ht="14.25" x14ac:dyDescent="0.2">
      <c r="BH10265" s="25"/>
      <c r="BI10265" s="25"/>
      <c r="BJ10265" s="25"/>
      <c r="BK10265" s="25"/>
    </row>
    <row r="10266" spans="60:63" ht="14.25" x14ac:dyDescent="0.2">
      <c r="BH10266" s="25"/>
      <c r="BI10266" s="25"/>
      <c r="BJ10266" s="25"/>
      <c r="BK10266" s="25"/>
    </row>
    <row r="10267" spans="60:63" ht="14.25" x14ac:dyDescent="0.2">
      <c r="BH10267" s="25"/>
      <c r="BI10267" s="25"/>
      <c r="BJ10267" s="25"/>
      <c r="BK10267" s="25"/>
    </row>
    <row r="10268" spans="60:63" ht="14.25" x14ac:dyDescent="0.2">
      <c r="BH10268" s="25"/>
      <c r="BI10268" s="25"/>
      <c r="BJ10268" s="25"/>
      <c r="BK10268" s="25"/>
    </row>
    <row r="10269" spans="60:63" ht="14.25" x14ac:dyDescent="0.2">
      <c r="BH10269" s="25"/>
      <c r="BI10269" s="25"/>
      <c r="BJ10269" s="25"/>
      <c r="BK10269" s="25"/>
    </row>
    <row r="10270" spans="60:63" ht="14.25" x14ac:dyDescent="0.2">
      <c r="BH10270" s="25"/>
      <c r="BI10270" s="25"/>
      <c r="BJ10270" s="25"/>
      <c r="BK10270" s="25"/>
    </row>
    <row r="10271" spans="60:63" ht="14.25" x14ac:dyDescent="0.2">
      <c r="BH10271" s="25"/>
      <c r="BI10271" s="25"/>
      <c r="BJ10271" s="25"/>
      <c r="BK10271" s="25"/>
    </row>
    <row r="10272" spans="60:63" ht="14.25" x14ac:dyDescent="0.2">
      <c r="BH10272" s="25"/>
      <c r="BI10272" s="25"/>
      <c r="BJ10272" s="25"/>
      <c r="BK10272" s="25"/>
    </row>
    <row r="10273" spans="60:63" ht="14.25" x14ac:dyDescent="0.2">
      <c r="BH10273" s="25"/>
      <c r="BI10273" s="25"/>
      <c r="BJ10273" s="25"/>
      <c r="BK10273" s="25"/>
    </row>
    <row r="10274" spans="60:63" ht="14.25" x14ac:dyDescent="0.2">
      <c r="BH10274" s="25"/>
      <c r="BI10274" s="25"/>
      <c r="BJ10274" s="25"/>
      <c r="BK10274" s="25"/>
    </row>
    <row r="10275" spans="60:63" ht="14.25" x14ac:dyDescent="0.2">
      <c r="BH10275" s="25"/>
      <c r="BI10275" s="25"/>
      <c r="BJ10275" s="25"/>
      <c r="BK10275" s="25"/>
    </row>
    <row r="10276" spans="60:63" ht="14.25" x14ac:dyDescent="0.2">
      <c r="BH10276" s="25"/>
      <c r="BI10276" s="25"/>
      <c r="BJ10276" s="25"/>
      <c r="BK10276" s="25"/>
    </row>
    <row r="10277" spans="60:63" ht="14.25" x14ac:dyDescent="0.2">
      <c r="BH10277" s="25"/>
      <c r="BI10277" s="25"/>
      <c r="BJ10277" s="25"/>
      <c r="BK10277" s="25"/>
    </row>
    <row r="10278" spans="60:63" ht="14.25" x14ac:dyDescent="0.2">
      <c r="BH10278" s="25"/>
      <c r="BI10278" s="25"/>
      <c r="BJ10278" s="25"/>
      <c r="BK10278" s="25"/>
    </row>
    <row r="10279" spans="60:63" ht="14.25" x14ac:dyDescent="0.2">
      <c r="BH10279" s="25"/>
      <c r="BI10279" s="25"/>
      <c r="BJ10279" s="25"/>
      <c r="BK10279" s="25"/>
    </row>
    <row r="10280" spans="60:63" ht="14.25" x14ac:dyDescent="0.2">
      <c r="BH10280" s="25"/>
      <c r="BI10280" s="25"/>
      <c r="BJ10280" s="25"/>
      <c r="BK10280" s="25"/>
    </row>
    <row r="10281" spans="60:63" ht="14.25" x14ac:dyDescent="0.2">
      <c r="BH10281" s="25"/>
      <c r="BI10281" s="25"/>
      <c r="BJ10281" s="25"/>
      <c r="BK10281" s="25"/>
    </row>
    <row r="10282" spans="60:63" ht="14.25" x14ac:dyDescent="0.2">
      <c r="BH10282" s="25"/>
      <c r="BI10282" s="25"/>
      <c r="BJ10282" s="25"/>
      <c r="BK10282" s="25"/>
    </row>
    <row r="10283" spans="60:63" ht="14.25" x14ac:dyDescent="0.2">
      <c r="BH10283" s="25"/>
      <c r="BI10283" s="25"/>
      <c r="BJ10283" s="25"/>
      <c r="BK10283" s="25"/>
    </row>
    <row r="10284" spans="60:63" ht="14.25" x14ac:dyDescent="0.2">
      <c r="BH10284" s="25"/>
      <c r="BI10284" s="25"/>
      <c r="BJ10284" s="25"/>
      <c r="BK10284" s="25"/>
    </row>
    <row r="10285" spans="60:63" ht="14.25" x14ac:dyDescent="0.2">
      <c r="BH10285" s="25"/>
      <c r="BI10285" s="25"/>
      <c r="BJ10285" s="25"/>
      <c r="BK10285" s="25"/>
    </row>
    <row r="10286" spans="60:63" ht="14.25" x14ac:dyDescent="0.2">
      <c r="BH10286" s="25"/>
      <c r="BI10286" s="25"/>
      <c r="BJ10286" s="25"/>
      <c r="BK10286" s="25"/>
    </row>
    <row r="10287" spans="60:63" ht="14.25" x14ac:dyDescent="0.2">
      <c r="BH10287" s="25"/>
      <c r="BI10287" s="25"/>
      <c r="BJ10287" s="25"/>
      <c r="BK10287" s="25"/>
    </row>
    <row r="10288" spans="60:63" ht="14.25" x14ac:dyDescent="0.2">
      <c r="BH10288" s="25"/>
      <c r="BI10288" s="25"/>
      <c r="BJ10288" s="25"/>
      <c r="BK10288" s="25"/>
    </row>
    <row r="10289" spans="60:63" ht="14.25" x14ac:dyDescent="0.2">
      <c r="BH10289" s="25"/>
      <c r="BI10289" s="25"/>
      <c r="BJ10289" s="25"/>
      <c r="BK10289" s="25"/>
    </row>
    <row r="10290" spans="60:63" ht="14.25" x14ac:dyDescent="0.2">
      <c r="BH10290" s="25"/>
      <c r="BI10290" s="25"/>
      <c r="BJ10290" s="25"/>
      <c r="BK10290" s="25"/>
    </row>
    <row r="10291" spans="60:63" ht="14.25" x14ac:dyDescent="0.2">
      <c r="BH10291" s="25"/>
      <c r="BI10291" s="25"/>
      <c r="BJ10291" s="25"/>
      <c r="BK10291" s="25"/>
    </row>
    <row r="10292" spans="60:63" ht="14.25" x14ac:dyDescent="0.2">
      <c r="BH10292" s="25"/>
      <c r="BI10292" s="25"/>
      <c r="BJ10292" s="25"/>
      <c r="BK10292" s="25"/>
    </row>
    <row r="10293" spans="60:63" ht="14.25" x14ac:dyDescent="0.2">
      <c r="BH10293" s="25"/>
      <c r="BI10293" s="25"/>
      <c r="BJ10293" s="25"/>
      <c r="BK10293" s="25"/>
    </row>
    <row r="10294" spans="60:63" ht="14.25" x14ac:dyDescent="0.2">
      <c r="BH10294" s="25"/>
      <c r="BI10294" s="25"/>
      <c r="BJ10294" s="25"/>
      <c r="BK10294" s="25"/>
    </row>
    <row r="10295" spans="60:63" ht="14.25" x14ac:dyDescent="0.2">
      <c r="BH10295" s="25"/>
      <c r="BI10295" s="25"/>
      <c r="BJ10295" s="25"/>
      <c r="BK10295" s="25"/>
    </row>
    <row r="10296" spans="60:63" ht="14.25" x14ac:dyDescent="0.2">
      <c r="BH10296" s="25"/>
      <c r="BI10296" s="25"/>
      <c r="BJ10296" s="25"/>
      <c r="BK10296" s="25"/>
    </row>
    <row r="10297" spans="60:63" ht="14.25" x14ac:dyDescent="0.2">
      <c r="BH10297" s="25"/>
      <c r="BI10297" s="25"/>
      <c r="BJ10297" s="25"/>
      <c r="BK10297" s="25"/>
    </row>
    <row r="10298" spans="60:63" ht="14.25" x14ac:dyDescent="0.2">
      <c r="BH10298" s="25"/>
      <c r="BI10298" s="25"/>
      <c r="BJ10298" s="25"/>
      <c r="BK10298" s="25"/>
    </row>
    <row r="10299" spans="60:63" ht="14.25" x14ac:dyDescent="0.2">
      <c r="BH10299" s="25"/>
      <c r="BI10299" s="25"/>
      <c r="BJ10299" s="25"/>
      <c r="BK10299" s="25"/>
    </row>
    <row r="10300" spans="60:63" ht="14.25" x14ac:dyDescent="0.2">
      <c r="BH10300" s="25"/>
      <c r="BI10300" s="25"/>
      <c r="BJ10300" s="25"/>
      <c r="BK10300" s="25"/>
    </row>
    <row r="10301" spans="60:63" ht="14.25" x14ac:dyDescent="0.2">
      <c r="BH10301" s="25"/>
      <c r="BI10301" s="25"/>
      <c r="BJ10301" s="25"/>
      <c r="BK10301" s="25"/>
    </row>
    <row r="10302" spans="60:63" ht="14.25" x14ac:dyDescent="0.2">
      <c r="BH10302" s="25"/>
      <c r="BI10302" s="25"/>
      <c r="BJ10302" s="25"/>
      <c r="BK10302" s="25"/>
    </row>
    <row r="10303" spans="60:63" ht="14.25" x14ac:dyDescent="0.2">
      <c r="BH10303" s="25"/>
      <c r="BI10303" s="25"/>
      <c r="BJ10303" s="25"/>
      <c r="BK10303" s="25"/>
    </row>
    <row r="10304" spans="60:63" ht="14.25" x14ac:dyDescent="0.2">
      <c r="BH10304" s="25"/>
      <c r="BI10304" s="25"/>
      <c r="BJ10304" s="25"/>
      <c r="BK10304" s="25"/>
    </row>
    <row r="10305" spans="60:63" ht="14.25" x14ac:dyDescent="0.2">
      <c r="BH10305" s="25"/>
      <c r="BI10305" s="25"/>
      <c r="BJ10305" s="25"/>
      <c r="BK10305" s="25"/>
    </row>
    <row r="10306" spans="60:63" ht="14.25" x14ac:dyDescent="0.2">
      <c r="BH10306" s="25"/>
      <c r="BI10306" s="25"/>
      <c r="BJ10306" s="25"/>
      <c r="BK10306" s="25"/>
    </row>
    <row r="10307" spans="60:63" ht="14.25" x14ac:dyDescent="0.2">
      <c r="BH10307" s="25"/>
      <c r="BI10307" s="25"/>
      <c r="BJ10307" s="25"/>
      <c r="BK10307" s="25"/>
    </row>
    <row r="10308" spans="60:63" ht="14.25" x14ac:dyDescent="0.2">
      <c r="BH10308" s="25"/>
      <c r="BI10308" s="25"/>
      <c r="BJ10308" s="25"/>
      <c r="BK10308" s="25"/>
    </row>
    <row r="10309" spans="60:63" ht="14.25" x14ac:dyDescent="0.2">
      <c r="BH10309" s="25"/>
      <c r="BI10309" s="25"/>
      <c r="BJ10309" s="25"/>
      <c r="BK10309" s="25"/>
    </row>
    <row r="10310" spans="60:63" ht="14.25" x14ac:dyDescent="0.2">
      <c r="BH10310" s="25"/>
      <c r="BI10310" s="25"/>
      <c r="BJ10310" s="25"/>
      <c r="BK10310" s="25"/>
    </row>
    <row r="10311" spans="60:63" ht="14.25" x14ac:dyDescent="0.2">
      <c r="BH10311" s="25"/>
      <c r="BI10311" s="25"/>
      <c r="BJ10311" s="25"/>
      <c r="BK10311" s="25"/>
    </row>
    <row r="10312" spans="60:63" ht="14.25" x14ac:dyDescent="0.2">
      <c r="BH10312" s="25"/>
      <c r="BI10312" s="25"/>
      <c r="BJ10312" s="25"/>
      <c r="BK10312" s="25"/>
    </row>
    <row r="10313" spans="60:63" ht="14.25" x14ac:dyDescent="0.2">
      <c r="BH10313" s="25"/>
      <c r="BI10313" s="25"/>
      <c r="BJ10313" s="25"/>
      <c r="BK10313" s="25"/>
    </row>
    <row r="10314" spans="60:63" ht="14.25" x14ac:dyDescent="0.2">
      <c r="BH10314" s="25"/>
      <c r="BI10314" s="25"/>
      <c r="BJ10314" s="25"/>
      <c r="BK10314" s="25"/>
    </row>
    <row r="10315" spans="60:63" ht="14.25" x14ac:dyDescent="0.2">
      <c r="BH10315" s="25"/>
      <c r="BI10315" s="25"/>
      <c r="BJ10315" s="25"/>
      <c r="BK10315" s="25"/>
    </row>
    <row r="10316" spans="60:63" ht="14.25" x14ac:dyDescent="0.2">
      <c r="BH10316" s="25"/>
      <c r="BI10316" s="25"/>
      <c r="BJ10316" s="25"/>
      <c r="BK10316" s="25"/>
    </row>
    <row r="10317" spans="60:63" ht="14.25" x14ac:dyDescent="0.2">
      <c r="BH10317" s="25"/>
      <c r="BI10317" s="25"/>
      <c r="BJ10317" s="25"/>
      <c r="BK10317" s="25"/>
    </row>
    <row r="10318" spans="60:63" ht="14.25" x14ac:dyDescent="0.2">
      <c r="BH10318" s="25"/>
      <c r="BI10318" s="25"/>
      <c r="BJ10318" s="25"/>
      <c r="BK10318" s="25"/>
    </row>
    <row r="10319" spans="60:63" ht="14.25" x14ac:dyDescent="0.2">
      <c r="BH10319" s="25"/>
      <c r="BI10319" s="25"/>
      <c r="BJ10319" s="25"/>
      <c r="BK10319" s="25"/>
    </row>
    <row r="10320" spans="60:63" ht="14.25" x14ac:dyDescent="0.2">
      <c r="BH10320" s="25"/>
      <c r="BI10320" s="25"/>
      <c r="BJ10320" s="25"/>
      <c r="BK10320" s="25"/>
    </row>
    <row r="10321" spans="60:63" ht="14.25" x14ac:dyDescent="0.2">
      <c r="BH10321" s="25"/>
      <c r="BI10321" s="25"/>
      <c r="BJ10321" s="25"/>
      <c r="BK10321" s="25"/>
    </row>
    <row r="10322" spans="60:63" ht="14.25" x14ac:dyDescent="0.2">
      <c r="BH10322" s="25"/>
      <c r="BI10322" s="25"/>
      <c r="BJ10322" s="25"/>
      <c r="BK10322" s="25"/>
    </row>
    <row r="10323" spans="60:63" ht="14.25" x14ac:dyDescent="0.2">
      <c r="BH10323" s="25"/>
      <c r="BI10323" s="25"/>
      <c r="BJ10323" s="25"/>
      <c r="BK10323" s="25"/>
    </row>
    <row r="10324" spans="60:63" ht="14.25" x14ac:dyDescent="0.2">
      <c r="BH10324" s="25"/>
      <c r="BI10324" s="25"/>
      <c r="BJ10324" s="25"/>
      <c r="BK10324" s="25"/>
    </row>
    <row r="10325" spans="60:63" ht="14.25" x14ac:dyDescent="0.2">
      <c r="BH10325" s="25"/>
      <c r="BI10325" s="25"/>
      <c r="BJ10325" s="25"/>
      <c r="BK10325" s="25"/>
    </row>
    <row r="10326" spans="60:63" ht="14.25" x14ac:dyDescent="0.2">
      <c r="BH10326" s="25"/>
      <c r="BI10326" s="25"/>
      <c r="BJ10326" s="25"/>
      <c r="BK10326" s="25"/>
    </row>
    <row r="10327" spans="60:63" ht="14.25" x14ac:dyDescent="0.2">
      <c r="BH10327" s="25"/>
      <c r="BI10327" s="25"/>
      <c r="BJ10327" s="25"/>
      <c r="BK10327" s="25"/>
    </row>
    <row r="10328" spans="60:63" ht="14.25" x14ac:dyDescent="0.2">
      <c r="BH10328" s="25"/>
      <c r="BI10328" s="25"/>
      <c r="BJ10328" s="25"/>
      <c r="BK10328" s="25"/>
    </row>
    <row r="10329" spans="60:63" ht="14.25" x14ac:dyDescent="0.2">
      <c r="BH10329" s="25"/>
      <c r="BI10329" s="25"/>
      <c r="BJ10329" s="25"/>
      <c r="BK10329" s="25"/>
    </row>
    <row r="10330" spans="60:63" ht="14.25" x14ac:dyDescent="0.2">
      <c r="BH10330" s="25"/>
      <c r="BI10330" s="25"/>
      <c r="BJ10330" s="25"/>
      <c r="BK10330" s="25"/>
    </row>
    <row r="10331" spans="60:63" ht="14.25" x14ac:dyDescent="0.2">
      <c r="BH10331" s="25"/>
      <c r="BI10331" s="25"/>
      <c r="BJ10331" s="25"/>
      <c r="BK10331" s="25"/>
    </row>
    <row r="10332" spans="60:63" ht="14.25" x14ac:dyDescent="0.2">
      <c r="BH10332" s="25"/>
      <c r="BI10332" s="25"/>
      <c r="BJ10332" s="25"/>
      <c r="BK10332" s="25"/>
    </row>
    <row r="10333" spans="60:63" ht="14.25" x14ac:dyDescent="0.2">
      <c r="BH10333" s="25"/>
      <c r="BI10333" s="25"/>
      <c r="BJ10333" s="25"/>
      <c r="BK10333" s="25"/>
    </row>
    <row r="10334" spans="60:63" ht="14.25" x14ac:dyDescent="0.2">
      <c r="BH10334" s="25"/>
      <c r="BI10334" s="25"/>
      <c r="BJ10334" s="25"/>
      <c r="BK10334" s="25"/>
    </row>
    <row r="10335" spans="60:63" ht="14.25" x14ac:dyDescent="0.2">
      <c r="BH10335" s="25"/>
      <c r="BI10335" s="25"/>
      <c r="BJ10335" s="25"/>
      <c r="BK10335" s="25"/>
    </row>
    <row r="10336" spans="60:63" ht="14.25" x14ac:dyDescent="0.2">
      <c r="BH10336" s="25"/>
      <c r="BI10336" s="25"/>
      <c r="BJ10336" s="25"/>
      <c r="BK10336" s="25"/>
    </row>
    <row r="10337" spans="60:63" ht="14.25" x14ac:dyDescent="0.2">
      <c r="BH10337" s="25"/>
      <c r="BI10337" s="25"/>
      <c r="BJ10337" s="25"/>
      <c r="BK10337" s="25"/>
    </row>
    <row r="10338" spans="60:63" ht="14.25" x14ac:dyDescent="0.2">
      <c r="BH10338" s="25"/>
      <c r="BI10338" s="25"/>
      <c r="BJ10338" s="25"/>
      <c r="BK10338" s="25"/>
    </row>
    <row r="10339" spans="60:63" ht="14.25" x14ac:dyDescent="0.2">
      <c r="BH10339" s="25"/>
      <c r="BI10339" s="25"/>
      <c r="BJ10339" s="25"/>
      <c r="BK10339" s="25"/>
    </row>
    <row r="10340" spans="60:63" ht="14.25" x14ac:dyDescent="0.2">
      <c r="BH10340" s="25"/>
      <c r="BI10340" s="25"/>
      <c r="BJ10340" s="25"/>
      <c r="BK10340" s="25"/>
    </row>
    <row r="10341" spans="60:63" ht="14.25" x14ac:dyDescent="0.2">
      <c r="BH10341" s="25"/>
      <c r="BI10341" s="25"/>
      <c r="BJ10341" s="25"/>
      <c r="BK10341" s="25"/>
    </row>
    <row r="10342" spans="60:63" ht="14.25" x14ac:dyDescent="0.2">
      <c r="BH10342" s="25"/>
      <c r="BI10342" s="25"/>
      <c r="BJ10342" s="25"/>
      <c r="BK10342" s="25"/>
    </row>
    <row r="10343" spans="60:63" ht="14.25" x14ac:dyDescent="0.2">
      <c r="BH10343" s="25"/>
      <c r="BI10343" s="25"/>
      <c r="BJ10343" s="25"/>
      <c r="BK10343" s="25"/>
    </row>
    <row r="10344" spans="60:63" ht="14.25" x14ac:dyDescent="0.2">
      <c r="BH10344" s="25"/>
      <c r="BI10344" s="25"/>
      <c r="BJ10344" s="25"/>
      <c r="BK10344" s="25"/>
    </row>
    <row r="10345" spans="60:63" ht="14.25" x14ac:dyDescent="0.2">
      <c r="BH10345" s="25"/>
      <c r="BI10345" s="25"/>
      <c r="BJ10345" s="25"/>
      <c r="BK10345" s="25"/>
    </row>
    <row r="10346" spans="60:63" ht="14.25" x14ac:dyDescent="0.2">
      <c r="BH10346" s="25"/>
      <c r="BI10346" s="25"/>
      <c r="BJ10346" s="25"/>
      <c r="BK10346" s="25"/>
    </row>
    <row r="10347" spans="60:63" ht="14.25" x14ac:dyDescent="0.2">
      <c r="BH10347" s="25"/>
      <c r="BI10347" s="25"/>
      <c r="BJ10347" s="25"/>
      <c r="BK10347" s="25"/>
    </row>
    <row r="10348" spans="60:63" ht="14.25" x14ac:dyDescent="0.2">
      <c r="BH10348" s="25"/>
      <c r="BI10348" s="25"/>
      <c r="BJ10348" s="25"/>
      <c r="BK10348" s="25"/>
    </row>
    <row r="10349" spans="60:63" ht="14.25" x14ac:dyDescent="0.2">
      <c r="BH10349" s="25"/>
      <c r="BI10349" s="25"/>
      <c r="BJ10349" s="25"/>
      <c r="BK10349" s="25"/>
    </row>
    <row r="10350" spans="60:63" ht="14.25" x14ac:dyDescent="0.2">
      <c r="BH10350" s="25"/>
      <c r="BI10350" s="25"/>
      <c r="BJ10350" s="25"/>
      <c r="BK10350" s="25"/>
    </row>
    <row r="10351" spans="60:63" ht="14.25" x14ac:dyDescent="0.2">
      <c r="BH10351" s="25"/>
      <c r="BI10351" s="25"/>
      <c r="BJ10351" s="25"/>
      <c r="BK10351" s="25"/>
    </row>
    <row r="10352" spans="60:63" ht="14.25" x14ac:dyDescent="0.2">
      <c r="BH10352" s="25"/>
      <c r="BI10352" s="25"/>
      <c r="BJ10352" s="25"/>
      <c r="BK10352" s="25"/>
    </row>
    <row r="10353" spans="60:63" ht="14.25" x14ac:dyDescent="0.2">
      <c r="BH10353" s="25"/>
      <c r="BI10353" s="25"/>
      <c r="BJ10353" s="25"/>
      <c r="BK10353" s="25"/>
    </row>
    <row r="10354" spans="60:63" ht="14.25" x14ac:dyDescent="0.2">
      <c r="BH10354" s="25"/>
      <c r="BI10354" s="25"/>
      <c r="BJ10354" s="25"/>
      <c r="BK10354" s="25"/>
    </row>
    <row r="10355" spans="60:63" ht="14.25" x14ac:dyDescent="0.2">
      <c r="BH10355" s="25"/>
      <c r="BI10355" s="25"/>
      <c r="BJ10355" s="25"/>
      <c r="BK10355" s="25"/>
    </row>
    <row r="10356" spans="60:63" ht="14.25" x14ac:dyDescent="0.2">
      <c r="BH10356" s="25"/>
      <c r="BI10356" s="25"/>
      <c r="BJ10356" s="25"/>
      <c r="BK10356" s="25"/>
    </row>
    <row r="10357" spans="60:63" ht="14.25" x14ac:dyDescent="0.2">
      <c r="BH10357" s="25"/>
      <c r="BI10357" s="25"/>
      <c r="BJ10357" s="25"/>
      <c r="BK10357" s="25"/>
    </row>
    <row r="10358" spans="60:63" ht="14.25" x14ac:dyDescent="0.2">
      <c r="BH10358" s="25"/>
      <c r="BI10358" s="25"/>
      <c r="BJ10358" s="25"/>
      <c r="BK10358" s="25"/>
    </row>
    <row r="10359" spans="60:63" ht="14.25" x14ac:dyDescent="0.2">
      <c r="BH10359" s="25"/>
      <c r="BI10359" s="25"/>
      <c r="BJ10359" s="25"/>
      <c r="BK10359" s="25"/>
    </row>
    <row r="10360" spans="60:63" ht="14.25" x14ac:dyDescent="0.2">
      <c r="BH10360" s="25"/>
      <c r="BI10360" s="25"/>
      <c r="BJ10360" s="25"/>
      <c r="BK10360" s="25"/>
    </row>
    <row r="10361" spans="60:63" ht="14.25" x14ac:dyDescent="0.2">
      <c r="BH10361" s="25"/>
      <c r="BI10361" s="25"/>
      <c r="BJ10361" s="25"/>
      <c r="BK10361" s="25"/>
    </row>
    <row r="10362" spans="60:63" ht="14.25" x14ac:dyDescent="0.2">
      <c r="BH10362" s="25"/>
      <c r="BI10362" s="25"/>
      <c r="BJ10362" s="25"/>
      <c r="BK10362" s="25"/>
    </row>
    <row r="10363" spans="60:63" ht="14.25" x14ac:dyDescent="0.2">
      <c r="BH10363" s="25"/>
      <c r="BI10363" s="25"/>
      <c r="BJ10363" s="25"/>
      <c r="BK10363" s="25"/>
    </row>
    <row r="10364" spans="60:63" ht="14.25" x14ac:dyDescent="0.2">
      <c r="BH10364" s="25"/>
      <c r="BI10364" s="25"/>
      <c r="BJ10364" s="25"/>
      <c r="BK10364" s="25"/>
    </row>
    <row r="10365" spans="60:63" ht="14.25" x14ac:dyDescent="0.2">
      <c r="BH10365" s="25"/>
      <c r="BI10365" s="25"/>
      <c r="BJ10365" s="25"/>
      <c r="BK10365" s="25"/>
    </row>
    <row r="10366" spans="60:63" ht="14.25" x14ac:dyDescent="0.2">
      <c r="BH10366" s="25"/>
      <c r="BI10366" s="25"/>
      <c r="BJ10366" s="25"/>
      <c r="BK10366" s="25"/>
    </row>
    <row r="10367" spans="60:63" ht="14.25" x14ac:dyDescent="0.2">
      <c r="BH10367" s="25"/>
      <c r="BI10367" s="25"/>
      <c r="BJ10367" s="25"/>
      <c r="BK10367" s="25"/>
    </row>
    <row r="10368" spans="60:63" ht="14.25" x14ac:dyDescent="0.2">
      <c r="BH10368" s="25"/>
      <c r="BI10368" s="25"/>
      <c r="BJ10368" s="25"/>
      <c r="BK10368" s="25"/>
    </row>
    <row r="10369" spans="60:63" ht="14.25" x14ac:dyDescent="0.2">
      <c r="BH10369" s="25"/>
      <c r="BI10369" s="25"/>
      <c r="BJ10369" s="25"/>
      <c r="BK10369" s="25"/>
    </row>
    <row r="10370" spans="60:63" ht="14.25" x14ac:dyDescent="0.2">
      <c r="BH10370" s="25"/>
      <c r="BI10370" s="25"/>
      <c r="BJ10370" s="25"/>
      <c r="BK10370" s="25"/>
    </row>
    <row r="10371" spans="60:63" ht="14.25" x14ac:dyDescent="0.2">
      <c r="BH10371" s="25"/>
      <c r="BI10371" s="25"/>
      <c r="BJ10371" s="25"/>
      <c r="BK10371" s="25"/>
    </row>
    <row r="10372" spans="60:63" ht="14.25" x14ac:dyDescent="0.2">
      <c r="BH10372" s="25"/>
      <c r="BI10372" s="25"/>
      <c r="BJ10372" s="25"/>
      <c r="BK10372" s="25"/>
    </row>
    <row r="10373" spans="60:63" ht="14.25" x14ac:dyDescent="0.2">
      <c r="BH10373" s="25"/>
      <c r="BI10373" s="25"/>
      <c r="BJ10373" s="25"/>
      <c r="BK10373" s="25"/>
    </row>
    <row r="10374" spans="60:63" ht="14.25" x14ac:dyDescent="0.2">
      <c r="BH10374" s="25"/>
      <c r="BI10374" s="25"/>
      <c r="BJ10374" s="25"/>
      <c r="BK10374" s="25"/>
    </row>
    <row r="10375" spans="60:63" ht="14.25" x14ac:dyDescent="0.2">
      <c r="BH10375" s="25"/>
      <c r="BI10375" s="25"/>
      <c r="BJ10375" s="25"/>
      <c r="BK10375" s="25"/>
    </row>
    <row r="10376" spans="60:63" ht="14.25" x14ac:dyDescent="0.2">
      <c r="BH10376" s="25"/>
      <c r="BI10376" s="25"/>
      <c r="BJ10376" s="25"/>
      <c r="BK10376" s="25"/>
    </row>
    <row r="10377" spans="60:63" ht="14.25" x14ac:dyDescent="0.2">
      <c r="BH10377" s="25"/>
      <c r="BI10377" s="25"/>
      <c r="BJ10377" s="25"/>
      <c r="BK10377" s="25"/>
    </row>
    <row r="10378" spans="60:63" ht="14.25" x14ac:dyDescent="0.2">
      <c r="BH10378" s="25"/>
      <c r="BI10378" s="25"/>
      <c r="BJ10378" s="25"/>
      <c r="BK10378" s="25"/>
    </row>
    <row r="10379" spans="60:63" ht="14.25" x14ac:dyDescent="0.2">
      <c r="BH10379" s="25"/>
      <c r="BI10379" s="25"/>
      <c r="BJ10379" s="25"/>
      <c r="BK10379" s="25"/>
    </row>
    <row r="10380" spans="60:63" ht="14.25" x14ac:dyDescent="0.2">
      <c r="BH10380" s="25"/>
      <c r="BI10380" s="25"/>
      <c r="BJ10380" s="25"/>
      <c r="BK10380" s="25"/>
    </row>
    <row r="10381" spans="60:63" ht="14.25" x14ac:dyDescent="0.2">
      <c r="BH10381" s="25"/>
      <c r="BI10381" s="25"/>
      <c r="BJ10381" s="25"/>
      <c r="BK10381" s="25"/>
    </row>
    <row r="10382" spans="60:63" ht="14.25" x14ac:dyDescent="0.2">
      <c r="BH10382" s="25"/>
      <c r="BI10382" s="25"/>
      <c r="BJ10382" s="25"/>
      <c r="BK10382" s="25"/>
    </row>
    <row r="10383" spans="60:63" ht="14.25" x14ac:dyDescent="0.2">
      <c r="BH10383" s="25"/>
      <c r="BI10383" s="25"/>
      <c r="BJ10383" s="25"/>
      <c r="BK10383" s="25"/>
    </row>
    <row r="10384" spans="60:63" ht="14.25" x14ac:dyDescent="0.2">
      <c r="BH10384" s="25"/>
      <c r="BI10384" s="25"/>
      <c r="BJ10384" s="25"/>
      <c r="BK10384" s="25"/>
    </row>
    <row r="10385" spans="60:63" ht="14.25" x14ac:dyDescent="0.2">
      <c r="BH10385" s="25"/>
      <c r="BI10385" s="25"/>
      <c r="BJ10385" s="25"/>
      <c r="BK10385" s="25"/>
    </row>
    <row r="10386" spans="60:63" ht="14.25" x14ac:dyDescent="0.2">
      <c r="BH10386" s="25"/>
      <c r="BI10386" s="25"/>
      <c r="BJ10386" s="25"/>
      <c r="BK10386" s="25"/>
    </row>
    <row r="10387" spans="60:63" ht="14.25" x14ac:dyDescent="0.2">
      <c r="BH10387" s="25"/>
      <c r="BI10387" s="25"/>
      <c r="BJ10387" s="25"/>
      <c r="BK10387" s="25"/>
    </row>
    <row r="10388" spans="60:63" ht="14.25" x14ac:dyDescent="0.2">
      <c r="BH10388" s="25"/>
      <c r="BI10388" s="25"/>
      <c r="BJ10388" s="25"/>
      <c r="BK10388" s="25"/>
    </row>
    <row r="10389" spans="60:63" ht="14.25" x14ac:dyDescent="0.2">
      <c r="BH10389" s="25"/>
      <c r="BI10389" s="25"/>
      <c r="BJ10389" s="25"/>
      <c r="BK10389" s="25"/>
    </row>
    <row r="10390" spans="60:63" ht="14.25" x14ac:dyDescent="0.2">
      <c r="BH10390" s="25"/>
      <c r="BI10390" s="25"/>
      <c r="BJ10390" s="25"/>
      <c r="BK10390" s="25"/>
    </row>
    <row r="10391" spans="60:63" ht="14.25" x14ac:dyDescent="0.2">
      <c r="BH10391" s="25"/>
      <c r="BI10391" s="25"/>
      <c r="BJ10391" s="25"/>
      <c r="BK10391" s="25"/>
    </row>
    <row r="10392" spans="60:63" ht="14.25" x14ac:dyDescent="0.2">
      <c r="BH10392" s="25"/>
      <c r="BI10392" s="25"/>
      <c r="BJ10392" s="25"/>
      <c r="BK10392" s="25"/>
    </row>
    <row r="10393" spans="60:63" ht="14.25" x14ac:dyDescent="0.2">
      <c r="BH10393" s="25"/>
      <c r="BI10393" s="25"/>
      <c r="BJ10393" s="25"/>
      <c r="BK10393" s="25"/>
    </row>
    <row r="10394" spans="60:63" ht="14.25" x14ac:dyDescent="0.2">
      <c r="BH10394" s="25"/>
      <c r="BI10394" s="25"/>
      <c r="BJ10394" s="25"/>
      <c r="BK10394" s="25"/>
    </row>
    <row r="10395" spans="60:63" ht="14.25" x14ac:dyDescent="0.2">
      <c r="BH10395" s="25"/>
      <c r="BI10395" s="25"/>
      <c r="BJ10395" s="25"/>
      <c r="BK10395" s="25"/>
    </row>
    <row r="10396" spans="60:63" ht="14.25" x14ac:dyDescent="0.2">
      <c r="BH10396" s="25"/>
      <c r="BI10396" s="25"/>
      <c r="BJ10396" s="25"/>
      <c r="BK10396" s="25"/>
    </row>
    <row r="10397" spans="60:63" ht="14.25" x14ac:dyDescent="0.2">
      <c r="BH10397" s="25"/>
      <c r="BI10397" s="25"/>
      <c r="BJ10397" s="25"/>
      <c r="BK10397" s="25"/>
    </row>
    <row r="10398" spans="60:63" ht="14.25" x14ac:dyDescent="0.2">
      <c r="BH10398" s="25"/>
      <c r="BI10398" s="25"/>
      <c r="BJ10398" s="25"/>
      <c r="BK10398" s="25"/>
    </row>
    <row r="10399" spans="60:63" ht="14.25" x14ac:dyDescent="0.2">
      <c r="BH10399" s="25"/>
      <c r="BI10399" s="25"/>
      <c r="BJ10399" s="25"/>
      <c r="BK10399" s="25"/>
    </row>
    <row r="10400" spans="60:63" ht="14.25" x14ac:dyDescent="0.2">
      <c r="BH10400" s="25"/>
      <c r="BI10400" s="25"/>
      <c r="BJ10400" s="25"/>
      <c r="BK10400" s="25"/>
    </row>
    <row r="10401" spans="60:63" ht="14.25" x14ac:dyDescent="0.2">
      <c r="BH10401" s="25"/>
      <c r="BI10401" s="25"/>
      <c r="BJ10401" s="25"/>
      <c r="BK10401" s="25"/>
    </row>
    <row r="10402" spans="60:63" ht="14.25" x14ac:dyDescent="0.2">
      <c r="BH10402" s="25"/>
      <c r="BI10402" s="25"/>
      <c r="BJ10402" s="25"/>
      <c r="BK10402" s="25"/>
    </row>
    <row r="10403" spans="60:63" ht="14.25" x14ac:dyDescent="0.2">
      <c r="BH10403" s="25"/>
      <c r="BI10403" s="25"/>
      <c r="BJ10403" s="25"/>
      <c r="BK10403" s="25"/>
    </row>
    <row r="10404" spans="60:63" ht="14.25" x14ac:dyDescent="0.2">
      <c r="BH10404" s="25"/>
      <c r="BI10404" s="25"/>
      <c r="BJ10404" s="25"/>
      <c r="BK10404" s="25"/>
    </row>
    <row r="10405" spans="60:63" ht="14.25" x14ac:dyDescent="0.2">
      <c r="BH10405" s="25"/>
      <c r="BI10405" s="25"/>
      <c r="BJ10405" s="25"/>
      <c r="BK10405" s="25"/>
    </row>
    <row r="10406" spans="60:63" ht="14.25" x14ac:dyDescent="0.2">
      <c r="BH10406" s="25"/>
      <c r="BI10406" s="25"/>
      <c r="BJ10406" s="25"/>
      <c r="BK10406" s="25"/>
    </row>
    <row r="10407" spans="60:63" ht="14.25" x14ac:dyDescent="0.2">
      <c r="BH10407" s="25"/>
      <c r="BI10407" s="25"/>
      <c r="BJ10407" s="25"/>
      <c r="BK10407" s="25"/>
    </row>
    <row r="10408" spans="60:63" ht="14.25" x14ac:dyDescent="0.2">
      <c r="BH10408" s="25"/>
      <c r="BI10408" s="25"/>
      <c r="BJ10408" s="25"/>
      <c r="BK10408" s="25"/>
    </row>
    <row r="10409" spans="60:63" ht="14.25" x14ac:dyDescent="0.2">
      <c r="BH10409" s="25"/>
      <c r="BI10409" s="25"/>
      <c r="BJ10409" s="25"/>
      <c r="BK10409" s="25"/>
    </row>
    <row r="10410" spans="60:63" ht="14.25" x14ac:dyDescent="0.2">
      <c r="BH10410" s="25"/>
      <c r="BI10410" s="25"/>
      <c r="BJ10410" s="25"/>
      <c r="BK10410" s="25"/>
    </row>
    <row r="10411" spans="60:63" ht="14.25" x14ac:dyDescent="0.2">
      <c r="BH10411" s="25"/>
      <c r="BI10411" s="25"/>
      <c r="BJ10411" s="25"/>
      <c r="BK10411" s="25"/>
    </row>
    <row r="10412" spans="60:63" ht="14.25" x14ac:dyDescent="0.2">
      <c r="BH10412" s="25"/>
      <c r="BI10412" s="25"/>
      <c r="BJ10412" s="25"/>
      <c r="BK10412" s="25"/>
    </row>
    <row r="10413" spans="60:63" ht="14.25" x14ac:dyDescent="0.2">
      <c r="BH10413" s="25"/>
      <c r="BI10413" s="25"/>
      <c r="BJ10413" s="25"/>
      <c r="BK10413" s="25"/>
    </row>
    <row r="10414" spans="60:63" ht="14.25" x14ac:dyDescent="0.2">
      <c r="BH10414" s="25"/>
      <c r="BI10414" s="25"/>
      <c r="BJ10414" s="25"/>
      <c r="BK10414" s="25"/>
    </row>
    <row r="10415" spans="60:63" ht="14.25" x14ac:dyDescent="0.2">
      <c r="BH10415" s="25"/>
      <c r="BI10415" s="25"/>
      <c r="BJ10415" s="25"/>
      <c r="BK10415" s="25"/>
    </row>
    <row r="10416" spans="60:63" ht="14.25" x14ac:dyDescent="0.2">
      <c r="BH10416" s="25"/>
      <c r="BI10416" s="25"/>
      <c r="BJ10416" s="25"/>
      <c r="BK10416" s="25"/>
    </row>
    <row r="10417" spans="60:63" ht="14.25" x14ac:dyDescent="0.2">
      <c r="BH10417" s="25"/>
      <c r="BI10417" s="25"/>
      <c r="BJ10417" s="25"/>
      <c r="BK10417" s="25"/>
    </row>
    <row r="10418" spans="60:63" ht="14.25" x14ac:dyDescent="0.2">
      <c r="BH10418" s="25"/>
      <c r="BI10418" s="25"/>
      <c r="BJ10418" s="25"/>
      <c r="BK10418" s="25"/>
    </row>
    <row r="10419" spans="60:63" ht="14.25" x14ac:dyDescent="0.2">
      <c r="BH10419" s="25"/>
      <c r="BI10419" s="25"/>
      <c r="BJ10419" s="25"/>
      <c r="BK10419" s="25"/>
    </row>
    <row r="10420" spans="60:63" ht="14.25" x14ac:dyDescent="0.2">
      <c r="BH10420" s="25"/>
      <c r="BI10420" s="25"/>
      <c r="BJ10420" s="25"/>
      <c r="BK10420" s="25"/>
    </row>
    <row r="10421" spans="60:63" ht="14.25" x14ac:dyDescent="0.2">
      <c r="BH10421" s="25"/>
      <c r="BI10421" s="25"/>
      <c r="BJ10421" s="25"/>
      <c r="BK10421" s="25"/>
    </row>
    <row r="10422" spans="60:63" ht="14.25" x14ac:dyDescent="0.2">
      <c r="BH10422" s="25"/>
      <c r="BI10422" s="25"/>
      <c r="BJ10422" s="25"/>
      <c r="BK10422" s="25"/>
    </row>
    <row r="10423" spans="60:63" ht="14.25" x14ac:dyDescent="0.2">
      <c r="BH10423" s="25"/>
      <c r="BI10423" s="25"/>
      <c r="BJ10423" s="25"/>
      <c r="BK10423" s="25"/>
    </row>
    <row r="10424" spans="60:63" ht="14.25" x14ac:dyDescent="0.2">
      <c r="BH10424" s="25"/>
      <c r="BI10424" s="25"/>
      <c r="BJ10424" s="25"/>
      <c r="BK10424" s="25"/>
    </row>
    <row r="10425" spans="60:63" ht="14.25" x14ac:dyDescent="0.2">
      <c r="BH10425" s="25"/>
      <c r="BI10425" s="25"/>
      <c r="BJ10425" s="25"/>
      <c r="BK10425" s="25"/>
    </row>
    <row r="10426" spans="60:63" ht="14.25" x14ac:dyDescent="0.2">
      <c r="BH10426" s="25"/>
      <c r="BI10426" s="25"/>
      <c r="BJ10426" s="25"/>
      <c r="BK10426" s="25"/>
    </row>
    <row r="10427" spans="60:63" ht="14.25" x14ac:dyDescent="0.2">
      <c r="BH10427" s="25"/>
      <c r="BI10427" s="25"/>
      <c r="BJ10427" s="25"/>
      <c r="BK10427" s="25"/>
    </row>
    <row r="10428" spans="60:63" ht="14.25" x14ac:dyDescent="0.2">
      <c r="BH10428" s="25"/>
      <c r="BI10428" s="25"/>
      <c r="BJ10428" s="25"/>
      <c r="BK10428" s="25"/>
    </row>
    <row r="10429" spans="60:63" ht="14.25" x14ac:dyDescent="0.2">
      <c r="BH10429" s="25"/>
      <c r="BI10429" s="25"/>
      <c r="BJ10429" s="25"/>
      <c r="BK10429" s="25"/>
    </row>
    <row r="10430" spans="60:63" ht="14.25" x14ac:dyDescent="0.2">
      <c r="BH10430" s="25"/>
      <c r="BI10430" s="25"/>
      <c r="BJ10430" s="25"/>
      <c r="BK10430" s="25"/>
    </row>
    <row r="10431" spans="60:63" ht="14.25" x14ac:dyDescent="0.2">
      <c r="BH10431" s="25"/>
      <c r="BI10431" s="25"/>
      <c r="BJ10431" s="25"/>
      <c r="BK10431" s="25"/>
    </row>
    <row r="10432" spans="60:63" ht="14.25" x14ac:dyDescent="0.2">
      <c r="BH10432" s="25"/>
      <c r="BI10432" s="25"/>
      <c r="BJ10432" s="25"/>
      <c r="BK10432" s="25"/>
    </row>
    <row r="10433" spans="60:63" ht="14.25" x14ac:dyDescent="0.2">
      <c r="BH10433" s="25"/>
      <c r="BI10433" s="25"/>
      <c r="BJ10433" s="25"/>
      <c r="BK10433" s="25"/>
    </row>
    <row r="10434" spans="60:63" ht="14.25" x14ac:dyDescent="0.2">
      <c r="BH10434" s="25"/>
      <c r="BI10434" s="25"/>
      <c r="BJ10434" s="25"/>
      <c r="BK10434" s="25"/>
    </row>
    <row r="10435" spans="60:63" ht="14.25" x14ac:dyDescent="0.2">
      <c r="BH10435" s="25"/>
      <c r="BI10435" s="25"/>
      <c r="BJ10435" s="25"/>
      <c r="BK10435" s="25"/>
    </row>
    <row r="10436" spans="60:63" ht="14.25" x14ac:dyDescent="0.2">
      <c r="BH10436" s="25"/>
      <c r="BI10436" s="25"/>
      <c r="BJ10436" s="25"/>
      <c r="BK10436" s="25"/>
    </row>
    <row r="10437" spans="60:63" ht="14.25" x14ac:dyDescent="0.2">
      <c r="BH10437" s="25"/>
      <c r="BI10437" s="25"/>
      <c r="BJ10437" s="25"/>
      <c r="BK10437" s="25"/>
    </row>
    <row r="10438" spans="60:63" ht="14.25" x14ac:dyDescent="0.2">
      <c r="BH10438" s="25"/>
      <c r="BI10438" s="25"/>
      <c r="BJ10438" s="25"/>
      <c r="BK10438" s="25"/>
    </row>
    <row r="10439" spans="60:63" ht="14.25" x14ac:dyDescent="0.2">
      <c r="BH10439" s="25"/>
      <c r="BI10439" s="25"/>
      <c r="BJ10439" s="25"/>
      <c r="BK10439" s="25"/>
    </row>
    <row r="10440" spans="60:63" ht="14.25" x14ac:dyDescent="0.2">
      <c r="BH10440" s="25"/>
      <c r="BI10440" s="25"/>
      <c r="BJ10440" s="25"/>
      <c r="BK10440" s="25"/>
    </row>
    <row r="10441" spans="60:63" ht="14.25" x14ac:dyDescent="0.2">
      <c r="BH10441" s="25"/>
      <c r="BI10441" s="25"/>
      <c r="BJ10441" s="25"/>
      <c r="BK10441" s="25"/>
    </row>
    <row r="10442" spans="60:63" ht="14.25" x14ac:dyDescent="0.2">
      <c r="BH10442" s="25"/>
      <c r="BI10442" s="25"/>
      <c r="BJ10442" s="25"/>
      <c r="BK10442" s="25"/>
    </row>
    <row r="10443" spans="60:63" ht="14.25" x14ac:dyDescent="0.2">
      <c r="BH10443" s="25"/>
      <c r="BI10443" s="25"/>
      <c r="BJ10443" s="25"/>
      <c r="BK10443" s="25"/>
    </row>
    <row r="10444" spans="60:63" ht="14.25" x14ac:dyDescent="0.2">
      <c r="BH10444" s="25"/>
      <c r="BI10444" s="25"/>
      <c r="BJ10444" s="25"/>
      <c r="BK10444" s="25"/>
    </row>
    <row r="10445" spans="60:63" ht="14.25" x14ac:dyDescent="0.2">
      <c r="BH10445" s="25"/>
      <c r="BI10445" s="25"/>
      <c r="BJ10445" s="25"/>
      <c r="BK10445" s="25"/>
    </row>
    <row r="10446" spans="60:63" ht="14.25" x14ac:dyDescent="0.2">
      <c r="BH10446" s="25"/>
      <c r="BI10446" s="25"/>
      <c r="BJ10446" s="25"/>
      <c r="BK10446" s="25"/>
    </row>
    <row r="10447" spans="60:63" ht="14.25" x14ac:dyDescent="0.2">
      <c r="BH10447" s="25"/>
      <c r="BI10447" s="25"/>
      <c r="BJ10447" s="25"/>
      <c r="BK10447" s="25"/>
    </row>
    <row r="10448" spans="60:63" ht="14.25" x14ac:dyDescent="0.2">
      <c r="BH10448" s="25"/>
      <c r="BI10448" s="25"/>
      <c r="BJ10448" s="25"/>
      <c r="BK10448" s="25"/>
    </row>
    <row r="10449" spans="60:63" ht="14.25" x14ac:dyDescent="0.2">
      <c r="BH10449" s="25"/>
      <c r="BI10449" s="25"/>
      <c r="BJ10449" s="25"/>
      <c r="BK10449" s="25"/>
    </row>
    <row r="10450" spans="60:63" ht="14.25" x14ac:dyDescent="0.2">
      <c r="BH10450" s="25"/>
      <c r="BI10450" s="25"/>
      <c r="BJ10450" s="25"/>
      <c r="BK10450" s="25"/>
    </row>
    <row r="10451" spans="60:63" ht="14.25" x14ac:dyDescent="0.2">
      <c r="BH10451" s="25"/>
      <c r="BI10451" s="25"/>
      <c r="BJ10451" s="25"/>
      <c r="BK10451" s="25"/>
    </row>
    <row r="10452" spans="60:63" ht="14.25" x14ac:dyDescent="0.2">
      <c r="BH10452" s="25"/>
      <c r="BI10452" s="25"/>
      <c r="BJ10452" s="25"/>
      <c r="BK10452" s="25"/>
    </row>
    <row r="10453" spans="60:63" ht="14.25" x14ac:dyDescent="0.2">
      <c r="BH10453" s="25"/>
      <c r="BI10453" s="25"/>
      <c r="BJ10453" s="25"/>
      <c r="BK10453" s="25"/>
    </row>
    <row r="10454" spans="60:63" ht="14.25" x14ac:dyDescent="0.2">
      <c r="BH10454" s="25"/>
      <c r="BI10454" s="25"/>
      <c r="BJ10454" s="25"/>
      <c r="BK10454" s="25"/>
    </row>
    <row r="10455" spans="60:63" ht="14.25" x14ac:dyDescent="0.2">
      <c r="BH10455" s="25"/>
      <c r="BI10455" s="25"/>
      <c r="BJ10455" s="25"/>
      <c r="BK10455" s="25"/>
    </row>
    <row r="10456" spans="60:63" ht="14.25" x14ac:dyDescent="0.2">
      <c r="BH10456" s="25"/>
      <c r="BI10456" s="25"/>
      <c r="BJ10456" s="25"/>
      <c r="BK10456" s="25"/>
    </row>
    <row r="10457" spans="60:63" ht="14.25" x14ac:dyDescent="0.2">
      <c r="BH10457" s="25"/>
      <c r="BI10457" s="25"/>
      <c r="BJ10457" s="25"/>
      <c r="BK10457" s="25"/>
    </row>
    <row r="10458" spans="60:63" ht="14.25" x14ac:dyDescent="0.2">
      <c r="BH10458" s="25"/>
      <c r="BI10458" s="25"/>
      <c r="BJ10458" s="25"/>
      <c r="BK10458" s="25"/>
    </row>
    <row r="10459" spans="60:63" ht="14.25" x14ac:dyDescent="0.2">
      <c r="BH10459" s="25"/>
      <c r="BI10459" s="25"/>
      <c r="BJ10459" s="25"/>
      <c r="BK10459" s="25"/>
    </row>
    <row r="10460" spans="60:63" ht="14.25" x14ac:dyDescent="0.2">
      <c r="BH10460" s="25"/>
      <c r="BI10460" s="25"/>
      <c r="BJ10460" s="25"/>
      <c r="BK10460" s="25"/>
    </row>
    <row r="10461" spans="60:63" ht="14.25" x14ac:dyDescent="0.2">
      <c r="BH10461" s="25"/>
      <c r="BI10461" s="25"/>
      <c r="BJ10461" s="25"/>
      <c r="BK10461" s="25"/>
    </row>
    <row r="10462" spans="60:63" ht="14.25" x14ac:dyDescent="0.2">
      <c r="BH10462" s="25"/>
      <c r="BI10462" s="25"/>
      <c r="BJ10462" s="25"/>
      <c r="BK10462" s="25"/>
    </row>
    <row r="10463" spans="60:63" ht="14.25" x14ac:dyDescent="0.2">
      <c r="BH10463" s="25"/>
      <c r="BI10463" s="25"/>
      <c r="BJ10463" s="25"/>
      <c r="BK10463" s="25"/>
    </row>
    <row r="10464" spans="60:63" ht="14.25" x14ac:dyDescent="0.2">
      <c r="BH10464" s="25"/>
      <c r="BI10464" s="25"/>
      <c r="BJ10464" s="25"/>
      <c r="BK10464" s="25"/>
    </row>
    <row r="10465" spans="60:63" ht="14.25" x14ac:dyDescent="0.2">
      <c r="BH10465" s="25"/>
      <c r="BI10465" s="25"/>
      <c r="BJ10465" s="25"/>
      <c r="BK10465" s="25"/>
    </row>
    <row r="10466" spans="60:63" ht="14.25" x14ac:dyDescent="0.2">
      <c r="BH10466" s="25"/>
      <c r="BI10466" s="25"/>
      <c r="BJ10466" s="25"/>
      <c r="BK10466" s="25"/>
    </row>
    <row r="10467" spans="60:63" ht="14.25" x14ac:dyDescent="0.2">
      <c r="BH10467" s="25"/>
      <c r="BI10467" s="25"/>
      <c r="BJ10467" s="25"/>
      <c r="BK10467" s="25"/>
    </row>
    <row r="10468" spans="60:63" ht="14.25" x14ac:dyDescent="0.2">
      <c r="BH10468" s="25"/>
      <c r="BI10468" s="25"/>
      <c r="BJ10468" s="25"/>
      <c r="BK10468" s="25"/>
    </row>
    <row r="10469" spans="60:63" ht="14.25" x14ac:dyDescent="0.2">
      <c r="BH10469" s="25"/>
      <c r="BI10469" s="25"/>
      <c r="BJ10469" s="25"/>
      <c r="BK10469" s="25"/>
    </row>
    <row r="10470" spans="60:63" ht="14.25" x14ac:dyDescent="0.2">
      <c r="BH10470" s="25"/>
      <c r="BI10470" s="25"/>
      <c r="BJ10470" s="25"/>
      <c r="BK10470" s="25"/>
    </row>
    <row r="10471" spans="60:63" ht="14.25" x14ac:dyDescent="0.2">
      <c r="BH10471" s="25"/>
      <c r="BI10471" s="25"/>
      <c r="BJ10471" s="25"/>
      <c r="BK10471" s="25"/>
    </row>
    <row r="10472" spans="60:63" ht="14.25" x14ac:dyDescent="0.2">
      <c r="BH10472" s="25"/>
      <c r="BI10472" s="25"/>
      <c r="BJ10472" s="25"/>
      <c r="BK10472" s="25"/>
    </row>
    <row r="10473" spans="60:63" ht="14.25" x14ac:dyDescent="0.2">
      <c r="BH10473" s="25"/>
      <c r="BI10473" s="25"/>
      <c r="BJ10473" s="25"/>
      <c r="BK10473" s="25"/>
    </row>
    <row r="10474" spans="60:63" ht="14.25" x14ac:dyDescent="0.2">
      <c r="BH10474" s="25"/>
      <c r="BI10474" s="25"/>
      <c r="BJ10474" s="25"/>
      <c r="BK10474" s="25"/>
    </row>
    <row r="10475" spans="60:63" ht="14.25" x14ac:dyDescent="0.2">
      <c r="BH10475" s="25"/>
      <c r="BI10475" s="25"/>
      <c r="BJ10475" s="25"/>
      <c r="BK10475" s="25"/>
    </row>
    <row r="10476" spans="60:63" ht="14.25" x14ac:dyDescent="0.2">
      <c r="BH10476" s="25"/>
      <c r="BI10476" s="25"/>
      <c r="BJ10476" s="25"/>
      <c r="BK10476" s="25"/>
    </row>
    <row r="10477" spans="60:63" ht="14.25" x14ac:dyDescent="0.2">
      <c r="BH10477" s="25"/>
      <c r="BI10477" s="25"/>
      <c r="BJ10477" s="25"/>
      <c r="BK10477" s="25"/>
    </row>
    <row r="10478" spans="60:63" ht="14.25" x14ac:dyDescent="0.2">
      <c r="BH10478" s="25"/>
      <c r="BI10478" s="25"/>
      <c r="BJ10478" s="25"/>
      <c r="BK10478" s="25"/>
    </row>
    <row r="10479" spans="60:63" ht="14.25" x14ac:dyDescent="0.2">
      <c r="BH10479" s="25"/>
      <c r="BI10479" s="25"/>
      <c r="BJ10479" s="25"/>
      <c r="BK10479" s="25"/>
    </row>
    <row r="10480" spans="60:63" ht="14.25" x14ac:dyDescent="0.2">
      <c r="BH10480" s="25"/>
      <c r="BI10480" s="25"/>
      <c r="BJ10480" s="25"/>
      <c r="BK10480" s="25"/>
    </row>
    <row r="10481" spans="60:63" ht="14.25" x14ac:dyDescent="0.2">
      <c r="BH10481" s="25"/>
      <c r="BI10481" s="25"/>
      <c r="BJ10481" s="25"/>
      <c r="BK10481" s="25"/>
    </row>
    <row r="10482" spans="60:63" ht="14.25" x14ac:dyDescent="0.2">
      <c r="BH10482" s="25"/>
      <c r="BI10482" s="25"/>
      <c r="BJ10482" s="25"/>
      <c r="BK10482" s="25"/>
    </row>
    <row r="10483" spans="60:63" ht="14.25" x14ac:dyDescent="0.2">
      <c r="BH10483" s="25"/>
      <c r="BI10483" s="25"/>
      <c r="BJ10483" s="25"/>
      <c r="BK10483" s="25"/>
    </row>
    <row r="10484" spans="60:63" ht="14.25" x14ac:dyDescent="0.2">
      <c r="BH10484" s="25"/>
      <c r="BI10484" s="25"/>
      <c r="BJ10484" s="25"/>
      <c r="BK10484" s="25"/>
    </row>
    <row r="10485" spans="60:63" ht="14.25" x14ac:dyDescent="0.2">
      <c r="BH10485" s="25"/>
      <c r="BI10485" s="25"/>
      <c r="BJ10485" s="25"/>
      <c r="BK10485" s="25"/>
    </row>
    <row r="10486" spans="60:63" ht="14.25" x14ac:dyDescent="0.2">
      <c r="BH10486" s="25"/>
      <c r="BI10486" s="25"/>
      <c r="BJ10486" s="25"/>
      <c r="BK10486" s="25"/>
    </row>
    <row r="10487" spans="60:63" ht="14.25" x14ac:dyDescent="0.2">
      <c r="BH10487" s="25"/>
      <c r="BI10487" s="25"/>
      <c r="BJ10487" s="25"/>
      <c r="BK10487" s="25"/>
    </row>
    <row r="10488" spans="60:63" ht="14.25" x14ac:dyDescent="0.2">
      <c r="BH10488" s="25"/>
      <c r="BI10488" s="25"/>
      <c r="BJ10488" s="25"/>
      <c r="BK10488" s="25"/>
    </row>
    <row r="10489" spans="60:63" ht="14.25" x14ac:dyDescent="0.2">
      <c r="BH10489" s="25"/>
      <c r="BI10489" s="25"/>
      <c r="BJ10489" s="25"/>
      <c r="BK10489" s="25"/>
    </row>
    <row r="10490" spans="60:63" ht="14.25" x14ac:dyDescent="0.2">
      <c r="BH10490" s="25"/>
      <c r="BI10490" s="25"/>
      <c r="BJ10490" s="25"/>
      <c r="BK10490" s="25"/>
    </row>
    <row r="10491" spans="60:63" ht="14.25" x14ac:dyDescent="0.2">
      <c r="BH10491" s="25"/>
      <c r="BI10491" s="25"/>
      <c r="BJ10491" s="25"/>
      <c r="BK10491" s="25"/>
    </row>
    <row r="10492" spans="60:63" ht="14.25" x14ac:dyDescent="0.2">
      <c r="BH10492" s="25"/>
      <c r="BI10492" s="25"/>
      <c r="BJ10492" s="25"/>
      <c r="BK10492" s="25"/>
    </row>
    <row r="10493" spans="60:63" ht="14.25" x14ac:dyDescent="0.2">
      <c r="BH10493" s="25"/>
      <c r="BI10493" s="25"/>
      <c r="BJ10493" s="25"/>
      <c r="BK10493" s="25"/>
    </row>
    <row r="10494" spans="60:63" ht="14.25" x14ac:dyDescent="0.2">
      <c r="BH10494" s="25"/>
      <c r="BI10494" s="25"/>
      <c r="BJ10494" s="25"/>
      <c r="BK10494" s="25"/>
    </row>
    <row r="10495" spans="60:63" ht="14.25" x14ac:dyDescent="0.2">
      <c r="BH10495" s="25"/>
      <c r="BI10495" s="25"/>
      <c r="BJ10495" s="25"/>
      <c r="BK10495" s="25"/>
    </row>
    <row r="10496" spans="60:63" ht="14.25" x14ac:dyDescent="0.2">
      <c r="BH10496" s="25"/>
      <c r="BI10496" s="25"/>
      <c r="BJ10496" s="25"/>
      <c r="BK10496" s="25"/>
    </row>
    <row r="10497" spans="60:63" ht="14.25" x14ac:dyDescent="0.2">
      <c r="BH10497" s="25"/>
      <c r="BI10497" s="25"/>
      <c r="BJ10497" s="25"/>
      <c r="BK10497" s="25"/>
    </row>
    <row r="10498" spans="60:63" ht="14.25" x14ac:dyDescent="0.2">
      <c r="BH10498" s="25"/>
      <c r="BI10498" s="25"/>
      <c r="BJ10498" s="25"/>
      <c r="BK10498" s="25"/>
    </row>
    <row r="10499" spans="60:63" ht="14.25" x14ac:dyDescent="0.2">
      <c r="BH10499" s="25"/>
      <c r="BI10499" s="25"/>
      <c r="BJ10499" s="25"/>
      <c r="BK10499" s="25"/>
    </row>
    <row r="10500" spans="60:63" ht="14.25" x14ac:dyDescent="0.2">
      <c r="BH10500" s="25"/>
      <c r="BI10500" s="25"/>
      <c r="BJ10500" s="25"/>
      <c r="BK10500" s="25"/>
    </row>
    <row r="10501" spans="60:63" ht="14.25" x14ac:dyDescent="0.2">
      <c r="BH10501" s="25"/>
      <c r="BI10501" s="25"/>
      <c r="BJ10501" s="25"/>
      <c r="BK10501" s="25"/>
    </row>
    <row r="10502" spans="60:63" ht="14.25" x14ac:dyDescent="0.2">
      <c r="BH10502" s="25"/>
      <c r="BI10502" s="25"/>
      <c r="BJ10502" s="25"/>
      <c r="BK10502" s="25"/>
    </row>
    <row r="10503" spans="60:63" ht="14.25" x14ac:dyDescent="0.2">
      <c r="BH10503" s="25"/>
      <c r="BI10503" s="25"/>
      <c r="BJ10503" s="25"/>
      <c r="BK10503" s="25"/>
    </row>
    <row r="10504" spans="60:63" ht="14.25" x14ac:dyDescent="0.2">
      <c r="BH10504" s="25"/>
      <c r="BI10504" s="25"/>
      <c r="BJ10504" s="25"/>
      <c r="BK10504" s="25"/>
    </row>
    <row r="10505" spans="60:63" ht="14.25" x14ac:dyDescent="0.2">
      <c r="BH10505" s="25"/>
      <c r="BI10505" s="25"/>
      <c r="BJ10505" s="25"/>
      <c r="BK10505" s="25"/>
    </row>
    <row r="10506" spans="60:63" ht="14.25" x14ac:dyDescent="0.2">
      <c r="BH10506" s="25"/>
      <c r="BI10506" s="25"/>
      <c r="BJ10506" s="25"/>
      <c r="BK10506" s="25"/>
    </row>
    <row r="10507" spans="60:63" ht="14.25" x14ac:dyDescent="0.2">
      <c r="BH10507" s="25"/>
      <c r="BI10507" s="25"/>
      <c r="BJ10507" s="25"/>
      <c r="BK10507" s="25"/>
    </row>
    <row r="10508" spans="60:63" ht="14.25" x14ac:dyDescent="0.2">
      <c r="BH10508" s="25"/>
      <c r="BI10508" s="25"/>
      <c r="BJ10508" s="25"/>
      <c r="BK10508" s="25"/>
    </row>
    <row r="10509" spans="60:63" ht="14.25" x14ac:dyDescent="0.2">
      <c r="BH10509" s="25"/>
      <c r="BI10509" s="25"/>
      <c r="BJ10509" s="25"/>
      <c r="BK10509" s="25"/>
    </row>
    <row r="10510" spans="60:63" ht="14.25" x14ac:dyDescent="0.2">
      <c r="BH10510" s="25"/>
      <c r="BI10510" s="25"/>
      <c r="BJ10510" s="25"/>
      <c r="BK10510" s="25"/>
    </row>
    <row r="10511" spans="60:63" ht="14.25" x14ac:dyDescent="0.2">
      <c r="BH10511" s="25"/>
      <c r="BI10511" s="25"/>
      <c r="BJ10511" s="25"/>
      <c r="BK10511" s="25"/>
    </row>
    <row r="10512" spans="60:63" ht="14.25" x14ac:dyDescent="0.2">
      <c r="BH10512" s="25"/>
      <c r="BI10512" s="25"/>
      <c r="BJ10512" s="25"/>
      <c r="BK10512" s="25"/>
    </row>
    <row r="10513" spans="60:63" ht="14.25" x14ac:dyDescent="0.2">
      <c r="BH10513" s="25"/>
      <c r="BI10513" s="25"/>
      <c r="BJ10513" s="25"/>
      <c r="BK10513" s="25"/>
    </row>
    <row r="10514" spans="60:63" ht="14.25" x14ac:dyDescent="0.2">
      <c r="BH10514" s="25"/>
      <c r="BI10514" s="25"/>
      <c r="BJ10514" s="25"/>
      <c r="BK10514" s="25"/>
    </row>
    <row r="10515" spans="60:63" ht="14.25" x14ac:dyDescent="0.2">
      <c r="BH10515" s="25"/>
      <c r="BI10515" s="25"/>
      <c r="BJ10515" s="25"/>
      <c r="BK10515" s="25"/>
    </row>
    <row r="10516" spans="60:63" ht="14.25" x14ac:dyDescent="0.2">
      <c r="BH10516" s="25"/>
      <c r="BI10516" s="25"/>
      <c r="BJ10516" s="25"/>
      <c r="BK10516" s="25"/>
    </row>
    <row r="10517" spans="60:63" ht="14.25" x14ac:dyDescent="0.2">
      <c r="BH10517" s="25"/>
      <c r="BI10517" s="25"/>
      <c r="BJ10517" s="25"/>
      <c r="BK10517" s="25"/>
    </row>
    <row r="10518" spans="60:63" ht="14.25" x14ac:dyDescent="0.2">
      <c r="BH10518" s="25"/>
      <c r="BI10518" s="25"/>
      <c r="BJ10518" s="25"/>
      <c r="BK10518" s="25"/>
    </row>
    <row r="10519" spans="60:63" ht="14.25" x14ac:dyDescent="0.2">
      <c r="BH10519" s="25"/>
      <c r="BI10519" s="25"/>
      <c r="BJ10519" s="25"/>
      <c r="BK10519" s="25"/>
    </row>
    <row r="10520" spans="60:63" ht="14.25" x14ac:dyDescent="0.2">
      <c r="BH10520" s="25"/>
      <c r="BI10520" s="25"/>
      <c r="BJ10520" s="25"/>
      <c r="BK10520" s="25"/>
    </row>
    <row r="10521" spans="60:63" ht="14.25" x14ac:dyDescent="0.2">
      <c r="BH10521" s="25"/>
      <c r="BI10521" s="25"/>
      <c r="BJ10521" s="25"/>
      <c r="BK10521" s="25"/>
    </row>
    <row r="10522" spans="60:63" ht="14.25" x14ac:dyDescent="0.2">
      <c r="BH10522" s="25"/>
      <c r="BI10522" s="25"/>
      <c r="BJ10522" s="25"/>
      <c r="BK10522" s="25"/>
    </row>
    <row r="10523" spans="60:63" ht="14.25" x14ac:dyDescent="0.2">
      <c r="BH10523" s="25"/>
      <c r="BI10523" s="25"/>
      <c r="BJ10523" s="25"/>
      <c r="BK10523" s="25"/>
    </row>
    <row r="10524" spans="60:63" ht="14.25" x14ac:dyDescent="0.2">
      <c r="BH10524" s="25"/>
      <c r="BI10524" s="25"/>
      <c r="BJ10524" s="25"/>
      <c r="BK10524" s="25"/>
    </row>
    <row r="10525" spans="60:63" ht="14.25" x14ac:dyDescent="0.2">
      <c r="BH10525" s="25"/>
      <c r="BI10525" s="25"/>
      <c r="BJ10525" s="25"/>
      <c r="BK10525" s="25"/>
    </row>
    <row r="10526" spans="60:63" ht="14.25" x14ac:dyDescent="0.2">
      <c r="BH10526" s="25"/>
      <c r="BI10526" s="25"/>
      <c r="BJ10526" s="25"/>
      <c r="BK10526" s="25"/>
    </row>
    <row r="10527" spans="60:63" ht="14.25" x14ac:dyDescent="0.2">
      <c r="BH10527" s="25"/>
      <c r="BI10527" s="25"/>
      <c r="BJ10527" s="25"/>
      <c r="BK10527" s="25"/>
    </row>
    <row r="10528" spans="60:63" ht="14.25" x14ac:dyDescent="0.2">
      <c r="BH10528" s="25"/>
      <c r="BI10528" s="25"/>
      <c r="BJ10528" s="25"/>
      <c r="BK10528" s="25"/>
    </row>
    <row r="10529" spans="60:63" ht="14.25" x14ac:dyDescent="0.2">
      <c r="BH10529" s="25"/>
      <c r="BI10529" s="25"/>
      <c r="BJ10529" s="25"/>
      <c r="BK10529" s="25"/>
    </row>
    <row r="10530" spans="60:63" ht="14.25" x14ac:dyDescent="0.2">
      <c r="BH10530" s="25"/>
      <c r="BI10530" s="25"/>
      <c r="BJ10530" s="25"/>
      <c r="BK10530" s="25"/>
    </row>
    <row r="10531" spans="60:63" ht="14.25" x14ac:dyDescent="0.2">
      <c r="BH10531" s="25"/>
      <c r="BI10531" s="25"/>
      <c r="BJ10531" s="25"/>
      <c r="BK10531" s="25"/>
    </row>
    <row r="10532" spans="60:63" ht="14.25" x14ac:dyDescent="0.2">
      <c r="BH10532" s="25"/>
      <c r="BI10532" s="25"/>
      <c r="BJ10532" s="25"/>
      <c r="BK10532" s="25"/>
    </row>
    <row r="10533" spans="60:63" ht="14.25" x14ac:dyDescent="0.2">
      <c r="BH10533" s="25"/>
      <c r="BI10533" s="25"/>
      <c r="BJ10533" s="25"/>
      <c r="BK10533" s="25"/>
    </row>
    <row r="10534" spans="60:63" ht="14.25" x14ac:dyDescent="0.2">
      <c r="BH10534" s="25"/>
      <c r="BI10534" s="25"/>
      <c r="BJ10534" s="25"/>
      <c r="BK10534" s="25"/>
    </row>
    <row r="10535" spans="60:63" ht="14.25" x14ac:dyDescent="0.2">
      <c r="BH10535" s="25"/>
      <c r="BI10535" s="25"/>
      <c r="BJ10535" s="25"/>
      <c r="BK10535" s="25"/>
    </row>
    <row r="10536" spans="60:63" ht="14.25" x14ac:dyDescent="0.2">
      <c r="BH10536" s="25"/>
      <c r="BI10536" s="25"/>
      <c r="BJ10536" s="25"/>
      <c r="BK10536" s="25"/>
    </row>
    <row r="10537" spans="60:63" ht="14.25" x14ac:dyDescent="0.2">
      <c r="BH10537" s="25"/>
      <c r="BI10537" s="25"/>
      <c r="BJ10537" s="25"/>
      <c r="BK10537" s="25"/>
    </row>
    <row r="10538" spans="60:63" ht="14.25" x14ac:dyDescent="0.2">
      <c r="BH10538" s="25"/>
      <c r="BI10538" s="25"/>
      <c r="BJ10538" s="25"/>
      <c r="BK10538" s="25"/>
    </row>
    <row r="10539" spans="60:63" ht="14.25" x14ac:dyDescent="0.2">
      <c r="BH10539" s="25"/>
      <c r="BI10539" s="25"/>
      <c r="BJ10539" s="25"/>
      <c r="BK10539" s="25"/>
    </row>
    <row r="10540" spans="60:63" ht="14.25" x14ac:dyDescent="0.2">
      <c r="BH10540" s="25"/>
      <c r="BI10540" s="25"/>
      <c r="BJ10540" s="25"/>
      <c r="BK10540" s="25"/>
    </row>
    <row r="10541" spans="60:63" ht="14.25" x14ac:dyDescent="0.2">
      <c r="BH10541" s="25"/>
      <c r="BI10541" s="25"/>
      <c r="BJ10541" s="25"/>
      <c r="BK10541" s="25"/>
    </row>
    <row r="10542" spans="60:63" ht="14.25" x14ac:dyDescent="0.2">
      <c r="BH10542" s="25"/>
      <c r="BI10542" s="25"/>
      <c r="BJ10542" s="25"/>
      <c r="BK10542" s="25"/>
    </row>
    <row r="10543" spans="60:63" ht="14.25" x14ac:dyDescent="0.2">
      <c r="BH10543" s="25"/>
      <c r="BI10543" s="25"/>
      <c r="BJ10543" s="25"/>
      <c r="BK10543" s="25"/>
    </row>
    <row r="10544" spans="60:63" ht="14.25" x14ac:dyDescent="0.2">
      <c r="BH10544" s="25"/>
      <c r="BI10544" s="25"/>
      <c r="BJ10544" s="25"/>
      <c r="BK10544" s="25"/>
    </row>
    <row r="10545" spans="60:63" ht="14.25" x14ac:dyDescent="0.2">
      <c r="BH10545" s="25"/>
      <c r="BI10545" s="25"/>
      <c r="BJ10545" s="25"/>
      <c r="BK10545" s="25"/>
    </row>
    <row r="10546" spans="60:63" ht="14.25" x14ac:dyDescent="0.2">
      <c r="BH10546" s="25"/>
      <c r="BI10546" s="25"/>
      <c r="BJ10546" s="25"/>
      <c r="BK10546" s="25"/>
    </row>
    <row r="10547" spans="60:63" ht="14.25" x14ac:dyDescent="0.2">
      <c r="BH10547" s="25"/>
      <c r="BI10547" s="25"/>
      <c r="BJ10547" s="25"/>
      <c r="BK10547" s="25"/>
    </row>
    <row r="10548" spans="60:63" ht="14.25" x14ac:dyDescent="0.2">
      <c r="BH10548" s="25"/>
      <c r="BI10548" s="25"/>
      <c r="BJ10548" s="25"/>
      <c r="BK10548" s="25"/>
    </row>
    <row r="10549" spans="60:63" ht="14.25" x14ac:dyDescent="0.2">
      <c r="BH10549" s="25"/>
      <c r="BI10549" s="25"/>
      <c r="BJ10549" s="25"/>
      <c r="BK10549" s="25"/>
    </row>
    <row r="10550" spans="60:63" ht="14.25" x14ac:dyDescent="0.2">
      <c r="BH10550" s="25"/>
      <c r="BI10550" s="25"/>
      <c r="BJ10550" s="25"/>
      <c r="BK10550" s="25"/>
    </row>
    <row r="10551" spans="60:63" ht="14.25" x14ac:dyDescent="0.2">
      <c r="BH10551" s="25"/>
      <c r="BI10551" s="25"/>
      <c r="BJ10551" s="25"/>
      <c r="BK10551" s="25"/>
    </row>
    <row r="10552" spans="60:63" ht="14.25" x14ac:dyDescent="0.2">
      <c r="BH10552" s="25"/>
      <c r="BI10552" s="25"/>
      <c r="BJ10552" s="25"/>
      <c r="BK10552" s="25"/>
    </row>
    <row r="10553" spans="60:63" ht="14.25" x14ac:dyDescent="0.2">
      <c r="BH10553" s="25"/>
      <c r="BI10553" s="25"/>
      <c r="BJ10553" s="25"/>
      <c r="BK10553" s="25"/>
    </row>
    <row r="10554" spans="60:63" ht="14.25" x14ac:dyDescent="0.2">
      <c r="BH10554" s="25"/>
      <c r="BI10554" s="25"/>
      <c r="BJ10554" s="25"/>
      <c r="BK10554" s="25"/>
    </row>
    <row r="10555" spans="60:63" ht="14.25" x14ac:dyDescent="0.2">
      <c r="BH10555" s="25"/>
      <c r="BI10555" s="25"/>
      <c r="BJ10555" s="25"/>
      <c r="BK10555" s="25"/>
    </row>
    <row r="10556" spans="60:63" ht="14.25" x14ac:dyDescent="0.2">
      <c r="BH10556" s="25"/>
      <c r="BI10556" s="25"/>
      <c r="BJ10556" s="25"/>
      <c r="BK10556" s="25"/>
    </row>
    <row r="10557" spans="60:63" ht="14.25" x14ac:dyDescent="0.2">
      <c r="BH10557" s="25"/>
      <c r="BI10557" s="25"/>
      <c r="BJ10557" s="25"/>
      <c r="BK10557" s="25"/>
    </row>
    <row r="10558" spans="60:63" ht="14.25" x14ac:dyDescent="0.2">
      <c r="BH10558" s="25"/>
      <c r="BI10558" s="25"/>
      <c r="BJ10558" s="25"/>
      <c r="BK10558" s="25"/>
    </row>
    <row r="10559" spans="60:63" ht="14.25" x14ac:dyDescent="0.2">
      <c r="BH10559" s="25"/>
      <c r="BI10559" s="25"/>
      <c r="BJ10559" s="25"/>
      <c r="BK10559" s="25"/>
    </row>
    <row r="10560" spans="60:63" ht="14.25" x14ac:dyDescent="0.2">
      <c r="BH10560" s="25"/>
      <c r="BI10560" s="25"/>
      <c r="BJ10560" s="25"/>
      <c r="BK10560" s="25"/>
    </row>
    <row r="10561" spans="60:63" ht="14.25" x14ac:dyDescent="0.2">
      <c r="BH10561" s="25"/>
      <c r="BI10561" s="25"/>
      <c r="BJ10561" s="25"/>
      <c r="BK10561" s="25"/>
    </row>
    <row r="10562" spans="60:63" ht="14.25" x14ac:dyDescent="0.2">
      <c r="BH10562" s="25"/>
      <c r="BI10562" s="25"/>
      <c r="BJ10562" s="25"/>
      <c r="BK10562" s="25"/>
    </row>
    <row r="10563" spans="60:63" ht="14.25" x14ac:dyDescent="0.2">
      <c r="BH10563" s="25"/>
      <c r="BI10563" s="25"/>
      <c r="BJ10563" s="25"/>
      <c r="BK10563" s="25"/>
    </row>
    <row r="10564" spans="60:63" ht="14.25" x14ac:dyDescent="0.2">
      <c r="BH10564" s="25"/>
      <c r="BI10564" s="25"/>
      <c r="BJ10564" s="25"/>
      <c r="BK10564" s="25"/>
    </row>
    <row r="10565" spans="60:63" ht="14.25" x14ac:dyDescent="0.2">
      <c r="BH10565" s="25"/>
      <c r="BI10565" s="25"/>
      <c r="BJ10565" s="25"/>
      <c r="BK10565" s="25"/>
    </row>
    <row r="10566" spans="60:63" ht="14.25" x14ac:dyDescent="0.2">
      <c r="BH10566" s="25"/>
      <c r="BI10566" s="25"/>
      <c r="BJ10566" s="25"/>
      <c r="BK10566" s="25"/>
    </row>
    <row r="10567" spans="60:63" ht="14.25" x14ac:dyDescent="0.2">
      <c r="BH10567" s="25"/>
      <c r="BI10567" s="25"/>
      <c r="BJ10567" s="25"/>
      <c r="BK10567" s="25"/>
    </row>
    <row r="10568" spans="60:63" ht="14.25" x14ac:dyDescent="0.2">
      <c r="BH10568" s="25"/>
      <c r="BI10568" s="25"/>
      <c r="BJ10568" s="25"/>
      <c r="BK10568" s="25"/>
    </row>
    <row r="10569" spans="60:63" ht="14.25" x14ac:dyDescent="0.2">
      <c r="BH10569" s="25"/>
      <c r="BI10569" s="25"/>
      <c r="BJ10569" s="25"/>
      <c r="BK10569" s="25"/>
    </row>
    <row r="10570" spans="60:63" ht="14.25" x14ac:dyDescent="0.2">
      <c r="BH10570" s="25"/>
      <c r="BI10570" s="25"/>
      <c r="BJ10570" s="25"/>
      <c r="BK10570" s="25"/>
    </row>
    <row r="10571" spans="60:63" ht="14.25" x14ac:dyDescent="0.2">
      <c r="BH10571" s="25"/>
      <c r="BI10571" s="25"/>
      <c r="BJ10571" s="25"/>
      <c r="BK10571" s="25"/>
    </row>
    <row r="10572" spans="60:63" ht="14.25" x14ac:dyDescent="0.2">
      <c r="BH10572" s="25"/>
      <c r="BI10572" s="25"/>
      <c r="BJ10572" s="25"/>
      <c r="BK10572" s="25"/>
    </row>
    <row r="10573" spans="60:63" ht="14.25" x14ac:dyDescent="0.2">
      <c r="BH10573" s="25"/>
      <c r="BI10573" s="25"/>
      <c r="BJ10573" s="25"/>
      <c r="BK10573" s="25"/>
    </row>
    <row r="10574" spans="60:63" ht="14.25" x14ac:dyDescent="0.2">
      <c r="BH10574" s="25"/>
      <c r="BI10574" s="25"/>
      <c r="BJ10574" s="25"/>
      <c r="BK10574" s="25"/>
    </row>
    <row r="10575" spans="60:63" ht="14.25" x14ac:dyDescent="0.2">
      <c r="BH10575" s="25"/>
      <c r="BI10575" s="25"/>
      <c r="BJ10575" s="25"/>
      <c r="BK10575" s="25"/>
    </row>
    <row r="10576" spans="60:63" ht="14.25" x14ac:dyDescent="0.2">
      <c r="BH10576" s="25"/>
      <c r="BI10576" s="25"/>
      <c r="BJ10576" s="25"/>
      <c r="BK10576" s="25"/>
    </row>
    <row r="10577" spans="60:63" ht="14.25" x14ac:dyDescent="0.2">
      <c r="BH10577" s="25"/>
      <c r="BI10577" s="25"/>
      <c r="BJ10577" s="25"/>
      <c r="BK10577" s="25"/>
    </row>
    <row r="10578" spans="60:63" ht="14.25" x14ac:dyDescent="0.2">
      <c r="BH10578" s="25"/>
      <c r="BI10578" s="25"/>
      <c r="BJ10578" s="25"/>
      <c r="BK10578" s="25"/>
    </row>
    <row r="10579" spans="60:63" ht="14.25" x14ac:dyDescent="0.2">
      <c r="BH10579" s="25"/>
      <c r="BI10579" s="25"/>
      <c r="BJ10579" s="25"/>
      <c r="BK10579" s="25"/>
    </row>
    <row r="10580" spans="60:63" ht="14.25" x14ac:dyDescent="0.2">
      <c r="BH10580" s="25"/>
      <c r="BI10580" s="25"/>
      <c r="BJ10580" s="25"/>
      <c r="BK10580" s="25"/>
    </row>
    <row r="10581" spans="60:63" ht="14.25" x14ac:dyDescent="0.2">
      <c r="BH10581" s="25"/>
      <c r="BI10581" s="25"/>
      <c r="BJ10581" s="25"/>
      <c r="BK10581" s="25"/>
    </row>
    <row r="10582" spans="60:63" ht="14.25" x14ac:dyDescent="0.2">
      <c r="BH10582" s="25"/>
      <c r="BI10582" s="25"/>
      <c r="BJ10582" s="25"/>
      <c r="BK10582" s="25"/>
    </row>
    <row r="10583" spans="60:63" ht="14.25" x14ac:dyDescent="0.2">
      <c r="BH10583" s="25"/>
      <c r="BI10583" s="25"/>
      <c r="BJ10583" s="25"/>
      <c r="BK10583" s="25"/>
    </row>
    <row r="10584" spans="60:63" ht="14.25" x14ac:dyDescent="0.2">
      <c r="BH10584" s="25"/>
      <c r="BI10584" s="25"/>
      <c r="BJ10584" s="25"/>
      <c r="BK10584" s="25"/>
    </row>
    <row r="10585" spans="60:63" ht="14.25" x14ac:dyDescent="0.2">
      <c r="BH10585" s="25"/>
      <c r="BI10585" s="25"/>
      <c r="BJ10585" s="25"/>
      <c r="BK10585" s="25"/>
    </row>
    <row r="10586" spans="60:63" ht="14.25" x14ac:dyDescent="0.2">
      <c r="BH10586" s="25"/>
      <c r="BI10586" s="25"/>
      <c r="BJ10586" s="25"/>
      <c r="BK10586" s="25"/>
    </row>
    <row r="10587" spans="60:63" ht="14.25" x14ac:dyDescent="0.2">
      <c r="BH10587" s="25"/>
      <c r="BI10587" s="25"/>
      <c r="BJ10587" s="25"/>
      <c r="BK10587" s="25"/>
    </row>
    <row r="10588" spans="60:63" ht="14.25" x14ac:dyDescent="0.2">
      <c r="BH10588" s="25"/>
      <c r="BI10588" s="25"/>
      <c r="BJ10588" s="25"/>
      <c r="BK10588" s="25"/>
    </row>
    <row r="10589" spans="60:63" ht="14.25" x14ac:dyDescent="0.2">
      <c r="BH10589" s="25"/>
      <c r="BI10589" s="25"/>
      <c r="BJ10589" s="25"/>
      <c r="BK10589" s="25"/>
    </row>
    <row r="10590" spans="60:63" ht="14.25" x14ac:dyDescent="0.2">
      <c r="BH10590" s="25"/>
      <c r="BI10590" s="25"/>
      <c r="BJ10590" s="25"/>
      <c r="BK10590" s="25"/>
    </row>
    <row r="10591" spans="60:63" ht="14.25" x14ac:dyDescent="0.2">
      <c r="BH10591" s="25"/>
      <c r="BI10591" s="25"/>
      <c r="BJ10591" s="25"/>
      <c r="BK10591" s="25"/>
    </row>
    <row r="10592" spans="60:63" ht="14.25" x14ac:dyDescent="0.2">
      <c r="BH10592" s="25"/>
      <c r="BI10592" s="25"/>
      <c r="BJ10592" s="25"/>
      <c r="BK10592" s="25"/>
    </row>
    <row r="10593" spans="60:63" ht="14.25" x14ac:dyDescent="0.2">
      <c r="BH10593" s="25"/>
      <c r="BI10593" s="25"/>
      <c r="BJ10593" s="25"/>
      <c r="BK10593" s="25"/>
    </row>
    <row r="10594" spans="60:63" ht="14.25" x14ac:dyDescent="0.2">
      <c r="BH10594" s="25"/>
      <c r="BI10594" s="25"/>
      <c r="BJ10594" s="25"/>
      <c r="BK10594" s="25"/>
    </row>
    <row r="10595" spans="60:63" ht="14.25" x14ac:dyDescent="0.2">
      <c r="BH10595" s="25"/>
      <c r="BI10595" s="25"/>
      <c r="BJ10595" s="25"/>
      <c r="BK10595" s="25"/>
    </row>
    <row r="10596" spans="60:63" ht="14.25" x14ac:dyDescent="0.2">
      <c r="BH10596" s="25"/>
      <c r="BI10596" s="25"/>
      <c r="BJ10596" s="25"/>
      <c r="BK10596" s="25"/>
    </row>
    <row r="10597" spans="60:63" ht="14.25" x14ac:dyDescent="0.2">
      <c r="BH10597" s="25"/>
      <c r="BI10597" s="25"/>
      <c r="BJ10597" s="25"/>
      <c r="BK10597" s="25"/>
    </row>
    <row r="10598" spans="60:63" ht="14.25" x14ac:dyDescent="0.2">
      <c r="BH10598" s="25"/>
      <c r="BI10598" s="25"/>
      <c r="BJ10598" s="25"/>
      <c r="BK10598" s="25"/>
    </row>
    <row r="10599" spans="60:63" ht="14.25" x14ac:dyDescent="0.2">
      <c r="BH10599" s="25"/>
      <c r="BI10599" s="25"/>
      <c r="BJ10599" s="25"/>
      <c r="BK10599" s="25"/>
    </row>
    <row r="10600" spans="60:63" ht="14.25" x14ac:dyDescent="0.2">
      <c r="BH10600" s="25"/>
      <c r="BI10600" s="25"/>
      <c r="BJ10600" s="25"/>
      <c r="BK10600" s="25"/>
    </row>
    <row r="10601" spans="60:63" ht="14.25" x14ac:dyDescent="0.2">
      <c r="BH10601" s="25"/>
      <c r="BI10601" s="25"/>
      <c r="BJ10601" s="25"/>
      <c r="BK10601" s="25"/>
    </row>
    <row r="10602" spans="60:63" ht="14.25" x14ac:dyDescent="0.2">
      <c r="BH10602" s="25"/>
      <c r="BI10602" s="25"/>
      <c r="BJ10602" s="25"/>
      <c r="BK10602" s="25"/>
    </row>
    <row r="10603" spans="60:63" ht="14.25" x14ac:dyDescent="0.2">
      <c r="BH10603" s="25"/>
      <c r="BI10603" s="25"/>
      <c r="BJ10603" s="25"/>
      <c r="BK10603" s="25"/>
    </row>
    <row r="10604" spans="60:63" ht="14.25" x14ac:dyDescent="0.2">
      <c r="BH10604" s="25"/>
      <c r="BI10604" s="25"/>
      <c r="BJ10604" s="25"/>
      <c r="BK10604" s="25"/>
    </row>
    <row r="10605" spans="60:63" ht="14.25" x14ac:dyDescent="0.2">
      <c r="BH10605" s="25"/>
      <c r="BI10605" s="25"/>
      <c r="BJ10605" s="25"/>
      <c r="BK10605" s="25"/>
    </row>
    <row r="10606" spans="60:63" ht="14.25" x14ac:dyDescent="0.2">
      <c r="BH10606" s="25"/>
      <c r="BI10606" s="25"/>
      <c r="BJ10606" s="25"/>
      <c r="BK10606" s="25"/>
    </row>
    <row r="10607" spans="60:63" ht="14.25" x14ac:dyDescent="0.2">
      <c r="BH10607" s="25"/>
      <c r="BI10607" s="25"/>
      <c r="BJ10607" s="25"/>
      <c r="BK10607" s="25"/>
    </row>
    <row r="10608" spans="60:63" ht="14.25" x14ac:dyDescent="0.2">
      <c r="BH10608" s="25"/>
      <c r="BI10608" s="25"/>
      <c r="BJ10608" s="25"/>
      <c r="BK10608" s="25"/>
    </row>
    <row r="10609" spans="60:63" ht="14.25" x14ac:dyDescent="0.2">
      <c r="BH10609" s="25"/>
      <c r="BI10609" s="25"/>
      <c r="BJ10609" s="25"/>
      <c r="BK10609" s="25"/>
    </row>
    <row r="10610" spans="60:63" ht="14.25" x14ac:dyDescent="0.2">
      <c r="BH10610" s="25"/>
      <c r="BI10610" s="25"/>
      <c r="BJ10610" s="25"/>
      <c r="BK10610" s="25"/>
    </row>
    <row r="10611" spans="60:63" ht="14.25" x14ac:dyDescent="0.2">
      <c r="BH10611" s="25"/>
      <c r="BI10611" s="25"/>
      <c r="BJ10611" s="25"/>
      <c r="BK10611" s="25"/>
    </row>
    <row r="10612" spans="60:63" ht="14.25" x14ac:dyDescent="0.2">
      <c r="BH10612" s="25"/>
      <c r="BI10612" s="25"/>
      <c r="BJ10612" s="25"/>
      <c r="BK10612" s="25"/>
    </row>
    <row r="10613" spans="60:63" ht="14.25" x14ac:dyDescent="0.2">
      <c r="BH10613" s="25"/>
      <c r="BI10613" s="25"/>
      <c r="BJ10613" s="25"/>
      <c r="BK10613" s="25"/>
    </row>
    <row r="10614" spans="60:63" ht="14.25" x14ac:dyDescent="0.2">
      <c r="BH10614" s="25"/>
      <c r="BI10614" s="25"/>
      <c r="BJ10614" s="25"/>
      <c r="BK10614" s="25"/>
    </row>
    <row r="10615" spans="60:63" ht="14.25" x14ac:dyDescent="0.2">
      <c r="BH10615" s="25"/>
      <c r="BI10615" s="25"/>
      <c r="BJ10615" s="25"/>
      <c r="BK10615" s="25"/>
    </row>
    <row r="10616" spans="60:63" ht="14.25" x14ac:dyDescent="0.2">
      <c r="BH10616" s="25"/>
      <c r="BI10616" s="25"/>
      <c r="BJ10616" s="25"/>
      <c r="BK10616" s="25"/>
    </row>
    <row r="10617" spans="60:63" ht="14.25" x14ac:dyDescent="0.2">
      <c r="BH10617" s="25"/>
      <c r="BI10617" s="25"/>
      <c r="BJ10617" s="25"/>
      <c r="BK10617" s="25"/>
    </row>
    <row r="10618" spans="60:63" ht="14.25" x14ac:dyDescent="0.2">
      <c r="BH10618" s="25"/>
      <c r="BI10618" s="25"/>
      <c r="BJ10618" s="25"/>
      <c r="BK10618" s="25"/>
    </row>
    <row r="10619" spans="60:63" ht="14.25" x14ac:dyDescent="0.2">
      <c r="BH10619" s="25"/>
      <c r="BI10619" s="25"/>
      <c r="BJ10619" s="25"/>
      <c r="BK10619" s="25"/>
    </row>
    <row r="10620" spans="60:63" ht="14.25" x14ac:dyDescent="0.2">
      <c r="BH10620" s="25"/>
      <c r="BI10620" s="25"/>
      <c r="BJ10620" s="25"/>
      <c r="BK10620" s="25"/>
    </row>
    <row r="10621" spans="60:63" ht="14.25" x14ac:dyDescent="0.2">
      <c r="BH10621" s="25"/>
      <c r="BI10621" s="25"/>
      <c r="BJ10621" s="25"/>
      <c r="BK10621" s="25"/>
    </row>
    <row r="10622" spans="60:63" ht="14.25" x14ac:dyDescent="0.2">
      <c r="BH10622" s="25"/>
      <c r="BI10622" s="25"/>
      <c r="BJ10622" s="25"/>
      <c r="BK10622" s="25"/>
    </row>
    <row r="10623" spans="60:63" ht="14.25" x14ac:dyDescent="0.2">
      <c r="BH10623" s="25"/>
      <c r="BI10623" s="25"/>
      <c r="BJ10623" s="25"/>
      <c r="BK10623" s="25"/>
    </row>
    <row r="10624" spans="60:63" ht="14.25" x14ac:dyDescent="0.2">
      <c r="BH10624" s="25"/>
      <c r="BI10624" s="25"/>
      <c r="BJ10624" s="25"/>
      <c r="BK10624" s="25"/>
    </row>
    <row r="10625" spans="60:63" ht="14.25" x14ac:dyDescent="0.2">
      <c r="BH10625" s="25"/>
      <c r="BI10625" s="25"/>
      <c r="BJ10625" s="25"/>
      <c r="BK10625" s="25"/>
    </row>
    <row r="10626" spans="60:63" ht="14.25" x14ac:dyDescent="0.2">
      <c r="BH10626" s="25"/>
      <c r="BI10626" s="25"/>
      <c r="BJ10626" s="25"/>
      <c r="BK10626" s="25"/>
    </row>
    <row r="10627" spans="60:63" ht="14.25" x14ac:dyDescent="0.2">
      <c r="BH10627" s="25"/>
      <c r="BI10627" s="25"/>
      <c r="BJ10627" s="25"/>
      <c r="BK10627" s="25"/>
    </row>
    <row r="10628" spans="60:63" ht="14.25" x14ac:dyDescent="0.2">
      <c r="BH10628" s="25"/>
      <c r="BI10628" s="25"/>
      <c r="BJ10628" s="25"/>
      <c r="BK10628" s="25"/>
    </row>
    <row r="10629" spans="60:63" ht="14.25" x14ac:dyDescent="0.2">
      <c r="BH10629" s="25"/>
      <c r="BI10629" s="25"/>
      <c r="BJ10629" s="25"/>
      <c r="BK10629" s="25"/>
    </row>
    <row r="10630" spans="60:63" ht="14.25" x14ac:dyDescent="0.2">
      <c r="BH10630" s="25"/>
      <c r="BI10630" s="25"/>
      <c r="BJ10630" s="25"/>
      <c r="BK10630" s="25"/>
    </row>
    <row r="10631" spans="60:63" ht="14.25" x14ac:dyDescent="0.2">
      <c r="BH10631" s="25"/>
      <c r="BI10631" s="25"/>
      <c r="BJ10631" s="25"/>
      <c r="BK10631" s="25"/>
    </row>
    <row r="10632" spans="60:63" ht="14.25" x14ac:dyDescent="0.2">
      <c r="BH10632" s="25"/>
      <c r="BI10632" s="25"/>
      <c r="BJ10632" s="25"/>
      <c r="BK10632" s="25"/>
    </row>
    <row r="10633" spans="60:63" ht="14.25" x14ac:dyDescent="0.2">
      <c r="BH10633" s="25"/>
      <c r="BI10633" s="25"/>
      <c r="BJ10633" s="25"/>
      <c r="BK10633" s="25"/>
    </row>
    <row r="10634" spans="60:63" ht="14.25" x14ac:dyDescent="0.2">
      <c r="BH10634" s="25"/>
      <c r="BI10634" s="25"/>
      <c r="BJ10634" s="25"/>
      <c r="BK10634" s="25"/>
    </row>
    <row r="10635" spans="60:63" ht="14.25" x14ac:dyDescent="0.2">
      <c r="BH10635" s="25"/>
      <c r="BI10635" s="25"/>
      <c r="BJ10635" s="25"/>
      <c r="BK10635" s="25"/>
    </row>
    <row r="10636" spans="60:63" ht="14.25" x14ac:dyDescent="0.2">
      <c r="BH10636" s="25"/>
      <c r="BI10636" s="25"/>
      <c r="BJ10636" s="25"/>
      <c r="BK10636" s="25"/>
    </row>
    <row r="10637" spans="60:63" ht="14.25" x14ac:dyDescent="0.2">
      <c r="BH10637" s="25"/>
      <c r="BI10637" s="25"/>
      <c r="BJ10637" s="25"/>
      <c r="BK10637" s="25"/>
    </row>
    <row r="10638" spans="60:63" ht="14.25" x14ac:dyDescent="0.2">
      <c r="BH10638" s="25"/>
      <c r="BI10638" s="25"/>
      <c r="BJ10638" s="25"/>
      <c r="BK10638" s="25"/>
    </row>
    <row r="10639" spans="60:63" ht="14.25" x14ac:dyDescent="0.2">
      <c r="BH10639" s="25"/>
      <c r="BI10639" s="25"/>
      <c r="BJ10639" s="25"/>
      <c r="BK10639" s="25"/>
    </row>
    <row r="10640" spans="60:63" ht="14.25" x14ac:dyDescent="0.2">
      <c r="BH10640" s="25"/>
      <c r="BI10640" s="25"/>
      <c r="BJ10640" s="25"/>
      <c r="BK10640" s="25"/>
    </row>
    <row r="10641" spans="60:63" ht="14.25" x14ac:dyDescent="0.2">
      <c r="BH10641" s="25"/>
      <c r="BI10641" s="25"/>
      <c r="BJ10641" s="25"/>
      <c r="BK10641" s="25"/>
    </row>
    <row r="10642" spans="60:63" ht="14.25" x14ac:dyDescent="0.2">
      <c r="BH10642" s="25"/>
      <c r="BI10642" s="25"/>
      <c r="BJ10642" s="25"/>
      <c r="BK10642" s="25"/>
    </row>
    <row r="10643" spans="60:63" ht="14.25" x14ac:dyDescent="0.2">
      <c r="BH10643" s="25"/>
      <c r="BI10643" s="25"/>
      <c r="BJ10643" s="25"/>
      <c r="BK10643" s="25"/>
    </row>
    <row r="10644" spans="60:63" ht="14.25" x14ac:dyDescent="0.2">
      <c r="BH10644" s="25"/>
      <c r="BI10644" s="25"/>
      <c r="BJ10644" s="25"/>
      <c r="BK10644" s="25"/>
    </row>
    <row r="10645" spans="60:63" ht="14.25" x14ac:dyDescent="0.2">
      <c r="BH10645" s="25"/>
      <c r="BI10645" s="25"/>
      <c r="BJ10645" s="25"/>
      <c r="BK10645" s="25"/>
    </row>
    <row r="10646" spans="60:63" ht="14.25" x14ac:dyDescent="0.2">
      <c r="BH10646" s="25"/>
      <c r="BI10646" s="25"/>
      <c r="BJ10646" s="25"/>
      <c r="BK10646" s="25"/>
    </row>
    <row r="10647" spans="60:63" ht="14.25" x14ac:dyDescent="0.2">
      <c r="BH10647" s="25"/>
      <c r="BI10647" s="25"/>
      <c r="BJ10647" s="25"/>
      <c r="BK10647" s="25"/>
    </row>
    <row r="10648" spans="60:63" ht="14.25" x14ac:dyDescent="0.2">
      <c r="BH10648" s="25"/>
      <c r="BI10648" s="25"/>
      <c r="BJ10648" s="25"/>
      <c r="BK10648" s="25"/>
    </row>
    <row r="10649" spans="60:63" ht="14.25" x14ac:dyDescent="0.2">
      <c r="BH10649" s="25"/>
      <c r="BI10649" s="25"/>
      <c r="BJ10649" s="25"/>
      <c r="BK10649" s="25"/>
    </row>
    <row r="10650" spans="60:63" ht="14.25" x14ac:dyDescent="0.2">
      <c r="BH10650" s="25"/>
      <c r="BI10650" s="25"/>
      <c r="BJ10650" s="25"/>
      <c r="BK10650" s="25"/>
    </row>
    <row r="10651" spans="60:63" ht="14.25" x14ac:dyDescent="0.2">
      <c r="BH10651" s="25"/>
      <c r="BI10651" s="25"/>
      <c r="BJ10651" s="25"/>
      <c r="BK10651" s="25"/>
    </row>
    <row r="10652" spans="60:63" ht="14.25" x14ac:dyDescent="0.2">
      <c r="BH10652" s="25"/>
      <c r="BI10652" s="25"/>
      <c r="BJ10652" s="25"/>
      <c r="BK10652" s="25"/>
    </row>
    <row r="10653" spans="60:63" ht="14.25" x14ac:dyDescent="0.2">
      <c r="BH10653" s="25"/>
      <c r="BI10653" s="25"/>
      <c r="BJ10653" s="25"/>
      <c r="BK10653" s="25"/>
    </row>
    <row r="10654" spans="60:63" ht="14.25" x14ac:dyDescent="0.2">
      <c r="BH10654" s="25"/>
      <c r="BI10654" s="25"/>
      <c r="BJ10654" s="25"/>
      <c r="BK10654" s="25"/>
    </row>
    <row r="10655" spans="60:63" ht="14.25" x14ac:dyDescent="0.2">
      <c r="BH10655" s="25"/>
      <c r="BI10655" s="25"/>
      <c r="BJ10655" s="25"/>
      <c r="BK10655" s="25"/>
    </row>
    <row r="10656" spans="60:63" ht="14.25" x14ac:dyDescent="0.2">
      <c r="BH10656" s="25"/>
      <c r="BI10656" s="25"/>
      <c r="BJ10656" s="25"/>
      <c r="BK10656" s="25"/>
    </row>
    <row r="10657" spans="60:63" ht="14.25" x14ac:dyDescent="0.2">
      <c r="BH10657" s="25"/>
      <c r="BI10657" s="25"/>
      <c r="BJ10657" s="25"/>
      <c r="BK10657" s="25"/>
    </row>
    <row r="10658" spans="60:63" ht="14.25" x14ac:dyDescent="0.2">
      <c r="BH10658" s="25"/>
      <c r="BI10658" s="25"/>
      <c r="BJ10658" s="25"/>
      <c r="BK10658" s="25"/>
    </row>
    <row r="10659" spans="60:63" ht="14.25" x14ac:dyDescent="0.2">
      <c r="BH10659" s="25"/>
      <c r="BI10659" s="25"/>
      <c r="BJ10659" s="25"/>
      <c r="BK10659" s="25"/>
    </row>
    <row r="10660" spans="60:63" ht="14.25" x14ac:dyDescent="0.2">
      <c r="BH10660" s="25"/>
      <c r="BI10660" s="25"/>
      <c r="BJ10660" s="25"/>
      <c r="BK10660" s="25"/>
    </row>
    <row r="10661" spans="60:63" ht="14.25" x14ac:dyDescent="0.2">
      <c r="BH10661" s="25"/>
      <c r="BI10661" s="25"/>
      <c r="BJ10661" s="25"/>
      <c r="BK10661" s="25"/>
    </row>
    <row r="10662" spans="60:63" ht="14.25" x14ac:dyDescent="0.2">
      <c r="BH10662" s="25"/>
      <c r="BI10662" s="25"/>
      <c r="BJ10662" s="25"/>
      <c r="BK10662" s="25"/>
    </row>
    <row r="10663" spans="60:63" ht="14.25" x14ac:dyDescent="0.2">
      <c r="BH10663" s="25"/>
      <c r="BI10663" s="25"/>
      <c r="BJ10663" s="25"/>
      <c r="BK10663" s="25"/>
    </row>
    <row r="10664" spans="60:63" ht="14.25" x14ac:dyDescent="0.2">
      <c r="BH10664" s="25"/>
      <c r="BI10664" s="25"/>
      <c r="BJ10664" s="25"/>
      <c r="BK10664" s="25"/>
    </row>
    <row r="10665" spans="60:63" ht="14.25" x14ac:dyDescent="0.2">
      <c r="BH10665" s="25"/>
      <c r="BI10665" s="25"/>
      <c r="BJ10665" s="25"/>
      <c r="BK10665" s="25"/>
    </row>
    <row r="10666" spans="60:63" ht="14.25" x14ac:dyDescent="0.2">
      <c r="BH10666" s="25"/>
      <c r="BI10666" s="25"/>
      <c r="BJ10666" s="25"/>
      <c r="BK10666" s="25"/>
    </row>
    <row r="10667" spans="60:63" ht="14.25" x14ac:dyDescent="0.2">
      <c r="BH10667" s="25"/>
      <c r="BI10667" s="25"/>
      <c r="BJ10667" s="25"/>
      <c r="BK10667" s="25"/>
    </row>
    <row r="10668" spans="60:63" ht="14.25" x14ac:dyDescent="0.2">
      <c r="BH10668" s="25"/>
      <c r="BI10668" s="25"/>
      <c r="BJ10668" s="25"/>
      <c r="BK10668" s="25"/>
    </row>
    <row r="10669" spans="60:63" ht="14.25" x14ac:dyDescent="0.2">
      <c r="BH10669" s="25"/>
      <c r="BI10669" s="25"/>
      <c r="BJ10669" s="25"/>
      <c r="BK10669" s="25"/>
    </row>
    <row r="10670" spans="60:63" ht="14.25" x14ac:dyDescent="0.2">
      <c r="BH10670" s="25"/>
      <c r="BI10670" s="25"/>
      <c r="BJ10670" s="25"/>
      <c r="BK10670" s="25"/>
    </row>
    <row r="10671" spans="60:63" ht="14.25" x14ac:dyDescent="0.2">
      <c r="BH10671" s="25"/>
      <c r="BI10671" s="25"/>
      <c r="BJ10671" s="25"/>
      <c r="BK10671" s="25"/>
    </row>
    <row r="10672" spans="60:63" ht="14.25" x14ac:dyDescent="0.2">
      <c r="BH10672" s="25"/>
      <c r="BI10672" s="25"/>
      <c r="BJ10672" s="25"/>
      <c r="BK10672" s="25"/>
    </row>
    <row r="10673" spans="60:63" ht="14.25" x14ac:dyDescent="0.2">
      <c r="BH10673" s="25"/>
      <c r="BI10673" s="25"/>
      <c r="BJ10673" s="25"/>
      <c r="BK10673" s="25"/>
    </row>
    <row r="10674" spans="60:63" ht="14.25" x14ac:dyDescent="0.2">
      <c r="BH10674" s="25"/>
      <c r="BI10674" s="25"/>
      <c r="BJ10674" s="25"/>
      <c r="BK10674" s="25"/>
    </row>
    <row r="10675" spans="60:63" ht="14.25" x14ac:dyDescent="0.2">
      <c r="BH10675" s="25"/>
      <c r="BI10675" s="25"/>
      <c r="BJ10675" s="25"/>
      <c r="BK10675" s="25"/>
    </row>
    <row r="10676" spans="60:63" ht="14.25" x14ac:dyDescent="0.2">
      <c r="BH10676" s="25"/>
      <c r="BI10676" s="25"/>
      <c r="BJ10676" s="25"/>
      <c r="BK10676" s="25"/>
    </row>
    <row r="10677" spans="60:63" ht="14.25" x14ac:dyDescent="0.2">
      <c r="BH10677" s="25"/>
      <c r="BI10677" s="25"/>
      <c r="BJ10677" s="25"/>
      <c r="BK10677" s="25"/>
    </row>
    <row r="10678" spans="60:63" ht="14.25" x14ac:dyDescent="0.2">
      <c r="BH10678" s="25"/>
      <c r="BI10678" s="25"/>
      <c r="BJ10678" s="25"/>
      <c r="BK10678" s="25"/>
    </row>
    <row r="10679" spans="60:63" ht="14.25" x14ac:dyDescent="0.2">
      <c r="BH10679" s="25"/>
      <c r="BI10679" s="25"/>
      <c r="BJ10679" s="25"/>
      <c r="BK10679" s="25"/>
    </row>
    <row r="10680" spans="60:63" ht="14.25" x14ac:dyDescent="0.2">
      <c r="BH10680" s="25"/>
      <c r="BI10680" s="25"/>
      <c r="BJ10680" s="25"/>
      <c r="BK10680" s="25"/>
    </row>
    <row r="10681" spans="60:63" ht="14.25" x14ac:dyDescent="0.2">
      <c r="BH10681" s="25"/>
      <c r="BI10681" s="25"/>
      <c r="BJ10681" s="25"/>
      <c r="BK10681" s="25"/>
    </row>
    <row r="10682" spans="60:63" ht="14.25" x14ac:dyDescent="0.2">
      <c r="BH10682" s="25"/>
      <c r="BI10682" s="25"/>
      <c r="BJ10682" s="25"/>
      <c r="BK10682" s="25"/>
    </row>
    <row r="10683" spans="60:63" ht="14.25" x14ac:dyDescent="0.2">
      <c r="BH10683" s="25"/>
      <c r="BI10683" s="25"/>
      <c r="BJ10683" s="25"/>
      <c r="BK10683" s="25"/>
    </row>
    <row r="10684" spans="60:63" ht="14.25" x14ac:dyDescent="0.2">
      <c r="BH10684" s="25"/>
      <c r="BI10684" s="25"/>
      <c r="BJ10684" s="25"/>
      <c r="BK10684" s="25"/>
    </row>
    <row r="10685" spans="60:63" ht="14.25" x14ac:dyDescent="0.2">
      <c r="BH10685" s="25"/>
      <c r="BI10685" s="25"/>
      <c r="BJ10685" s="25"/>
      <c r="BK10685" s="25"/>
    </row>
    <row r="10686" spans="60:63" ht="14.25" x14ac:dyDescent="0.2">
      <c r="BH10686" s="25"/>
      <c r="BI10686" s="25"/>
      <c r="BJ10686" s="25"/>
      <c r="BK10686" s="25"/>
    </row>
    <row r="10687" spans="60:63" ht="14.25" x14ac:dyDescent="0.2">
      <c r="BH10687" s="25"/>
      <c r="BI10687" s="25"/>
      <c r="BJ10687" s="25"/>
      <c r="BK10687" s="25"/>
    </row>
    <row r="10688" spans="60:63" ht="14.25" x14ac:dyDescent="0.2">
      <c r="BH10688" s="25"/>
      <c r="BI10688" s="25"/>
      <c r="BJ10688" s="25"/>
      <c r="BK10688" s="25"/>
    </row>
    <row r="10689" spans="60:63" ht="14.25" x14ac:dyDescent="0.2">
      <c r="BH10689" s="25"/>
      <c r="BI10689" s="25"/>
      <c r="BJ10689" s="25"/>
      <c r="BK10689" s="25"/>
    </row>
    <row r="10690" spans="60:63" ht="14.25" x14ac:dyDescent="0.2">
      <c r="BH10690" s="25"/>
      <c r="BI10690" s="25"/>
      <c r="BJ10690" s="25"/>
      <c r="BK10690" s="25"/>
    </row>
    <row r="10691" spans="60:63" ht="14.25" x14ac:dyDescent="0.2">
      <c r="BH10691" s="25"/>
      <c r="BI10691" s="25"/>
      <c r="BJ10691" s="25"/>
      <c r="BK10691" s="25"/>
    </row>
    <row r="10692" spans="60:63" ht="14.25" x14ac:dyDescent="0.2">
      <c r="BH10692" s="25"/>
      <c r="BI10692" s="25"/>
      <c r="BJ10692" s="25"/>
      <c r="BK10692" s="25"/>
    </row>
    <row r="10693" spans="60:63" ht="14.25" x14ac:dyDescent="0.2">
      <c r="BH10693" s="25"/>
      <c r="BI10693" s="25"/>
      <c r="BJ10693" s="25"/>
      <c r="BK10693" s="25"/>
    </row>
    <row r="10694" spans="60:63" ht="14.25" x14ac:dyDescent="0.2">
      <c r="BH10694" s="25"/>
      <c r="BI10694" s="25"/>
      <c r="BJ10694" s="25"/>
      <c r="BK10694" s="25"/>
    </row>
    <row r="10695" spans="60:63" ht="14.25" x14ac:dyDescent="0.2">
      <c r="BH10695" s="25"/>
      <c r="BI10695" s="25"/>
      <c r="BJ10695" s="25"/>
      <c r="BK10695" s="25"/>
    </row>
    <row r="10696" spans="60:63" ht="14.25" x14ac:dyDescent="0.2">
      <c r="BH10696" s="25"/>
      <c r="BI10696" s="25"/>
      <c r="BJ10696" s="25"/>
      <c r="BK10696" s="25"/>
    </row>
    <row r="10697" spans="60:63" ht="14.25" x14ac:dyDescent="0.2">
      <c r="BH10697" s="25"/>
      <c r="BI10697" s="25"/>
      <c r="BJ10697" s="25"/>
      <c r="BK10697" s="25"/>
    </row>
    <row r="10698" spans="60:63" ht="14.25" x14ac:dyDescent="0.2">
      <c r="BH10698" s="25"/>
      <c r="BI10698" s="25"/>
      <c r="BJ10698" s="25"/>
      <c r="BK10698" s="25"/>
    </row>
    <row r="10699" spans="60:63" ht="14.25" x14ac:dyDescent="0.2">
      <c r="BH10699" s="25"/>
      <c r="BI10699" s="25"/>
      <c r="BJ10699" s="25"/>
      <c r="BK10699" s="25"/>
    </row>
    <row r="10700" spans="60:63" ht="14.25" x14ac:dyDescent="0.2">
      <c r="BH10700" s="25"/>
      <c r="BI10700" s="25"/>
      <c r="BJ10700" s="25"/>
      <c r="BK10700" s="25"/>
    </row>
    <row r="10701" spans="60:63" ht="14.25" x14ac:dyDescent="0.2">
      <c r="BH10701" s="25"/>
      <c r="BI10701" s="25"/>
      <c r="BJ10701" s="25"/>
      <c r="BK10701" s="25"/>
    </row>
    <row r="10702" spans="60:63" ht="14.25" x14ac:dyDescent="0.2">
      <c r="BH10702" s="25"/>
      <c r="BI10702" s="25"/>
      <c r="BJ10702" s="25"/>
      <c r="BK10702" s="25"/>
    </row>
    <row r="10703" spans="60:63" ht="14.25" x14ac:dyDescent="0.2">
      <c r="BH10703" s="25"/>
      <c r="BI10703" s="25"/>
      <c r="BJ10703" s="25"/>
      <c r="BK10703" s="25"/>
    </row>
    <row r="10704" spans="60:63" ht="14.25" x14ac:dyDescent="0.2">
      <c r="BH10704" s="25"/>
      <c r="BI10704" s="25"/>
      <c r="BJ10704" s="25"/>
      <c r="BK10704" s="25"/>
    </row>
    <row r="10705" spans="60:63" ht="14.25" x14ac:dyDescent="0.2">
      <c r="BH10705" s="25"/>
      <c r="BI10705" s="25"/>
      <c r="BJ10705" s="25"/>
      <c r="BK10705" s="25"/>
    </row>
    <row r="10706" spans="60:63" ht="14.25" x14ac:dyDescent="0.2">
      <c r="BH10706" s="25"/>
      <c r="BI10706" s="25"/>
      <c r="BJ10706" s="25"/>
      <c r="BK10706" s="25"/>
    </row>
    <row r="10707" spans="60:63" ht="14.25" x14ac:dyDescent="0.2">
      <c r="BH10707" s="25"/>
      <c r="BI10707" s="25"/>
      <c r="BJ10707" s="25"/>
      <c r="BK10707" s="25"/>
    </row>
    <row r="10708" spans="60:63" ht="14.25" x14ac:dyDescent="0.2">
      <c r="BH10708" s="25"/>
      <c r="BI10708" s="25"/>
      <c r="BJ10708" s="25"/>
      <c r="BK10708" s="25"/>
    </row>
    <row r="10709" spans="60:63" ht="14.25" x14ac:dyDescent="0.2">
      <c r="BH10709" s="25"/>
      <c r="BI10709" s="25"/>
      <c r="BJ10709" s="25"/>
      <c r="BK10709" s="25"/>
    </row>
    <row r="10710" spans="60:63" ht="14.25" x14ac:dyDescent="0.2">
      <c r="BH10710" s="25"/>
      <c r="BI10710" s="25"/>
      <c r="BJ10710" s="25"/>
      <c r="BK10710" s="25"/>
    </row>
    <row r="10711" spans="60:63" ht="14.25" x14ac:dyDescent="0.2">
      <c r="BH10711" s="25"/>
      <c r="BI10711" s="25"/>
      <c r="BJ10711" s="25"/>
      <c r="BK10711" s="25"/>
    </row>
    <row r="10712" spans="60:63" ht="14.25" x14ac:dyDescent="0.2">
      <c r="BH10712" s="25"/>
      <c r="BI10712" s="25"/>
      <c r="BJ10712" s="25"/>
      <c r="BK10712" s="25"/>
    </row>
    <row r="10713" spans="60:63" ht="14.25" x14ac:dyDescent="0.2">
      <c r="BH10713" s="25"/>
      <c r="BI10713" s="25"/>
      <c r="BJ10713" s="25"/>
      <c r="BK10713" s="25"/>
    </row>
    <row r="10714" spans="60:63" ht="14.25" x14ac:dyDescent="0.2">
      <c r="BH10714" s="25"/>
      <c r="BI10714" s="25"/>
      <c r="BJ10714" s="25"/>
      <c r="BK10714" s="25"/>
    </row>
    <row r="10715" spans="60:63" ht="14.25" x14ac:dyDescent="0.2">
      <c r="BH10715" s="25"/>
      <c r="BI10715" s="25"/>
      <c r="BJ10715" s="25"/>
      <c r="BK10715" s="25"/>
    </row>
    <row r="10716" spans="60:63" ht="14.25" x14ac:dyDescent="0.2">
      <c r="BH10716" s="25"/>
      <c r="BI10716" s="25"/>
      <c r="BJ10716" s="25"/>
      <c r="BK10716" s="25"/>
    </row>
    <row r="10717" spans="60:63" ht="14.25" x14ac:dyDescent="0.2">
      <c r="BH10717" s="25"/>
      <c r="BI10717" s="25"/>
      <c r="BJ10717" s="25"/>
      <c r="BK10717" s="25"/>
    </row>
    <row r="10718" spans="60:63" ht="14.25" x14ac:dyDescent="0.2">
      <c r="BH10718" s="25"/>
      <c r="BI10718" s="25"/>
      <c r="BJ10718" s="25"/>
      <c r="BK10718" s="25"/>
    </row>
    <row r="10719" spans="60:63" ht="14.25" x14ac:dyDescent="0.2">
      <c r="BH10719" s="25"/>
      <c r="BI10719" s="25"/>
      <c r="BJ10719" s="25"/>
      <c r="BK10719" s="25"/>
    </row>
    <row r="10720" spans="60:63" ht="14.25" x14ac:dyDescent="0.2">
      <c r="BH10720" s="25"/>
      <c r="BI10720" s="25"/>
      <c r="BJ10720" s="25"/>
      <c r="BK10720" s="25"/>
    </row>
    <row r="10721" spans="60:63" ht="14.25" x14ac:dyDescent="0.2">
      <c r="BH10721" s="25"/>
      <c r="BI10721" s="25"/>
      <c r="BJ10721" s="25"/>
      <c r="BK10721" s="25"/>
    </row>
    <row r="10722" spans="60:63" ht="14.25" x14ac:dyDescent="0.2">
      <c r="BH10722" s="25"/>
      <c r="BI10722" s="25"/>
      <c r="BJ10722" s="25"/>
      <c r="BK10722" s="25"/>
    </row>
    <row r="10723" spans="60:63" ht="14.25" x14ac:dyDescent="0.2">
      <c r="BH10723" s="25"/>
      <c r="BI10723" s="25"/>
      <c r="BJ10723" s="25"/>
      <c r="BK10723" s="25"/>
    </row>
    <row r="10724" spans="60:63" ht="14.25" x14ac:dyDescent="0.2">
      <c r="BH10724" s="25"/>
      <c r="BI10724" s="25"/>
      <c r="BJ10724" s="25"/>
      <c r="BK10724" s="25"/>
    </row>
    <row r="10725" spans="60:63" ht="14.25" x14ac:dyDescent="0.2">
      <c r="BH10725" s="25"/>
      <c r="BI10725" s="25"/>
      <c r="BJ10725" s="25"/>
      <c r="BK10725" s="25"/>
    </row>
    <row r="10726" spans="60:63" ht="14.25" x14ac:dyDescent="0.2">
      <c r="BH10726" s="25"/>
      <c r="BI10726" s="25"/>
      <c r="BJ10726" s="25"/>
      <c r="BK10726" s="25"/>
    </row>
    <row r="10727" spans="60:63" ht="14.25" x14ac:dyDescent="0.2">
      <c r="BH10727" s="25"/>
      <c r="BI10727" s="25"/>
      <c r="BJ10727" s="25"/>
      <c r="BK10727" s="25"/>
    </row>
    <row r="10728" spans="60:63" ht="14.25" x14ac:dyDescent="0.2">
      <c r="BH10728" s="25"/>
      <c r="BI10728" s="25"/>
      <c r="BJ10728" s="25"/>
      <c r="BK10728" s="25"/>
    </row>
    <row r="10729" spans="60:63" ht="14.25" x14ac:dyDescent="0.2">
      <c r="BH10729" s="25"/>
      <c r="BI10729" s="25"/>
      <c r="BJ10729" s="25"/>
      <c r="BK10729" s="25"/>
    </row>
    <row r="10730" spans="60:63" ht="14.25" x14ac:dyDescent="0.2">
      <c r="BH10730" s="25"/>
      <c r="BI10730" s="25"/>
      <c r="BJ10730" s="25"/>
      <c r="BK10730" s="25"/>
    </row>
    <row r="10731" spans="60:63" ht="14.25" x14ac:dyDescent="0.2">
      <c r="BH10731" s="25"/>
      <c r="BI10731" s="25"/>
      <c r="BJ10731" s="25"/>
      <c r="BK10731" s="25"/>
    </row>
    <row r="10732" spans="60:63" ht="14.25" x14ac:dyDescent="0.2">
      <c r="BH10732" s="25"/>
      <c r="BI10732" s="25"/>
      <c r="BJ10732" s="25"/>
      <c r="BK10732" s="25"/>
    </row>
    <row r="10733" spans="60:63" ht="14.25" x14ac:dyDescent="0.2">
      <c r="BH10733" s="25"/>
      <c r="BI10733" s="25"/>
      <c r="BJ10733" s="25"/>
      <c r="BK10733" s="25"/>
    </row>
    <row r="10734" spans="60:63" ht="14.25" x14ac:dyDescent="0.2">
      <c r="BH10734" s="25"/>
      <c r="BI10734" s="25"/>
      <c r="BJ10734" s="25"/>
      <c r="BK10734" s="25"/>
    </row>
    <row r="10735" spans="60:63" ht="14.25" x14ac:dyDescent="0.2">
      <c r="BH10735" s="25"/>
      <c r="BI10735" s="25"/>
      <c r="BJ10735" s="25"/>
      <c r="BK10735" s="25"/>
    </row>
    <row r="10736" spans="60:63" ht="14.25" x14ac:dyDescent="0.2">
      <c r="BH10736" s="25"/>
      <c r="BI10736" s="25"/>
      <c r="BJ10736" s="25"/>
      <c r="BK10736" s="25"/>
    </row>
    <row r="10737" spans="60:63" ht="14.25" x14ac:dyDescent="0.2">
      <c r="BH10737" s="25"/>
      <c r="BI10737" s="25"/>
      <c r="BJ10737" s="25"/>
      <c r="BK10737" s="25"/>
    </row>
    <row r="10738" spans="60:63" ht="14.25" x14ac:dyDescent="0.2">
      <c r="BH10738" s="25"/>
      <c r="BI10738" s="25"/>
      <c r="BJ10738" s="25"/>
      <c r="BK10738" s="25"/>
    </row>
    <row r="10739" spans="60:63" ht="14.25" x14ac:dyDescent="0.2">
      <c r="BH10739" s="25"/>
      <c r="BI10739" s="25"/>
      <c r="BJ10739" s="25"/>
      <c r="BK10739" s="25"/>
    </row>
    <row r="10740" spans="60:63" ht="14.25" x14ac:dyDescent="0.2">
      <c r="BH10740" s="25"/>
      <c r="BI10740" s="25"/>
      <c r="BJ10740" s="25"/>
      <c r="BK10740" s="25"/>
    </row>
    <row r="10741" spans="60:63" ht="14.25" x14ac:dyDescent="0.2">
      <c r="BH10741" s="25"/>
      <c r="BI10741" s="25"/>
      <c r="BJ10741" s="25"/>
      <c r="BK10741" s="25"/>
    </row>
    <row r="10742" spans="60:63" ht="14.25" x14ac:dyDescent="0.2">
      <c r="BH10742" s="25"/>
      <c r="BI10742" s="25"/>
      <c r="BJ10742" s="25"/>
      <c r="BK10742" s="25"/>
    </row>
    <row r="10743" spans="60:63" ht="14.25" x14ac:dyDescent="0.2">
      <c r="BH10743" s="25"/>
      <c r="BI10743" s="25"/>
      <c r="BJ10743" s="25"/>
      <c r="BK10743" s="25"/>
    </row>
    <row r="10744" spans="60:63" ht="14.25" x14ac:dyDescent="0.2">
      <c r="BH10744" s="25"/>
      <c r="BI10744" s="25"/>
      <c r="BJ10744" s="25"/>
      <c r="BK10744" s="25"/>
    </row>
    <row r="10745" spans="60:63" ht="14.25" x14ac:dyDescent="0.2">
      <c r="BH10745" s="25"/>
      <c r="BI10745" s="25"/>
      <c r="BJ10745" s="25"/>
      <c r="BK10745" s="25"/>
    </row>
    <row r="10746" spans="60:63" ht="14.25" x14ac:dyDescent="0.2">
      <c r="BH10746" s="25"/>
      <c r="BI10746" s="25"/>
      <c r="BJ10746" s="25"/>
      <c r="BK10746" s="25"/>
    </row>
    <row r="10747" spans="60:63" ht="14.25" x14ac:dyDescent="0.2">
      <c r="BH10747" s="25"/>
      <c r="BI10747" s="25"/>
      <c r="BJ10747" s="25"/>
      <c r="BK10747" s="25"/>
    </row>
    <row r="10748" spans="60:63" ht="14.25" x14ac:dyDescent="0.2">
      <c r="BH10748" s="25"/>
      <c r="BI10748" s="25"/>
      <c r="BJ10748" s="25"/>
      <c r="BK10748" s="25"/>
    </row>
    <row r="10749" spans="60:63" ht="14.25" x14ac:dyDescent="0.2">
      <c r="BH10749" s="25"/>
      <c r="BI10749" s="25"/>
      <c r="BJ10749" s="25"/>
      <c r="BK10749" s="25"/>
    </row>
    <row r="10750" spans="60:63" ht="14.25" x14ac:dyDescent="0.2">
      <c r="BH10750" s="25"/>
      <c r="BI10750" s="25"/>
      <c r="BJ10750" s="25"/>
      <c r="BK10750" s="25"/>
    </row>
    <row r="10751" spans="60:63" ht="14.25" x14ac:dyDescent="0.2">
      <c r="BH10751" s="25"/>
      <c r="BI10751" s="25"/>
      <c r="BJ10751" s="25"/>
      <c r="BK10751" s="25"/>
    </row>
    <row r="10752" spans="60:63" ht="14.25" x14ac:dyDescent="0.2">
      <c r="BH10752" s="25"/>
      <c r="BI10752" s="25"/>
      <c r="BJ10752" s="25"/>
      <c r="BK10752" s="25"/>
    </row>
    <row r="10753" spans="60:63" ht="14.25" x14ac:dyDescent="0.2">
      <c r="BH10753" s="25"/>
      <c r="BI10753" s="25"/>
      <c r="BJ10753" s="25"/>
      <c r="BK10753" s="25"/>
    </row>
    <row r="10754" spans="60:63" ht="14.25" x14ac:dyDescent="0.2">
      <c r="BH10754" s="25"/>
      <c r="BI10754" s="25"/>
      <c r="BJ10754" s="25"/>
      <c r="BK10754" s="25"/>
    </row>
    <row r="10755" spans="60:63" ht="14.25" x14ac:dyDescent="0.2">
      <c r="BH10755" s="25"/>
      <c r="BI10755" s="25"/>
      <c r="BJ10755" s="25"/>
      <c r="BK10755" s="25"/>
    </row>
    <row r="10756" spans="60:63" ht="14.25" x14ac:dyDescent="0.2">
      <c r="BH10756" s="25"/>
      <c r="BI10756" s="25"/>
      <c r="BJ10756" s="25"/>
      <c r="BK10756" s="25"/>
    </row>
    <row r="10757" spans="60:63" ht="14.25" x14ac:dyDescent="0.2">
      <c r="BH10757" s="25"/>
      <c r="BI10757" s="25"/>
      <c r="BJ10757" s="25"/>
      <c r="BK10757" s="25"/>
    </row>
    <row r="10758" spans="60:63" ht="14.25" x14ac:dyDescent="0.2">
      <c r="BH10758" s="25"/>
      <c r="BI10758" s="25"/>
      <c r="BJ10758" s="25"/>
      <c r="BK10758" s="25"/>
    </row>
    <row r="10759" spans="60:63" ht="14.25" x14ac:dyDescent="0.2">
      <c r="BH10759" s="25"/>
      <c r="BI10759" s="25"/>
      <c r="BJ10759" s="25"/>
      <c r="BK10759" s="25"/>
    </row>
    <row r="10760" spans="60:63" ht="14.25" x14ac:dyDescent="0.2">
      <c r="BH10760" s="25"/>
      <c r="BI10760" s="25"/>
      <c r="BJ10760" s="25"/>
      <c r="BK10760" s="25"/>
    </row>
    <row r="10761" spans="60:63" ht="14.25" x14ac:dyDescent="0.2">
      <c r="BH10761" s="25"/>
      <c r="BI10761" s="25"/>
      <c r="BJ10761" s="25"/>
      <c r="BK10761" s="25"/>
    </row>
    <row r="10762" spans="60:63" ht="14.25" x14ac:dyDescent="0.2">
      <c r="BH10762" s="25"/>
      <c r="BI10762" s="25"/>
      <c r="BJ10762" s="25"/>
      <c r="BK10762" s="25"/>
    </row>
    <row r="10763" spans="60:63" ht="14.25" x14ac:dyDescent="0.2">
      <c r="BH10763" s="25"/>
      <c r="BI10763" s="25"/>
      <c r="BJ10763" s="25"/>
      <c r="BK10763" s="25"/>
    </row>
    <row r="10764" spans="60:63" ht="14.25" x14ac:dyDescent="0.2">
      <c r="BH10764" s="25"/>
      <c r="BI10764" s="25"/>
      <c r="BJ10764" s="25"/>
      <c r="BK10764" s="25"/>
    </row>
    <row r="10765" spans="60:63" ht="14.25" x14ac:dyDescent="0.2">
      <c r="BH10765" s="25"/>
      <c r="BI10765" s="25"/>
      <c r="BJ10765" s="25"/>
      <c r="BK10765" s="25"/>
    </row>
    <row r="10766" spans="60:63" ht="14.25" x14ac:dyDescent="0.2">
      <c r="BH10766" s="25"/>
      <c r="BI10766" s="25"/>
      <c r="BJ10766" s="25"/>
      <c r="BK10766" s="25"/>
    </row>
    <row r="10767" spans="60:63" ht="14.25" x14ac:dyDescent="0.2">
      <c r="BH10767" s="25"/>
      <c r="BI10767" s="25"/>
      <c r="BJ10767" s="25"/>
      <c r="BK10767" s="25"/>
    </row>
    <row r="10768" spans="60:63" ht="14.25" x14ac:dyDescent="0.2">
      <c r="BH10768" s="25"/>
      <c r="BI10768" s="25"/>
      <c r="BJ10768" s="25"/>
      <c r="BK10768" s="25"/>
    </row>
    <row r="10769" spans="60:63" ht="14.25" x14ac:dyDescent="0.2">
      <c r="BH10769" s="25"/>
      <c r="BI10769" s="25"/>
      <c r="BJ10769" s="25"/>
      <c r="BK10769" s="25"/>
    </row>
    <row r="10770" spans="60:63" ht="14.25" x14ac:dyDescent="0.2">
      <c r="BH10770" s="25"/>
      <c r="BI10770" s="25"/>
      <c r="BJ10770" s="25"/>
      <c r="BK10770" s="25"/>
    </row>
    <row r="10771" spans="60:63" ht="14.25" x14ac:dyDescent="0.2">
      <c r="BH10771" s="25"/>
      <c r="BI10771" s="25"/>
      <c r="BJ10771" s="25"/>
      <c r="BK10771" s="25"/>
    </row>
    <row r="10772" spans="60:63" ht="14.25" x14ac:dyDescent="0.2">
      <c r="BH10772" s="25"/>
      <c r="BI10772" s="25"/>
      <c r="BJ10772" s="25"/>
      <c r="BK10772" s="25"/>
    </row>
    <row r="10773" spans="60:63" ht="14.25" x14ac:dyDescent="0.2">
      <c r="BH10773" s="25"/>
      <c r="BI10773" s="25"/>
      <c r="BJ10773" s="25"/>
      <c r="BK10773" s="25"/>
    </row>
    <row r="10774" spans="60:63" ht="14.25" x14ac:dyDescent="0.2">
      <c r="BH10774" s="25"/>
      <c r="BI10774" s="25"/>
      <c r="BJ10774" s="25"/>
      <c r="BK10774" s="25"/>
    </row>
    <row r="10775" spans="60:63" ht="14.25" x14ac:dyDescent="0.2">
      <c r="BH10775" s="25"/>
      <c r="BI10775" s="25"/>
      <c r="BJ10775" s="25"/>
      <c r="BK10775" s="25"/>
    </row>
    <row r="10776" spans="60:63" ht="14.25" x14ac:dyDescent="0.2">
      <c r="BH10776" s="25"/>
      <c r="BI10776" s="25"/>
      <c r="BJ10776" s="25"/>
      <c r="BK10776" s="25"/>
    </row>
    <row r="10777" spans="60:63" ht="14.25" x14ac:dyDescent="0.2">
      <c r="BH10777" s="25"/>
      <c r="BI10777" s="25"/>
      <c r="BJ10777" s="25"/>
      <c r="BK10777" s="25"/>
    </row>
    <row r="10778" spans="60:63" ht="14.25" x14ac:dyDescent="0.2">
      <c r="BH10778" s="25"/>
      <c r="BI10778" s="25"/>
      <c r="BJ10778" s="25"/>
      <c r="BK10778" s="25"/>
    </row>
    <row r="10779" spans="60:63" ht="14.25" x14ac:dyDescent="0.2">
      <c r="BH10779" s="25"/>
      <c r="BI10779" s="25"/>
      <c r="BJ10779" s="25"/>
      <c r="BK10779" s="25"/>
    </row>
    <row r="10780" spans="60:63" ht="14.25" x14ac:dyDescent="0.2">
      <c r="BH10780" s="25"/>
      <c r="BI10780" s="25"/>
      <c r="BJ10780" s="25"/>
      <c r="BK10780" s="25"/>
    </row>
    <row r="10781" spans="60:63" ht="14.25" x14ac:dyDescent="0.2">
      <c r="BH10781" s="25"/>
      <c r="BI10781" s="25"/>
      <c r="BJ10781" s="25"/>
      <c r="BK10781" s="25"/>
    </row>
    <row r="10782" spans="60:63" ht="14.25" x14ac:dyDescent="0.2">
      <c r="BH10782" s="25"/>
      <c r="BI10782" s="25"/>
      <c r="BJ10782" s="25"/>
      <c r="BK10782" s="25"/>
    </row>
    <row r="10783" spans="60:63" ht="14.25" x14ac:dyDescent="0.2">
      <c r="BH10783" s="25"/>
      <c r="BI10783" s="25"/>
      <c r="BJ10783" s="25"/>
      <c r="BK10783" s="25"/>
    </row>
    <row r="10784" spans="60:63" ht="14.25" x14ac:dyDescent="0.2">
      <c r="BH10784" s="25"/>
      <c r="BI10784" s="25"/>
      <c r="BJ10784" s="25"/>
      <c r="BK10784" s="25"/>
    </row>
    <row r="10785" spans="60:63" ht="14.25" x14ac:dyDescent="0.2">
      <c r="BH10785" s="25"/>
      <c r="BI10785" s="25"/>
      <c r="BJ10785" s="25"/>
      <c r="BK10785" s="25"/>
    </row>
    <row r="10786" spans="60:63" ht="14.25" x14ac:dyDescent="0.2">
      <c r="BH10786" s="25"/>
      <c r="BI10786" s="25"/>
      <c r="BJ10786" s="25"/>
      <c r="BK10786" s="25"/>
    </row>
    <row r="10787" spans="60:63" ht="14.25" x14ac:dyDescent="0.2">
      <c r="BH10787" s="25"/>
      <c r="BI10787" s="25"/>
      <c r="BJ10787" s="25"/>
      <c r="BK10787" s="25"/>
    </row>
    <row r="10788" spans="60:63" ht="14.25" x14ac:dyDescent="0.2">
      <c r="BH10788" s="25"/>
      <c r="BI10788" s="25"/>
      <c r="BJ10788" s="25"/>
      <c r="BK10788" s="25"/>
    </row>
    <row r="10789" spans="60:63" ht="14.25" x14ac:dyDescent="0.2">
      <c r="BH10789" s="25"/>
      <c r="BI10789" s="25"/>
      <c r="BJ10789" s="25"/>
      <c r="BK10789" s="25"/>
    </row>
    <row r="10790" spans="60:63" ht="14.25" x14ac:dyDescent="0.2">
      <c r="BH10790" s="25"/>
      <c r="BI10790" s="25"/>
      <c r="BJ10790" s="25"/>
      <c r="BK10790" s="25"/>
    </row>
    <row r="10791" spans="60:63" ht="14.25" x14ac:dyDescent="0.2">
      <c r="BH10791" s="25"/>
      <c r="BI10791" s="25"/>
      <c r="BJ10791" s="25"/>
      <c r="BK10791" s="25"/>
    </row>
    <row r="10792" spans="60:63" ht="14.25" x14ac:dyDescent="0.2">
      <c r="BH10792" s="25"/>
      <c r="BI10792" s="25"/>
      <c r="BJ10792" s="25"/>
      <c r="BK10792" s="25"/>
    </row>
    <row r="10793" spans="60:63" ht="14.25" x14ac:dyDescent="0.2">
      <c r="BH10793" s="25"/>
      <c r="BI10793" s="25"/>
      <c r="BJ10793" s="25"/>
      <c r="BK10793" s="25"/>
    </row>
    <row r="10794" spans="60:63" ht="14.25" x14ac:dyDescent="0.2">
      <c r="BH10794" s="25"/>
      <c r="BI10794" s="25"/>
      <c r="BJ10794" s="25"/>
      <c r="BK10794" s="25"/>
    </row>
    <row r="10795" spans="60:63" ht="14.25" x14ac:dyDescent="0.2">
      <c r="BH10795" s="25"/>
      <c r="BI10795" s="25"/>
      <c r="BJ10795" s="25"/>
      <c r="BK10795" s="25"/>
    </row>
    <row r="10796" spans="60:63" ht="14.25" x14ac:dyDescent="0.2">
      <c r="BH10796" s="25"/>
      <c r="BI10796" s="25"/>
      <c r="BJ10796" s="25"/>
      <c r="BK10796" s="25"/>
    </row>
    <row r="10797" spans="60:63" ht="14.25" x14ac:dyDescent="0.2">
      <c r="BH10797" s="25"/>
      <c r="BI10797" s="25"/>
      <c r="BJ10797" s="25"/>
      <c r="BK10797" s="25"/>
    </row>
    <row r="10798" spans="60:63" ht="14.25" x14ac:dyDescent="0.2">
      <c r="BH10798" s="25"/>
      <c r="BI10798" s="25"/>
      <c r="BJ10798" s="25"/>
      <c r="BK10798" s="25"/>
    </row>
    <row r="10799" spans="60:63" ht="14.25" x14ac:dyDescent="0.2">
      <c r="BH10799" s="25"/>
      <c r="BI10799" s="25"/>
      <c r="BJ10799" s="25"/>
      <c r="BK10799" s="25"/>
    </row>
    <row r="10800" spans="60:63" ht="14.25" x14ac:dyDescent="0.2">
      <c r="BH10800" s="25"/>
      <c r="BI10800" s="25"/>
      <c r="BJ10800" s="25"/>
      <c r="BK10800" s="25"/>
    </row>
    <row r="10801" spans="60:63" ht="14.25" x14ac:dyDescent="0.2">
      <c r="BH10801" s="25"/>
      <c r="BI10801" s="25"/>
      <c r="BJ10801" s="25"/>
      <c r="BK10801" s="25"/>
    </row>
    <row r="10802" spans="60:63" ht="14.25" x14ac:dyDescent="0.2">
      <c r="BH10802" s="25"/>
      <c r="BI10802" s="25"/>
      <c r="BJ10802" s="25"/>
      <c r="BK10802" s="25"/>
    </row>
    <row r="10803" spans="60:63" ht="14.25" x14ac:dyDescent="0.2">
      <c r="BH10803" s="25"/>
      <c r="BI10803" s="25"/>
      <c r="BJ10803" s="25"/>
      <c r="BK10803" s="25"/>
    </row>
    <row r="10804" spans="60:63" ht="14.25" x14ac:dyDescent="0.2">
      <c r="BH10804" s="25"/>
      <c r="BI10804" s="25"/>
      <c r="BJ10804" s="25"/>
      <c r="BK10804" s="25"/>
    </row>
    <row r="10805" spans="60:63" ht="14.25" x14ac:dyDescent="0.2">
      <c r="BH10805" s="25"/>
      <c r="BI10805" s="25"/>
      <c r="BJ10805" s="25"/>
      <c r="BK10805" s="25"/>
    </row>
    <row r="10806" spans="60:63" ht="14.25" x14ac:dyDescent="0.2">
      <c r="BH10806" s="25"/>
      <c r="BI10806" s="25"/>
      <c r="BJ10806" s="25"/>
      <c r="BK10806" s="25"/>
    </row>
    <row r="10807" spans="60:63" ht="14.25" x14ac:dyDescent="0.2">
      <c r="BH10807" s="25"/>
      <c r="BI10807" s="25"/>
      <c r="BJ10807" s="25"/>
      <c r="BK10807" s="25"/>
    </row>
    <row r="10808" spans="60:63" ht="14.25" x14ac:dyDescent="0.2">
      <c r="BH10808" s="25"/>
      <c r="BI10808" s="25"/>
      <c r="BJ10808" s="25"/>
      <c r="BK10808" s="25"/>
    </row>
    <row r="10809" spans="60:63" ht="14.25" x14ac:dyDescent="0.2">
      <c r="BH10809" s="25"/>
      <c r="BI10809" s="25"/>
      <c r="BJ10809" s="25"/>
      <c r="BK10809" s="25"/>
    </row>
    <row r="10810" spans="60:63" ht="14.25" x14ac:dyDescent="0.2">
      <c r="BH10810" s="25"/>
      <c r="BI10810" s="25"/>
      <c r="BJ10810" s="25"/>
      <c r="BK10810" s="25"/>
    </row>
    <row r="10811" spans="60:63" ht="14.25" x14ac:dyDescent="0.2">
      <c r="BH10811" s="25"/>
      <c r="BI10811" s="25"/>
      <c r="BJ10811" s="25"/>
      <c r="BK10811" s="25"/>
    </row>
    <row r="10812" spans="60:63" ht="14.25" x14ac:dyDescent="0.2">
      <c r="BH10812" s="25"/>
      <c r="BI10812" s="25"/>
      <c r="BJ10812" s="25"/>
      <c r="BK10812" s="25"/>
    </row>
    <row r="10813" spans="60:63" ht="14.25" x14ac:dyDescent="0.2">
      <c r="BH10813" s="25"/>
      <c r="BI10813" s="25"/>
      <c r="BJ10813" s="25"/>
      <c r="BK10813" s="25"/>
    </row>
    <row r="10814" spans="60:63" ht="14.25" x14ac:dyDescent="0.2">
      <c r="BH10814" s="25"/>
      <c r="BI10814" s="25"/>
      <c r="BJ10814" s="25"/>
      <c r="BK10814" s="25"/>
    </row>
    <row r="10815" spans="60:63" ht="14.25" x14ac:dyDescent="0.2">
      <c r="BH10815" s="25"/>
      <c r="BI10815" s="25"/>
      <c r="BJ10815" s="25"/>
      <c r="BK10815" s="25"/>
    </row>
    <row r="10816" spans="60:63" ht="14.25" x14ac:dyDescent="0.2">
      <c r="BH10816" s="25"/>
      <c r="BI10816" s="25"/>
      <c r="BJ10816" s="25"/>
      <c r="BK10816" s="25"/>
    </row>
    <row r="10817" spans="60:63" ht="14.25" x14ac:dyDescent="0.2">
      <c r="BH10817" s="25"/>
      <c r="BI10817" s="25"/>
      <c r="BJ10817" s="25"/>
      <c r="BK10817" s="25"/>
    </row>
    <row r="10818" spans="60:63" ht="14.25" x14ac:dyDescent="0.2">
      <c r="BH10818" s="25"/>
      <c r="BI10818" s="25"/>
      <c r="BJ10818" s="25"/>
      <c r="BK10818" s="25"/>
    </row>
    <row r="10819" spans="60:63" ht="14.25" x14ac:dyDescent="0.2">
      <c r="BH10819" s="25"/>
      <c r="BI10819" s="25"/>
      <c r="BJ10819" s="25"/>
      <c r="BK10819" s="25"/>
    </row>
    <row r="10820" spans="60:63" ht="14.25" x14ac:dyDescent="0.2">
      <c r="BH10820" s="25"/>
      <c r="BI10820" s="25"/>
      <c r="BJ10820" s="25"/>
      <c r="BK10820" s="25"/>
    </row>
    <row r="10821" spans="60:63" ht="14.25" x14ac:dyDescent="0.2">
      <c r="BH10821" s="25"/>
      <c r="BI10821" s="25"/>
      <c r="BJ10821" s="25"/>
      <c r="BK10821" s="25"/>
    </row>
    <row r="10822" spans="60:63" ht="14.25" x14ac:dyDescent="0.2">
      <c r="BH10822" s="25"/>
      <c r="BI10822" s="25"/>
      <c r="BJ10822" s="25"/>
      <c r="BK10822" s="25"/>
    </row>
    <row r="10823" spans="60:63" ht="14.25" x14ac:dyDescent="0.2">
      <c r="BH10823" s="25"/>
      <c r="BI10823" s="25"/>
      <c r="BJ10823" s="25"/>
      <c r="BK10823" s="25"/>
    </row>
    <row r="10824" spans="60:63" ht="14.25" x14ac:dyDescent="0.2">
      <c r="BH10824" s="25"/>
      <c r="BI10824" s="25"/>
      <c r="BJ10824" s="25"/>
      <c r="BK10824" s="25"/>
    </row>
    <row r="10825" spans="60:63" ht="14.25" x14ac:dyDescent="0.2">
      <c r="BH10825" s="25"/>
      <c r="BI10825" s="25"/>
      <c r="BJ10825" s="25"/>
      <c r="BK10825" s="25"/>
    </row>
    <row r="10826" spans="60:63" ht="14.25" x14ac:dyDescent="0.2">
      <c r="BH10826" s="25"/>
      <c r="BI10826" s="25"/>
      <c r="BJ10826" s="25"/>
      <c r="BK10826" s="25"/>
    </row>
    <row r="10827" spans="60:63" ht="14.25" x14ac:dyDescent="0.2">
      <c r="BH10827" s="25"/>
      <c r="BI10827" s="25"/>
      <c r="BJ10827" s="25"/>
      <c r="BK10827" s="25"/>
    </row>
    <row r="10828" spans="60:63" ht="14.25" x14ac:dyDescent="0.2">
      <c r="BH10828" s="25"/>
      <c r="BI10828" s="25"/>
      <c r="BJ10828" s="25"/>
      <c r="BK10828" s="25"/>
    </row>
    <row r="10829" spans="60:63" ht="14.25" x14ac:dyDescent="0.2">
      <c r="BH10829" s="25"/>
      <c r="BI10829" s="25"/>
      <c r="BJ10829" s="25"/>
      <c r="BK10829" s="25"/>
    </row>
    <row r="10830" spans="60:63" ht="14.25" x14ac:dyDescent="0.2">
      <c r="BH10830" s="25"/>
      <c r="BI10830" s="25"/>
      <c r="BJ10830" s="25"/>
      <c r="BK10830" s="25"/>
    </row>
    <row r="10831" spans="60:63" ht="14.25" x14ac:dyDescent="0.2">
      <c r="BH10831" s="25"/>
      <c r="BI10831" s="25"/>
      <c r="BJ10831" s="25"/>
      <c r="BK10831" s="25"/>
    </row>
    <row r="10832" spans="60:63" ht="14.25" x14ac:dyDescent="0.2">
      <c r="BH10832" s="25"/>
      <c r="BI10832" s="25"/>
      <c r="BJ10832" s="25"/>
      <c r="BK10832" s="25"/>
    </row>
    <row r="10833" spans="60:63" ht="14.25" x14ac:dyDescent="0.2">
      <c r="BH10833" s="25"/>
      <c r="BI10833" s="25"/>
      <c r="BJ10833" s="25"/>
      <c r="BK10833" s="25"/>
    </row>
    <row r="10834" spans="60:63" ht="14.25" x14ac:dyDescent="0.2">
      <c r="BH10834" s="25"/>
      <c r="BI10834" s="25"/>
      <c r="BJ10834" s="25"/>
      <c r="BK10834" s="25"/>
    </row>
    <row r="10835" spans="60:63" ht="14.25" x14ac:dyDescent="0.2">
      <c r="BH10835" s="25"/>
      <c r="BI10835" s="25"/>
      <c r="BJ10835" s="25"/>
      <c r="BK10835" s="25"/>
    </row>
    <row r="10836" spans="60:63" ht="14.25" x14ac:dyDescent="0.2">
      <c r="BH10836" s="25"/>
      <c r="BI10836" s="25"/>
      <c r="BJ10836" s="25"/>
      <c r="BK10836" s="25"/>
    </row>
    <row r="10837" spans="60:63" ht="14.25" x14ac:dyDescent="0.2">
      <c r="BH10837" s="25"/>
      <c r="BI10837" s="25"/>
      <c r="BJ10837" s="25"/>
      <c r="BK10837" s="25"/>
    </row>
    <row r="10838" spans="60:63" ht="14.25" x14ac:dyDescent="0.2">
      <c r="BH10838" s="25"/>
      <c r="BI10838" s="25"/>
      <c r="BJ10838" s="25"/>
      <c r="BK10838" s="25"/>
    </row>
    <row r="10839" spans="60:63" ht="14.25" x14ac:dyDescent="0.2">
      <c r="BH10839" s="25"/>
      <c r="BI10839" s="25"/>
      <c r="BJ10839" s="25"/>
      <c r="BK10839" s="25"/>
    </row>
    <row r="10840" spans="60:63" ht="14.25" x14ac:dyDescent="0.2">
      <c r="BH10840" s="25"/>
      <c r="BI10840" s="25"/>
      <c r="BJ10840" s="25"/>
      <c r="BK10840" s="25"/>
    </row>
    <row r="10841" spans="60:63" ht="14.25" x14ac:dyDescent="0.2">
      <c r="BH10841" s="25"/>
      <c r="BI10841" s="25"/>
      <c r="BJ10841" s="25"/>
      <c r="BK10841" s="25"/>
    </row>
    <row r="10842" spans="60:63" ht="14.25" x14ac:dyDescent="0.2">
      <c r="BH10842" s="25"/>
      <c r="BI10842" s="25"/>
      <c r="BJ10842" s="25"/>
      <c r="BK10842" s="25"/>
    </row>
    <row r="10843" spans="60:63" ht="14.25" x14ac:dyDescent="0.2">
      <c r="BH10843" s="25"/>
      <c r="BI10843" s="25"/>
      <c r="BJ10843" s="25"/>
      <c r="BK10843" s="25"/>
    </row>
    <row r="10844" spans="60:63" ht="14.25" x14ac:dyDescent="0.2">
      <c r="BH10844" s="25"/>
      <c r="BI10844" s="25"/>
      <c r="BJ10844" s="25"/>
      <c r="BK10844" s="25"/>
    </row>
    <row r="10845" spans="60:63" ht="14.25" x14ac:dyDescent="0.2">
      <c r="BH10845" s="25"/>
      <c r="BI10845" s="25"/>
      <c r="BJ10845" s="25"/>
      <c r="BK10845" s="25"/>
    </row>
    <row r="10846" spans="60:63" ht="14.25" x14ac:dyDescent="0.2">
      <c r="BH10846" s="25"/>
      <c r="BI10846" s="25"/>
      <c r="BJ10846" s="25"/>
      <c r="BK10846" s="25"/>
    </row>
    <row r="10847" spans="60:63" ht="14.25" x14ac:dyDescent="0.2">
      <c r="BH10847" s="25"/>
      <c r="BI10847" s="25"/>
      <c r="BJ10847" s="25"/>
      <c r="BK10847" s="25"/>
    </row>
    <row r="10848" spans="60:63" ht="14.25" x14ac:dyDescent="0.2">
      <c r="BH10848" s="25"/>
      <c r="BI10848" s="25"/>
      <c r="BJ10848" s="25"/>
      <c r="BK10848" s="25"/>
    </row>
    <row r="10849" spans="60:63" ht="14.25" x14ac:dyDescent="0.2">
      <c r="BH10849" s="25"/>
      <c r="BI10849" s="25"/>
      <c r="BJ10849" s="25"/>
      <c r="BK10849" s="25"/>
    </row>
    <row r="10850" spans="60:63" ht="14.25" x14ac:dyDescent="0.2">
      <c r="BH10850" s="25"/>
      <c r="BI10850" s="25"/>
      <c r="BJ10850" s="25"/>
      <c r="BK10850" s="25"/>
    </row>
    <row r="10851" spans="60:63" ht="14.25" x14ac:dyDescent="0.2">
      <c r="BH10851" s="25"/>
      <c r="BI10851" s="25"/>
      <c r="BJ10851" s="25"/>
      <c r="BK10851" s="25"/>
    </row>
    <row r="10852" spans="60:63" ht="14.25" x14ac:dyDescent="0.2">
      <c r="BH10852" s="25"/>
      <c r="BI10852" s="25"/>
      <c r="BJ10852" s="25"/>
      <c r="BK10852" s="25"/>
    </row>
    <row r="10853" spans="60:63" ht="14.25" x14ac:dyDescent="0.2">
      <c r="BH10853" s="25"/>
      <c r="BI10853" s="25"/>
      <c r="BJ10853" s="25"/>
      <c r="BK10853" s="25"/>
    </row>
    <row r="10854" spans="60:63" ht="14.25" x14ac:dyDescent="0.2">
      <c r="BH10854" s="25"/>
      <c r="BI10854" s="25"/>
      <c r="BJ10854" s="25"/>
      <c r="BK10854" s="25"/>
    </row>
    <row r="10855" spans="60:63" ht="14.25" x14ac:dyDescent="0.2">
      <c r="BH10855" s="25"/>
      <c r="BI10855" s="25"/>
      <c r="BJ10855" s="25"/>
      <c r="BK10855" s="25"/>
    </row>
    <row r="10856" spans="60:63" ht="14.25" x14ac:dyDescent="0.2">
      <c r="BH10856" s="25"/>
      <c r="BI10856" s="25"/>
      <c r="BJ10856" s="25"/>
      <c r="BK10856" s="25"/>
    </row>
    <row r="10857" spans="60:63" ht="14.25" x14ac:dyDescent="0.2">
      <c r="BH10857" s="25"/>
      <c r="BI10857" s="25"/>
      <c r="BJ10857" s="25"/>
      <c r="BK10857" s="25"/>
    </row>
    <row r="10858" spans="60:63" ht="14.25" x14ac:dyDescent="0.2">
      <c r="BH10858" s="25"/>
      <c r="BI10858" s="25"/>
      <c r="BJ10858" s="25"/>
      <c r="BK10858" s="25"/>
    </row>
    <row r="10859" spans="60:63" ht="14.25" x14ac:dyDescent="0.2">
      <c r="BH10859" s="25"/>
      <c r="BI10859" s="25"/>
      <c r="BJ10859" s="25"/>
      <c r="BK10859" s="25"/>
    </row>
    <row r="10860" spans="60:63" ht="14.25" x14ac:dyDescent="0.2">
      <c r="BH10860" s="25"/>
      <c r="BI10860" s="25"/>
      <c r="BJ10860" s="25"/>
      <c r="BK10860" s="25"/>
    </row>
    <row r="10861" spans="60:63" ht="14.25" x14ac:dyDescent="0.2">
      <c r="BH10861" s="25"/>
      <c r="BI10861" s="25"/>
      <c r="BJ10861" s="25"/>
      <c r="BK10861" s="25"/>
    </row>
    <row r="10862" spans="60:63" ht="14.25" x14ac:dyDescent="0.2">
      <c r="BH10862" s="25"/>
      <c r="BI10862" s="25"/>
      <c r="BJ10862" s="25"/>
      <c r="BK10862" s="25"/>
    </row>
    <row r="10863" spans="60:63" ht="14.25" x14ac:dyDescent="0.2">
      <c r="BH10863" s="25"/>
      <c r="BI10863" s="25"/>
      <c r="BJ10863" s="25"/>
      <c r="BK10863" s="25"/>
    </row>
    <row r="10864" spans="60:63" ht="14.25" x14ac:dyDescent="0.2">
      <c r="BH10864" s="25"/>
      <c r="BI10864" s="25"/>
      <c r="BJ10864" s="25"/>
      <c r="BK10864" s="25"/>
    </row>
    <row r="10865" spans="60:63" ht="14.25" x14ac:dyDescent="0.2">
      <c r="BH10865" s="25"/>
      <c r="BI10865" s="25"/>
      <c r="BJ10865" s="25"/>
      <c r="BK10865" s="25"/>
    </row>
    <row r="10866" spans="60:63" ht="14.25" x14ac:dyDescent="0.2">
      <c r="BH10866" s="25"/>
      <c r="BI10866" s="25"/>
      <c r="BJ10866" s="25"/>
      <c r="BK10866" s="25"/>
    </row>
    <row r="10867" spans="60:63" ht="14.25" x14ac:dyDescent="0.2">
      <c r="BH10867" s="25"/>
      <c r="BI10867" s="25"/>
      <c r="BJ10867" s="25"/>
      <c r="BK10867" s="25"/>
    </row>
    <row r="10868" spans="60:63" ht="14.25" x14ac:dyDescent="0.2">
      <c r="BH10868" s="25"/>
      <c r="BI10868" s="25"/>
      <c r="BJ10868" s="25"/>
      <c r="BK10868" s="25"/>
    </row>
    <row r="10869" spans="60:63" ht="14.25" x14ac:dyDescent="0.2">
      <c r="BH10869" s="25"/>
      <c r="BI10869" s="25"/>
      <c r="BJ10869" s="25"/>
      <c r="BK10869" s="25"/>
    </row>
    <row r="10870" spans="60:63" ht="14.25" x14ac:dyDescent="0.2">
      <c r="BH10870" s="25"/>
      <c r="BI10870" s="25"/>
      <c r="BJ10870" s="25"/>
      <c r="BK10870" s="25"/>
    </row>
    <row r="10871" spans="60:63" ht="14.25" x14ac:dyDescent="0.2">
      <c r="BH10871" s="25"/>
      <c r="BI10871" s="25"/>
      <c r="BJ10871" s="25"/>
      <c r="BK10871" s="25"/>
    </row>
    <row r="10872" spans="60:63" ht="14.25" x14ac:dyDescent="0.2">
      <c r="BH10872" s="25"/>
      <c r="BI10872" s="25"/>
      <c r="BJ10872" s="25"/>
      <c r="BK10872" s="25"/>
    </row>
    <row r="10873" spans="60:63" ht="14.25" x14ac:dyDescent="0.2">
      <c r="BH10873" s="25"/>
      <c r="BI10873" s="25"/>
      <c r="BJ10873" s="25"/>
      <c r="BK10873" s="25"/>
    </row>
    <row r="10874" spans="60:63" ht="14.25" x14ac:dyDescent="0.2">
      <c r="BH10874" s="25"/>
      <c r="BI10874" s="25"/>
      <c r="BJ10874" s="25"/>
      <c r="BK10874" s="25"/>
    </row>
    <row r="10875" spans="60:63" ht="14.25" x14ac:dyDescent="0.2">
      <c r="BH10875" s="25"/>
      <c r="BI10875" s="25"/>
      <c r="BJ10875" s="25"/>
      <c r="BK10875" s="25"/>
    </row>
    <row r="10876" spans="60:63" ht="14.25" x14ac:dyDescent="0.2">
      <c r="BH10876" s="25"/>
      <c r="BI10876" s="25"/>
      <c r="BJ10876" s="25"/>
      <c r="BK10876" s="25"/>
    </row>
    <row r="10877" spans="60:63" ht="14.25" x14ac:dyDescent="0.2">
      <c r="BH10877" s="25"/>
      <c r="BI10877" s="25"/>
      <c r="BJ10877" s="25"/>
      <c r="BK10877" s="25"/>
    </row>
    <row r="10878" spans="60:63" ht="14.25" x14ac:dyDescent="0.2">
      <c r="BH10878" s="25"/>
      <c r="BI10878" s="25"/>
      <c r="BJ10878" s="25"/>
      <c r="BK10878" s="25"/>
    </row>
    <row r="10879" spans="60:63" ht="14.25" x14ac:dyDescent="0.2">
      <c r="BH10879" s="25"/>
      <c r="BI10879" s="25"/>
      <c r="BJ10879" s="25"/>
      <c r="BK10879" s="25"/>
    </row>
    <row r="10880" spans="60:63" ht="14.25" x14ac:dyDescent="0.2">
      <c r="BH10880" s="25"/>
      <c r="BI10880" s="25"/>
      <c r="BJ10880" s="25"/>
      <c r="BK10880" s="25"/>
    </row>
    <row r="10881" spans="60:63" ht="14.25" x14ac:dyDescent="0.2">
      <c r="BH10881" s="25"/>
      <c r="BI10881" s="25"/>
      <c r="BJ10881" s="25"/>
      <c r="BK10881" s="25"/>
    </row>
    <row r="10882" spans="60:63" ht="14.25" x14ac:dyDescent="0.2">
      <c r="BH10882" s="25"/>
      <c r="BI10882" s="25"/>
      <c r="BJ10882" s="25"/>
      <c r="BK10882" s="25"/>
    </row>
    <row r="10883" spans="60:63" ht="14.25" x14ac:dyDescent="0.2">
      <c r="BH10883" s="25"/>
      <c r="BI10883" s="25"/>
      <c r="BJ10883" s="25"/>
      <c r="BK10883" s="25"/>
    </row>
    <row r="10884" spans="60:63" ht="14.25" x14ac:dyDescent="0.2">
      <c r="BH10884" s="25"/>
      <c r="BI10884" s="25"/>
      <c r="BJ10884" s="25"/>
      <c r="BK10884" s="25"/>
    </row>
    <row r="10885" spans="60:63" ht="14.25" x14ac:dyDescent="0.2">
      <c r="BH10885" s="25"/>
      <c r="BI10885" s="25"/>
      <c r="BJ10885" s="25"/>
      <c r="BK10885" s="25"/>
    </row>
    <row r="10886" spans="60:63" ht="14.25" x14ac:dyDescent="0.2">
      <c r="BH10886" s="25"/>
      <c r="BI10886" s="25"/>
      <c r="BJ10886" s="25"/>
      <c r="BK10886" s="25"/>
    </row>
    <row r="10887" spans="60:63" ht="14.25" x14ac:dyDescent="0.2">
      <c r="BH10887" s="25"/>
      <c r="BI10887" s="25"/>
      <c r="BJ10887" s="25"/>
      <c r="BK10887" s="25"/>
    </row>
    <row r="10888" spans="60:63" ht="14.25" x14ac:dyDescent="0.2">
      <c r="BH10888" s="25"/>
      <c r="BI10888" s="25"/>
      <c r="BJ10888" s="25"/>
      <c r="BK10888" s="25"/>
    </row>
    <row r="10889" spans="60:63" ht="14.25" x14ac:dyDescent="0.2">
      <c r="BH10889" s="25"/>
      <c r="BI10889" s="25"/>
      <c r="BJ10889" s="25"/>
      <c r="BK10889" s="25"/>
    </row>
    <row r="10890" spans="60:63" ht="14.25" x14ac:dyDescent="0.2">
      <c r="BH10890" s="25"/>
      <c r="BI10890" s="25"/>
      <c r="BJ10890" s="25"/>
      <c r="BK10890" s="25"/>
    </row>
    <row r="10891" spans="60:63" ht="14.25" x14ac:dyDescent="0.2">
      <c r="BH10891" s="25"/>
      <c r="BI10891" s="25"/>
      <c r="BJ10891" s="25"/>
      <c r="BK10891" s="25"/>
    </row>
    <row r="10892" spans="60:63" ht="14.25" x14ac:dyDescent="0.2">
      <c r="BH10892" s="25"/>
      <c r="BI10892" s="25"/>
      <c r="BJ10892" s="25"/>
      <c r="BK10892" s="25"/>
    </row>
    <row r="10893" spans="60:63" ht="14.25" x14ac:dyDescent="0.2">
      <c r="BH10893" s="25"/>
      <c r="BI10893" s="25"/>
      <c r="BJ10893" s="25"/>
      <c r="BK10893" s="25"/>
    </row>
    <row r="10894" spans="60:63" ht="14.25" x14ac:dyDescent="0.2">
      <c r="BH10894" s="25"/>
      <c r="BI10894" s="25"/>
      <c r="BJ10894" s="25"/>
      <c r="BK10894" s="25"/>
    </row>
    <row r="10895" spans="60:63" ht="14.25" x14ac:dyDescent="0.2">
      <c r="BH10895" s="25"/>
      <c r="BI10895" s="25"/>
      <c r="BJ10895" s="25"/>
      <c r="BK10895" s="25"/>
    </row>
    <row r="10896" spans="60:63" ht="14.25" x14ac:dyDescent="0.2">
      <c r="BH10896" s="25"/>
      <c r="BI10896" s="25"/>
      <c r="BJ10896" s="25"/>
      <c r="BK10896" s="25"/>
    </row>
    <row r="10897" spans="60:63" ht="14.25" x14ac:dyDescent="0.2">
      <c r="BH10897" s="25"/>
      <c r="BI10897" s="25"/>
      <c r="BJ10897" s="25"/>
      <c r="BK10897" s="25"/>
    </row>
    <row r="10898" spans="60:63" ht="14.25" x14ac:dyDescent="0.2">
      <c r="BH10898" s="25"/>
      <c r="BI10898" s="25"/>
      <c r="BJ10898" s="25"/>
      <c r="BK10898" s="25"/>
    </row>
    <row r="10899" spans="60:63" ht="14.25" x14ac:dyDescent="0.2">
      <c r="BH10899" s="25"/>
      <c r="BI10899" s="25"/>
      <c r="BJ10899" s="25"/>
      <c r="BK10899" s="25"/>
    </row>
    <row r="10900" spans="60:63" ht="14.25" x14ac:dyDescent="0.2">
      <c r="BH10900" s="25"/>
      <c r="BI10900" s="25"/>
      <c r="BJ10900" s="25"/>
      <c r="BK10900" s="25"/>
    </row>
    <row r="10901" spans="60:63" ht="14.25" x14ac:dyDescent="0.2">
      <c r="BH10901" s="25"/>
      <c r="BI10901" s="25"/>
      <c r="BJ10901" s="25"/>
      <c r="BK10901" s="25"/>
    </row>
    <row r="10902" spans="60:63" ht="14.25" x14ac:dyDescent="0.2">
      <c r="BH10902" s="25"/>
      <c r="BI10902" s="25"/>
      <c r="BJ10902" s="25"/>
      <c r="BK10902" s="25"/>
    </row>
    <row r="10903" spans="60:63" ht="14.25" x14ac:dyDescent="0.2">
      <c r="BH10903" s="25"/>
      <c r="BI10903" s="25"/>
      <c r="BJ10903" s="25"/>
      <c r="BK10903" s="25"/>
    </row>
    <row r="10904" spans="60:63" ht="14.25" x14ac:dyDescent="0.2">
      <c r="BH10904" s="25"/>
      <c r="BI10904" s="25"/>
      <c r="BJ10904" s="25"/>
      <c r="BK10904" s="25"/>
    </row>
    <row r="10905" spans="60:63" ht="14.25" x14ac:dyDescent="0.2">
      <c r="BH10905" s="25"/>
      <c r="BI10905" s="25"/>
      <c r="BJ10905" s="25"/>
      <c r="BK10905" s="25"/>
    </row>
    <row r="10906" spans="60:63" ht="14.25" x14ac:dyDescent="0.2">
      <c r="BH10906" s="25"/>
      <c r="BI10906" s="25"/>
      <c r="BJ10906" s="25"/>
      <c r="BK10906" s="25"/>
    </row>
    <row r="10907" spans="60:63" ht="14.25" x14ac:dyDescent="0.2">
      <c r="BH10907" s="25"/>
      <c r="BI10907" s="25"/>
      <c r="BJ10907" s="25"/>
      <c r="BK10907" s="25"/>
    </row>
    <row r="10908" spans="60:63" ht="14.25" x14ac:dyDescent="0.2">
      <c r="BH10908" s="25"/>
      <c r="BI10908" s="25"/>
      <c r="BJ10908" s="25"/>
      <c r="BK10908" s="25"/>
    </row>
    <row r="10909" spans="60:63" ht="14.25" x14ac:dyDescent="0.2">
      <c r="BH10909" s="25"/>
      <c r="BI10909" s="25"/>
      <c r="BJ10909" s="25"/>
      <c r="BK10909" s="25"/>
    </row>
    <row r="10910" spans="60:63" ht="14.25" x14ac:dyDescent="0.2">
      <c r="BH10910" s="25"/>
      <c r="BI10910" s="25"/>
      <c r="BJ10910" s="25"/>
      <c r="BK10910" s="25"/>
    </row>
    <row r="10911" spans="60:63" ht="14.25" x14ac:dyDescent="0.2">
      <c r="BH10911" s="25"/>
      <c r="BI10911" s="25"/>
      <c r="BJ10911" s="25"/>
      <c r="BK10911" s="25"/>
    </row>
    <row r="10912" spans="60:63" ht="14.25" x14ac:dyDescent="0.2">
      <c r="BH10912" s="25"/>
      <c r="BI10912" s="25"/>
      <c r="BJ10912" s="25"/>
      <c r="BK10912" s="25"/>
    </row>
    <row r="10913" spans="60:63" ht="14.25" x14ac:dyDescent="0.2">
      <c r="BH10913" s="25"/>
      <c r="BI10913" s="25"/>
      <c r="BJ10913" s="25"/>
      <c r="BK10913" s="25"/>
    </row>
    <row r="10914" spans="60:63" ht="14.25" x14ac:dyDescent="0.2">
      <c r="BH10914" s="25"/>
      <c r="BI10914" s="25"/>
      <c r="BJ10914" s="25"/>
      <c r="BK10914" s="25"/>
    </row>
    <row r="10915" spans="60:63" ht="14.25" x14ac:dyDescent="0.2">
      <c r="BH10915" s="25"/>
      <c r="BI10915" s="25"/>
      <c r="BJ10915" s="25"/>
      <c r="BK10915" s="25"/>
    </row>
    <row r="10916" spans="60:63" ht="14.25" x14ac:dyDescent="0.2">
      <c r="BH10916" s="25"/>
      <c r="BI10916" s="25"/>
      <c r="BJ10916" s="25"/>
      <c r="BK10916" s="25"/>
    </row>
    <row r="10917" spans="60:63" ht="14.25" x14ac:dyDescent="0.2">
      <c r="BH10917" s="25"/>
      <c r="BI10917" s="25"/>
      <c r="BJ10917" s="25"/>
      <c r="BK10917" s="25"/>
    </row>
    <row r="10918" spans="60:63" ht="14.25" x14ac:dyDescent="0.2">
      <c r="BH10918" s="25"/>
      <c r="BI10918" s="25"/>
      <c r="BJ10918" s="25"/>
      <c r="BK10918" s="25"/>
    </row>
    <row r="10919" spans="60:63" ht="14.25" x14ac:dyDescent="0.2">
      <c r="BH10919" s="25"/>
      <c r="BI10919" s="25"/>
      <c r="BJ10919" s="25"/>
      <c r="BK10919" s="25"/>
    </row>
    <row r="10920" spans="60:63" ht="14.25" x14ac:dyDescent="0.2">
      <c r="BH10920" s="25"/>
      <c r="BI10920" s="25"/>
      <c r="BJ10920" s="25"/>
      <c r="BK10920" s="25"/>
    </row>
    <row r="10921" spans="60:63" ht="14.25" x14ac:dyDescent="0.2">
      <c r="BH10921" s="25"/>
      <c r="BI10921" s="25"/>
      <c r="BJ10921" s="25"/>
      <c r="BK10921" s="25"/>
    </row>
    <row r="10922" spans="60:63" ht="14.25" x14ac:dyDescent="0.2">
      <c r="BH10922" s="25"/>
      <c r="BI10922" s="25"/>
      <c r="BJ10922" s="25"/>
      <c r="BK10922" s="25"/>
    </row>
    <row r="10923" spans="60:63" ht="14.25" x14ac:dyDescent="0.2">
      <c r="BH10923" s="25"/>
      <c r="BI10923" s="25"/>
      <c r="BJ10923" s="25"/>
      <c r="BK10923" s="25"/>
    </row>
    <row r="10924" spans="60:63" ht="14.25" x14ac:dyDescent="0.2">
      <c r="BH10924" s="25"/>
      <c r="BI10924" s="25"/>
      <c r="BJ10924" s="25"/>
      <c r="BK10924" s="25"/>
    </row>
    <row r="10925" spans="60:63" ht="14.25" x14ac:dyDescent="0.2">
      <c r="BH10925" s="25"/>
      <c r="BI10925" s="25"/>
      <c r="BJ10925" s="25"/>
      <c r="BK10925" s="25"/>
    </row>
    <row r="10926" spans="60:63" ht="14.25" x14ac:dyDescent="0.2">
      <c r="BH10926" s="25"/>
      <c r="BI10926" s="25"/>
      <c r="BJ10926" s="25"/>
      <c r="BK10926" s="25"/>
    </row>
    <row r="10927" spans="60:63" ht="14.25" x14ac:dyDescent="0.2">
      <c r="BH10927" s="25"/>
      <c r="BI10927" s="25"/>
      <c r="BJ10927" s="25"/>
      <c r="BK10927" s="25"/>
    </row>
    <row r="10928" spans="60:63" ht="14.25" x14ac:dyDescent="0.2">
      <c r="BH10928" s="25"/>
      <c r="BI10928" s="25"/>
      <c r="BJ10928" s="25"/>
      <c r="BK10928" s="25"/>
    </row>
    <row r="10929" spans="60:63" ht="14.25" x14ac:dyDescent="0.2">
      <c r="BH10929" s="25"/>
      <c r="BI10929" s="25"/>
      <c r="BJ10929" s="25"/>
      <c r="BK10929" s="25"/>
    </row>
    <row r="10930" spans="60:63" ht="14.25" x14ac:dyDescent="0.2">
      <c r="BH10930" s="25"/>
      <c r="BI10930" s="25"/>
      <c r="BJ10930" s="25"/>
      <c r="BK10930" s="25"/>
    </row>
    <row r="10931" spans="60:63" ht="14.25" x14ac:dyDescent="0.2">
      <c r="BH10931" s="25"/>
      <c r="BI10931" s="25"/>
      <c r="BJ10931" s="25"/>
      <c r="BK10931" s="25"/>
    </row>
    <row r="10932" spans="60:63" ht="14.25" x14ac:dyDescent="0.2">
      <c r="BH10932" s="25"/>
      <c r="BI10932" s="25"/>
      <c r="BJ10932" s="25"/>
      <c r="BK10932" s="25"/>
    </row>
    <row r="10933" spans="60:63" ht="14.25" x14ac:dyDescent="0.2">
      <c r="BH10933" s="25"/>
      <c r="BI10933" s="25"/>
      <c r="BJ10933" s="25"/>
      <c r="BK10933" s="25"/>
    </row>
    <row r="10934" spans="60:63" ht="14.25" x14ac:dyDescent="0.2">
      <c r="BH10934" s="25"/>
      <c r="BI10934" s="25"/>
      <c r="BJ10934" s="25"/>
      <c r="BK10934" s="25"/>
    </row>
    <row r="10935" spans="60:63" ht="14.25" x14ac:dyDescent="0.2">
      <c r="BH10935" s="25"/>
      <c r="BI10935" s="25"/>
      <c r="BJ10935" s="25"/>
      <c r="BK10935" s="25"/>
    </row>
    <row r="10936" spans="60:63" ht="14.25" x14ac:dyDescent="0.2">
      <c r="BH10936" s="25"/>
      <c r="BI10936" s="25"/>
      <c r="BJ10936" s="25"/>
      <c r="BK10936" s="25"/>
    </row>
    <row r="10937" spans="60:63" ht="14.25" x14ac:dyDescent="0.2">
      <c r="BH10937" s="25"/>
      <c r="BI10937" s="25"/>
      <c r="BJ10937" s="25"/>
      <c r="BK10937" s="25"/>
    </row>
    <row r="10938" spans="60:63" ht="14.25" x14ac:dyDescent="0.2">
      <c r="BH10938" s="25"/>
      <c r="BI10938" s="25"/>
      <c r="BJ10938" s="25"/>
      <c r="BK10938" s="25"/>
    </row>
    <row r="10939" spans="60:63" ht="14.25" x14ac:dyDescent="0.2">
      <c r="BH10939" s="25"/>
      <c r="BI10939" s="25"/>
      <c r="BJ10939" s="25"/>
      <c r="BK10939" s="25"/>
    </row>
    <row r="10940" spans="60:63" ht="14.25" x14ac:dyDescent="0.2">
      <c r="BH10940" s="25"/>
      <c r="BI10940" s="25"/>
      <c r="BJ10940" s="25"/>
      <c r="BK10940" s="25"/>
    </row>
    <row r="10941" spans="60:63" ht="14.25" x14ac:dyDescent="0.2">
      <c r="BH10941" s="25"/>
      <c r="BI10941" s="25"/>
      <c r="BJ10941" s="25"/>
      <c r="BK10941" s="25"/>
    </row>
    <row r="10942" spans="60:63" ht="14.25" x14ac:dyDescent="0.2">
      <c r="BH10942" s="25"/>
      <c r="BI10942" s="25"/>
      <c r="BJ10942" s="25"/>
      <c r="BK10942" s="25"/>
    </row>
    <row r="10943" spans="60:63" ht="14.25" x14ac:dyDescent="0.2">
      <c r="BH10943" s="25"/>
      <c r="BI10943" s="25"/>
      <c r="BJ10943" s="25"/>
      <c r="BK10943" s="25"/>
    </row>
    <row r="10944" spans="60:63" ht="14.25" x14ac:dyDescent="0.2">
      <c r="BH10944" s="25"/>
      <c r="BI10944" s="25"/>
      <c r="BJ10944" s="25"/>
      <c r="BK10944" s="25"/>
    </row>
    <row r="10945" spans="60:63" ht="14.25" x14ac:dyDescent="0.2">
      <c r="BH10945" s="25"/>
      <c r="BI10945" s="25"/>
      <c r="BJ10945" s="25"/>
      <c r="BK10945" s="25"/>
    </row>
    <row r="10946" spans="60:63" ht="14.25" x14ac:dyDescent="0.2">
      <c r="BH10946" s="25"/>
      <c r="BI10946" s="25"/>
      <c r="BJ10946" s="25"/>
      <c r="BK10946" s="25"/>
    </row>
    <row r="10947" spans="60:63" ht="14.25" x14ac:dyDescent="0.2">
      <c r="BH10947" s="25"/>
      <c r="BI10947" s="25"/>
      <c r="BJ10947" s="25"/>
      <c r="BK10947" s="25"/>
    </row>
    <row r="10948" spans="60:63" ht="14.25" x14ac:dyDescent="0.2">
      <c r="BH10948" s="25"/>
      <c r="BI10948" s="25"/>
      <c r="BJ10948" s="25"/>
      <c r="BK10948" s="25"/>
    </row>
    <row r="10949" spans="60:63" ht="14.25" x14ac:dyDescent="0.2">
      <c r="BH10949" s="25"/>
      <c r="BI10949" s="25"/>
      <c r="BJ10949" s="25"/>
      <c r="BK10949" s="25"/>
    </row>
    <row r="10950" spans="60:63" ht="14.25" x14ac:dyDescent="0.2">
      <c r="BH10950" s="25"/>
      <c r="BI10950" s="25"/>
      <c r="BJ10950" s="25"/>
      <c r="BK10950" s="25"/>
    </row>
    <row r="10951" spans="60:63" ht="14.25" x14ac:dyDescent="0.2">
      <c r="BH10951" s="25"/>
      <c r="BI10951" s="25"/>
      <c r="BJ10951" s="25"/>
      <c r="BK10951" s="25"/>
    </row>
    <row r="10952" spans="60:63" ht="14.25" x14ac:dyDescent="0.2">
      <c r="BH10952" s="25"/>
      <c r="BI10952" s="25"/>
      <c r="BJ10952" s="25"/>
      <c r="BK10952" s="25"/>
    </row>
    <row r="10953" spans="60:63" ht="14.25" x14ac:dyDescent="0.2">
      <c r="BH10953" s="25"/>
      <c r="BI10953" s="25"/>
      <c r="BJ10953" s="25"/>
      <c r="BK10953" s="25"/>
    </row>
    <row r="10954" spans="60:63" ht="14.25" x14ac:dyDescent="0.2">
      <c r="BH10954" s="25"/>
      <c r="BI10954" s="25"/>
      <c r="BJ10954" s="25"/>
      <c r="BK10954" s="25"/>
    </row>
    <row r="10955" spans="60:63" ht="14.25" x14ac:dyDescent="0.2">
      <c r="BH10955" s="25"/>
      <c r="BI10955" s="25"/>
      <c r="BJ10955" s="25"/>
      <c r="BK10955" s="25"/>
    </row>
    <row r="10956" spans="60:63" ht="14.25" x14ac:dyDescent="0.2">
      <c r="BH10956" s="25"/>
      <c r="BI10956" s="25"/>
      <c r="BJ10956" s="25"/>
      <c r="BK10956" s="25"/>
    </row>
    <row r="10957" spans="60:63" ht="14.25" x14ac:dyDescent="0.2">
      <c r="BH10957" s="25"/>
      <c r="BI10957" s="25"/>
      <c r="BJ10957" s="25"/>
      <c r="BK10957" s="25"/>
    </row>
    <row r="10958" spans="60:63" ht="14.25" x14ac:dyDescent="0.2">
      <c r="BH10958" s="25"/>
      <c r="BI10958" s="25"/>
      <c r="BJ10958" s="25"/>
      <c r="BK10958" s="25"/>
    </row>
    <row r="10959" spans="60:63" ht="14.25" x14ac:dyDescent="0.2">
      <c r="BH10959" s="25"/>
      <c r="BI10959" s="25"/>
      <c r="BJ10959" s="25"/>
      <c r="BK10959" s="25"/>
    </row>
    <row r="10960" spans="60:63" ht="14.25" x14ac:dyDescent="0.2">
      <c r="BH10960" s="25"/>
      <c r="BI10960" s="25"/>
      <c r="BJ10960" s="25"/>
      <c r="BK10960" s="25"/>
    </row>
    <row r="10961" spans="60:63" ht="14.25" x14ac:dyDescent="0.2">
      <c r="BH10961" s="25"/>
      <c r="BI10961" s="25"/>
      <c r="BJ10961" s="25"/>
      <c r="BK10961" s="25"/>
    </row>
    <row r="10962" spans="60:63" ht="14.25" x14ac:dyDescent="0.2">
      <c r="BH10962" s="25"/>
      <c r="BI10962" s="25"/>
      <c r="BJ10962" s="25"/>
      <c r="BK10962" s="25"/>
    </row>
    <row r="10963" spans="60:63" ht="14.25" x14ac:dyDescent="0.2">
      <c r="BH10963" s="25"/>
      <c r="BI10963" s="25"/>
      <c r="BJ10963" s="25"/>
      <c r="BK10963" s="25"/>
    </row>
    <row r="10964" spans="60:63" ht="14.25" x14ac:dyDescent="0.2">
      <c r="BH10964" s="25"/>
      <c r="BI10964" s="25"/>
      <c r="BJ10964" s="25"/>
      <c r="BK10964" s="25"/>
    </row>
    <row r="10965" spans="60:63" ht="14.25" x14ac:dyDescent="0.2">
      <c r="BH10965" s="25"/>
      <c r="BI10965" s="25"/>
      <c r="BJ10965" s="25"/>
      <c r="BK10965" s="25"/>
    </row>
    <row r="10966" spans="60:63" ht="14.25" x14ac:dyDescent="0.2">
      <c r="BH10966" s="25"/>
      <c r="BI10966" s="25"/>
      <c r="BJ10966" s="25"/>
      <c r="BK10966" s="25"/>
    </row>
    <row r="10967" spans="60:63" ht="14.25" x14ac:dyDescent="0.2">
      <c r="BH10967" s="25"/>
      <c r="BI10967" s="25"/>
      <c r="BJ10967" s="25"/>
      <c r="BK10967" s="25"/>
    </row>
    <row r="10968" spans="60:63" ht="14.25" x14ac:dyDescent="0.2">
      <c r="BH10968" s="25"/>
      <c r="BI10968" s="25"/>
      <c r="BJ10968" s="25"/>
      <c r="BK10968" s="25"/>
    </row>
    <row r="10969" spans="60:63" ht="14.25" x14ac:dyDescent="0.2">
      <c r="BH10969" s="25"/>
      <c r="BI10969" s="25"/>
      <c r="BJ10969" s="25"/>
      <c r="BK10969" s="25"/>
    </row>
    <row r="10970" spans="60:63" ht="14.25" x14ac:dyDescent="0.2">
      <c r="BH10970" s="25"/>
      <c r="BI10970" s="25"/>
      <c r="BJ10970" s="25"/>
      <c r="BK10970" s="25"/>
    </row>
    <row r="10971" spans="60:63" ht="14.25" x14ac:dyDescent="0.2">
      <c r="BH10971" s="25"/>
      <c r="BI10971" s="25"/>
      <c r="BJ10971" s="25"/>
      <c r="BK10971" s="25"/>
    </row>
    <row r="10972" spans="60:63" ht="14.25" x14ac:dyDescent="0.2">
      <c r="BH10972" s="25"/>
      <c r="BI10972" s="25"/>
      <c r="BJ10972" s="25"/>
      <c r="BK10972" s="25"/>
    </row>
    <row r="10973" spans="60:63" ht="14.25" x14ac:dyDescent="0.2">
      <c r="BH10973" s="25"/>
      <c r="BI10973" s="25"/>
      <c r="BJ10973" s="25"/>
      <c r="BK10973" s="25"/>
    </row>
    <row r="10974" spans="60:63" ht="14.25" x14ac:dyDescent="0.2">
      <c r="BH10974" s="25"/>
      <c r="BI10974" s="25"/>
      <c r="BJ10974" s="25"/>
      <c r="BK10974" s="25"/>
    </row>
    <row r="10975" spans="60:63" ht="14.25" x14ac:dyDescent="0.2">
      <c r="BH10975" s="25"/>
      <c r="BI10975" s="25"/>
      <c r="BJ10975" s="25"/>
      <c r="BK10975" s="25"/>
    </row>
    <row r="10976" spans="60:63" ht="14.25" x14ac:dyDescent="0.2">
      <c r="BH10976" s="25"/>
      <c r="BI10976" s="25"/>
      <c r="BJ10976" s="25"/>
      <c r="BK10976" s="25"/>
    </row>
    <row r="10977" spans="60:63" ht="14.25" x14ac:dyDescent="0.2">
      <c r="BH10977" s="25"/>
      <c r="BI10977" s="25"/>
      <c r="BJ10977" s="25"/>
      <c r="BK10977" s="25"/>
    </row>
    <row r="10978" spans="60:63" ht="14.25" x14ac:dyDescent="0.2">
      <c r="BH10978" s="25"/>
      <c r="BI10978" s="25"/>
      <c r="BJ10978" s="25"/>
      <c r="BK10978" s="25"/>
    </row>
    <row r="10979" spans="60:63" ht="14.25" x14ac:dyDescent="0.2">
      <c r="BH10979" s="25"/>
      <c r="BI10979" s="25"/>
      <c r="BJ10979" s="25"/>
      <c r="BK10979" s="25"/>
    </row>
    <row r="10980" spans="60:63" ht="14.25" x14ac:dyDescent="0.2">
      <c r="BH10980" s="25"/>
      <c r="BI10980" s="25"/>
      <c r="BJ10980" s="25"/>
      <c r="BK10980" s="25"/>
    </row>
    <row r="10981" spans="60:63" ht="14.25" x14ac:dyDescent="0.2">
      <c r="BH10981" s="25"/>
      <c r="BI10981" s="25"/>
      <c r="BJ10981" s="25"/>
      <c r="BK10981" s="25"/>
    </row>
    <row r="10982" spans="60:63" ht="14.25" x14ac:dyDescent="0.2">
      <c r="BH10982" s="25"/>
      <c r="BI10982" s="25"/>
      <c r="BJ10982" s="25"/>
      <c r="BK10982" s="25"/>
    </row>
    <row r="10983" spans="60:63" ht="14.25" x14ac:dyDescent="0.2">
      <c r="BH10983" s="25"/>
      <c r="BI10983" s="25"/>
      <c r="BJ10983" s="25"/>
      <c r="BK10983" s="25"/>
    </row>
    <row r="10984" spans="60:63" ht="14.25" x14ac:dyDescent="0.2">
      <c r="BH10984" s="25"/>
      <c r="BI10984" s="25"/>
      <c r="BJ10984" s="25"/>
      <c r="BK10984" s="25"/>
    </row>
    <row r="10985" spans="60:63" ht="14.25" x14ac:dyDescent="0.2">
      <c r="BH10985" s="25"/>
      <c r="BI10985" s="25"/>
      <c r="BJ10985" s="25"/>
      <c r="BK10985" s="25"/>
    </row>
    <row r="10986" spans="60:63" ht="14.25" x14ac:dyDescent="0.2">
      <c r="BH10986" s="25"/>
      <c r="BI10986" s="25"/>
      <c r="BJ10986" s="25"/>
      <c r="BK10986" s="25"/>
    </row>
    <row r="10987" spans="60:63" ht="14.25" x14ac:dyDescent="0.2">
      <c r="BH10987" s="25"/>
      <c r="BI10987" s="25"/>
      <c r="BJ10987" s="25"/>
      <c r="BK10987" s="25"/>
    </row>
    <row r="10988" spans="60:63" ht="14.25" x14ac:dyDescent="0.2">
      <c r="BH10988" s="25"/>
      <c r="BI10988" s="25"/>
      <c r="BJ10988" s="25"/>
      <c r="BK10988" s="25"/>
    </row>
    <row r="10989" spans="60:63" ht="14.25" x14ac:dyDescent="0.2">
      <c r="BH10989" s="25"/>
      <c r="BI10989" s="25"/>
      <c r="BJ10989" s="25"/>
      <c r="BK10989" s="25"/>
    </row>
    <row r="10990" spans="60:63" ht="14.25" x14ac:dyDescent="0.2">
      <c r="BH10990" s="25"/>
      <c r="BI10990" s="25"/>
      <c r="BJ10990" s="25"/>
      <c r="BK10990" s="25"/>
    </row>
    <row r="10991" spans="60:63" ht="14.25" x14ac:dyDescent="0.2">
      <c r="BH10991" s="25"/>
      <c r="BI10991" s="25"/>
      <c r="BJ10991" s="25"/>
      <c r="BK10991" s="25"/>
    </row>
    <row r="10992" spans="60:63" ht="14.25" x14ac:dyDescent="0.2">
      <c r="BH10992" s="25"/>
      <c r="BI10992" s="25"/>
      <c r="BJ10992" s="25"/>
      <c r="BK10992" s="25"/>
    </row>
    <row r="10993" spans="60:63" ht="14.25" x14ac:dyDescent="0.2">
      <c r="BH10993" s="25"/>
      <c r="BI10993" s="25"/>
      <c r="BJ10993" s="25"/>
      <c r="BK10993" s="25"/>
    </row>
    <row r="10994" spans="60:63" ht="14.25" x14ac:dyDescent="0.2">
      <c r="BH10994" s="25"/>
      <c r="BI10994" s="25"/>
      <c r="BJ10994" s="25"/>
      <c r="BK10994" s="25"/>
    </row>
    <row r="10995" spans="60:63" ht="14.25" x14ac:dyDescent="0.2">
      <c r="BH10995" s="25"/>
      <c r="BI10995" s="25"/>
      <c r="BJ10995" s="25"/>
      <c r="BK10995" s="25"/>
    </row>
    <row r="10996" spans="60:63" ht="14.25" x14ac:dyDescent="0.2">
      <c r="BH10996" s="25"/>
      <c r="BI10996" s="25"/>
      <c r="BJ10996" s="25"/>
      <c r="BK10996" s="25"/>
    </row>
    <row r="10997" spans="60:63" ht="14.25" x14ac:dyDescent="0.2">
      <c r="BH10997" s="25"/>
      <c r="BI10997" s="25"/>
      <c r="BJ10997" s="25"/>
      <c r="BK10997" s="25"/>
    </row>
    <row r="10998" spans="60:63" ht="14.25" x14ac:dyDescent="0.2">
      <c r="BH10998" s="25"/>
      <c r="BI10998" s="25"/>
      <c r="BJ10998" s="25"/>
      <c r="BK10998" s="25"/>
    </row>
    <row r="10999" spans="60:63" ht="14.25" x14ac:dyDescent="0.2">
      <c r="BH10999" s="25"/>
      <c r="BI10999" s="25"/>
      <c r="BJ10999" s="25"/>
      <c r="BK10999" s="25"/>
    </row>
    <row r="11000" spans="60:63" ht="14.25" x14ac:dyDescent="0.2">
      <c r="BH11000" s="25"/>
      <c r="BI11000" s="25"/>
      <c r="BJ11000" s="25"/>
      <c r="BK11000" s="25"/>
    </row>
    <row r="11001" spans="60:63" ht="14.25" x14ac:dyDescent="0.2">
      <c r="BH11001" s="25"/>
      <c r="BI11001" s="25"/>
      <c r="BJ11001" s="25"/>
      <c r="BK11001" s="25"/>
    </row>
    <row r="11002" spans="60:63" ht="14.25" x14ac:dyDescent="0.2">
      <c r="BH11002" s="25"/>
      <c r="BI11002" s="25"/>
      <c r="BJ11002" s="25"/>
      <c r="BK11002" s="25"/>
    </row>
    <row r="11003" spans="60:63" ht="14.25" x14ac:dyDescent="0.2">
      <c r="BH11003" s="25"/>
      <c r="BI11003" s="25"/>
      <c r="BJ11003" s="25"/>
      <c r="BK11003" s="25"/>
    </row>
    <row r="11004" spans="60:63" ht="14.25" x14ac:dyDescent="0.2">
      <c r="BH11004" s="25"/>
      <c r="BI11004" s="25"/>
      <c r="BJ11004" s="25"/>
      <c r="BK11004" s="25"/>
    </row>
    <row r="11005" spans="60:63" ht="14.25" x14ac:dyDescent="0.2">
      <c r="BH11005" s="25"/>
      <c r="BI11005" s="25"/>
      <c r="BJ11005" s="25"/>
      <c r="BK11005" s="25"/>
    </row>
    <row r="11006" spans="60:63" ht="14.25" x14ac:dyDescent="0.2">
      <c r="BH11006" s="25"/>
      <c r="BI11006" s="25"/>
      <c r="BJ11006" s="25"/>
      <c r="BK11006" s="25"/>
    </row>
    <row r="11007" spans="60:63" ht="14.25" x14ac:dyDescent="0.2">
      <c r="BH11007" s="25"/>
      <c r="BI11007" s="25"/>
      <c r="BJ11007" s="25"/>
      <c r="BK11007" s="25"/>
    </row>
    <row r="11008" spans="60:63" ht="14.25" x14ac:dyDescent="0.2">
      <c r="BH11008" s="25"/>
      <c r="BI11008" s="25"/>
      <c r="BJ11008" s="25"/>
      <c r="BK11008" s="25"/>
    </row>
    <row r="11009" spans="60:63" ht="14.25" x14ac:dyDescent="0.2">
      <c r="BH11009" s="25"/>
      <c r="BI11009" s="25"/>
      <c r="BJ11009" s="25"/>
      <c r="BK11009" s="25"/>
    </row>
    <row r="11010" spans="60:63" ht="14.25" x14ac:dyDescent="0.2">
      <c r="BH11010" s="25"/>
      <c r="BI11010" s="25"/>
      <c r="BJ11010" s="25"/>
      <c r="BK11010" s="25"/>
    </row>
    <row r="11011" spans="60:63" ht="14.25" x14ac:dyDescent="0.2">
      <c r="BH11011" s="25"/>
      <c r="BI11011" s="25"/>
      <c r="BJ11011" s="25"/>
      <c r="BK11011" s="25"/>
    </row>
    <row r="11012" spans="60:63" ht="14.25" x14ac:dyDescent="0.2">
      <c r="BH11012" s="25"/>
      <c r="BI11012" s="25"/>
      <c r="BJ11012" s="25"/>
      <c r="BK11012" s="25"/>
    </row>
    <row r="11013" spans="60:63" ht="14.25" x14ac:dyDescent="0.2">
      <c r="BH11013" s="25"/>
      <c r="BI11013" s="25"/>
      <c r="BJ11013" s="25"/>
      <c r="BK11013" s="25"/>
    </row>
    <row r="11014" spans="60:63" ht="14.25" x14ac:dyDescent="0.2">
      <c r="BH11014" s="25"/>
      <c r="BI11014" s="25"/>
      <c r="BJ11014" s="25"/>
      <c r="BK11014" s="25"/>
    </row>
    <row r="11015" spans="60:63" ht="14.25" x14ac:dyDescent="0.2">
      <c r="BH11015" s="25"/>
      <c r="BI11015" s="25"/>
      <c r="BJ11015" s="25"/>
      <c r="BK11015" s="25"/>
    </row>
    <row r="11016" spans="60:63" ht="14.25" x14ac:dyDescent="0.2">
      <c r="BH11016" s="25"/>
      <c r="BI11016" s="25"/>
      <c r="BJ11016" s="25"/>
      <c r="BK11016" s="25"/>
    </row>
    <row r="11017" spans="60:63" ht="14.25" x14ac:dyDescent="0.2">
      <c r="BH11017" s="25"/>
      <c r="BI11017" s="25"/>
      <c r="BJ11017" s="25"/>
      <c r="BK11017" s="25"/>
    </row>
    <row r="11018" spans="60:63" ht="14.25" x14ac:dyDescent="0.2">
      <c r="BH11018" s="25"/>
      <c r="BI11018" s="25"/>
      <c r="BJ11018" s="25"/>
      <c r="BK11018" s="25"/>
    </row>
    <row r="11019" spans="60:63" ht="14.25" x14ac:dyDescent="0.2">
      <c r="BH11019" s="25"/>
      <c r="BI11019" s="25"/>
      <c r="BJ11019" s="25"/>
      <c r="BK11019" s="25"/>
    </row>
    <row r="11020" spans="60:63" ht="14.25" x14ac:dyDescent="0.2">
      <c r="BH11020" s="25"/>
      <c r="BI11020" s="25"/>
      <c r="BJ11020" s="25"/>
      <c r="BK11020" s="25"/>
    </row>
    <row r="11021" spans="60:63" ht="14.25" x14ac:dyDescent="0.2">
      <c r="BH11021" s="25"/>
      <c r="BI11021" s="25"/>
      <c r="BJ11021" s="25"/>
      <c r="BK11021" s="25"/>
    </row>
    <row r="11022" spans="60:63" ht="14.25" x14ac:dyDescent="0.2">
      <c r="BH11022" s="25"/>
      <c r="BI11022" s="25"/>
      <c r="BJ11022" s="25"/>
      <c r="BK11022" s="25"/>
    </row>
    <row r="11023" spans="60:63" ht="14.25" x14ac:dyDescent="0.2">
      <c r="BH11023" s="25"/>
      <c r="BI11023" s="25"/>
      <c r="BJ11023" s="25"/>
      <c r="BK11023" s="25"/>
    </row>
    <row r="11024" spans="60:63" ht="14.25" x14ac:dyDescent="0.2">
      <c r="BH11024" s="25"/>
      <c r="BI11024" s="25"/>
      <c r="BJ11024" s="25"/>
      <c r="BK11024" s="25"/>
    </row>
    <row r="11025" spans="60:63" ht="14.25" x14ac:dyDescent="0.2">
      <c r="BH11025" s="25"/>
      <c r="BI11025" s="25"/>
      <c r="BJ11025" s="25"/>
      <c r="BK11025" s="25"/>
    </row>
    <row r="11026" spans="60:63" ht="14.25" x14ac:dyDescent="0.2">
      <c r="BH11026" s="25"/>
      <c r="BI11026" s="25"/>
      <c r="BJ11026" s="25"/>
      <c r="BK11026" s="25"/>
    </row>
    <row r="11027" spans="60:63" ht="14.25" x14ac:dyDescent="0.2">
      <c r="BH11027" s="25"/>
      <c r="BI11027" s="25"/>
      <c r="BJ11027" s="25"/>
      <c r="BK11027" s="25"/>
    </row>
    <row r="11028" spans="60:63" ht="14.25" x14ac:dyDescent="0.2">
      <c r="BH11028" s="25"/>
      <c r="BI11028" s="25"/>
      <c r="BJ11028" s="25"/>
      <c r="BK11028" s="25"/>
    </row>
    <row r="11029" spans="60:63" ht="14.25" x14ac:dyDescent="0.2">
      <c r="BH11029" s="25"/>
      <c r="BI11029" s="25"/>
      <c r="BJ11029" s="25"/>
      <c r="BK11029" s="25"/>
    </row>
    <row r="11030" spans="60:63" ht="14.25" x14ac:dyDescent="0.2">
      <c r="BH11030" s="25"/>
      <c r="BI11030" s="25"/>
      <c r="BJ11030" s="25"/>
      <c r="BK11030" s="25"/>
    </row>
    <row r="11031" spans="60:63" ht="14.25" x14ac:dyDescent="0.2">
      <c r="BH11031" s="25"/>
      <c r="BI11031" s="25"/>
      <c r="BJ11031" s="25"/>
      <c r="BK11031" s="25"/>
    </row>
    <row r="11032" spans="60:63" ht="14.25" x14ac:dyDescent="0.2">
      <c r="BH11032" s="25"/>
      <c r="BI11032" s="25"/>
      <c r="BJ11032" s="25"/>
      <c r="BK11032" s="25"/>
    </row>
    <row r="11033" spans="60:63" ht="14.25" x14ac:dyDescent="0.2">
      <c r="BH11033" s="25"/>
      <c r="BI11033" s="25"/>
      <c r="BJ11033" s="25"/>
      <c r="BK11033" s="25"/>
    </row>
    <row r="11034" spans="60:63" ht="14.25" x14ac:dyDescent="0.2">
      <c r="BH11034" s="25"/>
      <c r="BI11034" s="25"/>
      <c r="BJ11034" s="25"/>
      <c r="BK11034" s="25"/>
    </row>
    <row r="11035" spans="60:63" ht="14.25" x14ac:dyDescent="0.2">
      <c r="BH11035" s="25"/>
      <c r="BI11035" s="25"/>
      <c r="BJ11035" s="25"/>
      <c r="BK11035" s="25"/>
    </row>
    <row r="11036" spans="60:63" ht="14.25" x14ac:dyDescent="0.2">
      <c r="BH11036" s="25"/>
      <c r="BI11036" s="25"/>
      <c r="BJ11036" s="25"/>
      <c r="BK11036" s="25"/>
    </row>
    <row r="11037" spans="60:63" ht="14.25" x14ac:dyDescent="0.2">
      <c r="BH11037" s="25"/>
      <c r="BI11037" s="25"/>
      <c r="BJ11037" s="25"/>
      <c r="BK11037" s="25"/>
    </row>
    <row r="11038" spans="60:63" ht="14.25" x14ac:dyDescent="0.2">
      <c r="BH11038" s="25"/>
      <c r="BI11038" s="25"/>
      <c r="BJ11038" s="25"/>
      <c r="BK11038" s="25"/>
    </row>
    <row r="11039" spans="60:63" ht="14.25" x14ac:dyDescent="0.2">
      <c r="BH11039" s="25"/>
      <c r="BI11039" s="25"/>
      <c r="BJ11039" s="25"/>
      <c r="BK11039" s="25"/>
    </row>
    <row r="11040" spans="60:63" ht="14.25" x14ac:dyDescent="0.2">
      <c r="BH11040" s="25"/>
      <c r="BI11040" s="25"/>
      <c r="BJ11040" s="25"/>
      <c r="BK11040" s="25"/>
    </row>
    <row r="11041" spans="60:63" ht="14.25" x14ac:dyDescent="0.2">
      <c r="BH11041" s="25"/>
      <c r="BI11041" s="25"/>
      <c r="BJ11041" s="25"/>
      <c r="BK11041" s="25"/>
    </row>
    <row r="11042" spans="60:63" ht="14.25" x14ac:dyDescent="0.2">
      <c r="BH11042" s="25"/>
      <c r="BI11042" s="25"/>
      <c r="BJ11042" s="25"/>
      <c r="BK11042" s="25"/>
    </row>
    <row r="11043" spans="60:63" ht="14.25" x14ac:dyDescent="0.2">
      <c r="BH11043" s="25"/>
      <c r="BI11043" s="25"/>
      <c r="BJ11043" s="25"/>
      <c r="BK11043" s="25"/>
    </row>
    <row r="11044" spans="60:63" ht="14.25" x14ac:dyDescent="0.2">
      <c r="BH11044" s="25"/>
      <c r="BI11044" s="25"/>
      <c r="BJ11044" s="25"/>
      <c r="BK11044" s="25"/>
    </row>
    <row r="11045" spans="60:63" ht="14.25" x14ac:dyDescent="0.2">
      <c r="BH11045" s="25"/>
      <c r="BI11045" s="25"/>
      <c r="BJ11045" s="25"/>
      <c r="BK11045" s="25"/>
    </row>
    <row r="11046" spans="60:63" ht="14.25" x14ac:dyDescent="0.2">
      <c r="BH11046" s="25"/>
      <c r="BI11046" s="25"/>
      <c r="BJ11046" s="25"/>
      <c r="BK11046" s="25"/>
    </row>
    <row r="11047" spans="60:63" ht="14.25" x14ac:dyDescent="0.2">
      <c r="BH11047" s="25"/>
      <c r="BI11047" s="25"/>
      <c r="BJ11047" s="25"/>
      <c r="BK11047" s="25"/>
    </row>
    <row r="11048" spans="60:63" ht="14.25" x14ac:dyDescent="0.2">
      <c r="BH11048" s="25"/>
      <c r="BI11048" s="25"/>
      <c r="BJ11048" s="25"/>
      <c r="BK11048" s="25"/>
    </row>
    <row r="11049" spans="60:63" ht="14.25" x14ac:dyDescent="0.2">
      <c r="BH11049" s="25"/>
      <c r="BI11049" s="25"/>
      <c r="BJ11049" s="25"/>
      <c r="BK11049" s="25"/>
    </row>
    <row r="11050" spans="60:63" ht="14.25" x14ac:dyDescent="0.2">
      <c r="BH11050" s="25"/>
      <c r="BI11050" s="25"/>
      <c r="BJ11050" s="25"/>
      <c r="BK11050" s="25"/>
    </row>
    <row r="11051" spans="60:63" ht="14.25" x14ac:dyDescent="0.2">
      <c r="BH11051" s="25"/>
      <c r="BI11051" s="25"/>
      <c r="BJ11051" s="25"/>
      <c r="BK11051" s="25"/>
    </row>
    <row r="11052" spans="60:63" ht="14.25" x14ac:dyDescent="0.2">
      <c r="BH11052" s="25"/>
      <c r="BI11052" s="25"/>
      <c r="BJ11052" s="25"/>
      <c r="BK11052" s="25"/>
    </row>
    <row r="11053" spans="60:63" ht="14.25" x14ac:dyDescent="0.2">
      <c r="BH11053" s="25"/>
      <c r="BI11053" s="25"/>
      <c r="BJ11053" s="25"/>
      <c r="BK11053" s="25"/>
    </row>
    <row r="11054" spans="60:63" ht="14.25" x14ac:dyDescent="0.2">
      <c r="BH11054" s="25"/>
      <c r="BI11054" s="25"/>
      <c r="BJ11054" s="25"/>
      <c r="BK11054" s="25"/>
    </row>
    <row r="11055" spans="60:63" ht="14.25" x14ac:dyDescent="0.2">
      <c r="BH11055" s="25"/>
      <c r="BI11055" s="25"/>
      <c r="BJ11055" s="25"/>
      <c r="BK11055" s="25"/>
    </row>
    <row r="11056" spans="60:63" ht="14.25" x14ac:dyDescent="0.2">
      <c r="BH11056" s="25"/>
      <c r="BI11056" s="25"/>
      <c r="BJ11056" s="25"/>
      <c r="BK11056" s="25"/>
    </row>
    <row r="11057" spans="60:63" ht="14.25" x14ac:dyDescent="0.2">
      <c r="BH11057" s="25"/>
      <c r="BI11057" s="25"/>
      <c r="BJ11057" s="25"/>
      <c r="BK11057" s="25"/>
    </row>
    <row r="11058" spans="60:63" ht="14.25" x14ac:dyDescent="0.2">
      <c r="BH11058" s="25"/>
      <c r="BI11058" s="25"/>
      <c r="BJ11058" s="25"/>
      <c r="BK11058" s="25"/>
    </row>
    <row r="11059" spans="60:63" ht="14.25" x14ac:dyDescent="0.2">
      <c r="BH11059" s="25"/>
      <c r="BI11059" s="25"/>
      <c r="BJ11059" s="25"/>
      <c r="BK11059" s="25"/>
    </row>
    <row r="11060" spans="60:63" ht="14.25" x14ac:dyDescent="0.2">
      <c r="BH11060" s="25"/>
      <c r="BI11060" s="25"/>
      <c r="BJ11060" s="25"/>
      <c r="BK11060" s="25"/>
    </row>
    <row r="11061" spans="60:63" ht="14.25" x14ac:dyDescent="0.2">
      <c r="BH11061" s="25"/>
      <c r="BI11061" s="25"/>
      <c r="BJ11061" s="25"/>
      <c r="BK11061" s="25"/>
    </row>
    <row r="11062" spans="60:63" ht="14.25" x14ac:dyDescent="0.2">
      <c r="BH11062" s="25"/>
      <c r="BI11062" s="25"/>
      <c r="BJ11062" s="25"/>
      <c r="BK11062" s="25"/>
    </row>
    <row r="11063" spans="60:63" ht="14.25" x14ac:dyDescent="0.2">
      <c r="BH11063" s="25"/>
      <c r="BI11063" s="25"/>
      <c r="BJ11063" s="25"/>
      <c r="BK11063" s="25"/>
    </row>
    <row r="11064" spans="60:63" ht="14.25" x14ac:dyDescent="0.2">
      <c r="BH11064" s="25"/>
      <c r="BI11064" s="25"/>
      <c r="BJ11064" s="25"/>
      <c r="BK11064" s="25"/>
    </row>
    <row r="11065" spans="60:63" ht="14.25" x14ac:dyDescent="0.2">
      <c r="BH11065" s="25"/>
      <c r="BI11065" s="25"/>
      <c r="BJ11065" s="25"/>
      <c r="BK11065" s="25"/>
    </row>
    <row r="11066" spans="60:63" ht="14.25" x14ac:dyDescent="0.2">
      <c r="BH11066" s="25"/>
      <c r="BI11066" s="25"/>
      <c r="BJ11066" s="25"/>
      <c r="BK11066" s="25"/>
    </row>
    <row r="11067" spans="60:63" ht="14.25" x14ac:dyDescent="0.2">
      <c r="BH11067" s="25"/>
      <c r="BI11067" s="25"/>
      <c r="BJ11067" s="25"/>
      <c r="BK11067" s="25"/>
    </row>
    <row r="11068" spans="60:63" ht="14.25" x14ac:dyDescent="0.2">
      <c r="BH11068" s="25"/>
      <c r="BI11068" s="25"/>
      <c r="BJ11068" s="25"/>
      <c r="BK11068" s="25"/>
    </row>
    <row r="11069" spans="60:63" ht="14.25" x14ac:dyDescent="0.2">
      <c r="BH11069" s="25"/>
      <c r="BI11069" s="25"/>
      <c r="BJ11069" s="25"/>
      <c r="BK11069" s="25"/>
    </row>
    <row r="11070" spans="60:63" ht="14.25" x14ac:dyDescent="0.2">
      <c r="BH11070" s="25"/>
      <c r="BI11070" s="25"/>
      <c r="BJ11070" s="25"/>
      <c r="BK11070" s="25"/>
    </row>
    <row r="11071" spans="60:63" ht="14.25" x14ac:dyDescent="0.2">
      <c r="BH11071" s="25"/>
      <c r="BI11071" s="25"/>
      <c r="BJ11071" s="25"/>
      <c r="BK11071" s="25"/>
    </row>
    <row r="11072" spans="60:63" ht="14.25" x14ac:dyDescent="0.2">
      <c r="BH11072" s="25"/>
      <c r="BI11072" s="25"/>
      <c r="BJ11072" s="25"/>
      <c r="BK11072" s="25"/>
    </row>
    <row r="11073" spans="60:63" ht="14.25" x14ac:dyDescent="0.2">
      <c r="BH11073" s="25"/>
      <c r="BI11073" s="25"/>
      <c r="BJ11073" s="25"/>
      <c r="BK11073" s="25"/>
    </row>
    <row r="11074" spans="60:63" ht="14.25" x14ac:dyDescent="0.2">
      <c r="BH11074" s="25"/>
      <c r="BI11074" s="25"/>
      <c r="BJ11074" s="25"/>
      <c r="BK11074" s="25"/>
    </row>
    <row r="11075" spans="60:63" ht="14.25" x14ac:dyDescent="0.2">
      <c r="BH11075" s="25"/>
      <c r="BI11075" s="25"/>
      <c r="BJ11075" s="25"/>
      <c r="BK11075" s="25"/>
    </row>
    <row r="11076" spans="60:63" ht="14.25" x14ac:dyDescent="0.2">
      <c r="BH11076" s="25"/>
      <c r="BI11076" s="25"/>
      <c r="BJ11076" s="25"/>
      <c r="BK11076" s="25"/>
    </row>
    <row r="11077" spans="60:63" ht="14.25" x14ac:dyDescent="0.2">
      <c r="BH11077" s="25"/>
      <c r="BI11077" s="25"/>
      <c r="BJ11077" s="25"/>
      <c r="BK11077" s="25"/>
    </row>
    <row r="11078" spans="60:63" ht="14.25" x14ac:dyDescent="0.2">
      <c r="BH11078" s="25"/>
      <c r="BI11078" s="25"/>
      <c r="BJ11078" s="25"/>
      <c r="BK11078" s="25"/>
    </row>
    <row r="11079" spans="60:63" ht="14.25" x14ac:dyDescent="0.2">
      <c r="BH11079" s="25"/>
      <c r="BI11079" s="25"/>
      <c r="BJ11079" s="25"/>
      <c r="BK11079" s="25"/>
    </row>
    <row r="11080" spans="60:63" ht="14.25" x14ac:dyDescent="0.2">
      <c r="BH11080" s="25"/>
      <c r="BI11080" s="25"/>
      <c r="BJ11080" s="25"/>
      <c r="BK11080" s="25"/>
    </row>
    <row r="11081" spans="60:63" ht="14.25" x14ac:dyDescent="0.2">
      <c r="BH11081" s="25"/>
      <c r="BI11081" s="25"/>
      <c r="BJ11081" s="25"/>
      <c r="BK11081" s="25"/>
    </row>
    <row r="11082" spans="60:63" ht="14.25" x14ac:dyDescent="0.2">
      <c r="BH11082" s="25"/>
      <c r="BI11082" s="25"/>
      <c r="BJ11082" s="25"/>
      <c r="BK11082" s="25"/>
    </row>
    <row r="11083" spans="60:63" ht="14.25" x14ac:dyDescent="0.2">
      <c r="BH11083" s="25"/>
      <c r="BI11083" s="25"/>
      <c r="BJ11083" s="25"/>
      <c r="BK11083" s="25"/>
    </row>
    <row r="11084" spans="60:63" ht="14.25" x14ac:dyDescent="0.2">
      <c r="BH11084" s="25"/>
      <c r="BI11084" s="25"/>
      <c r="BJ11084" s="25"/>
      <c r="BK11084" s="25"/>
    </row>
    <row r="11085" spans="60:63" ht="14.25" x14ac:dyDescent="0.2">
      <c r="BH11085" s="25"/>
      <c r="BI11085" s="25"/>
      <c r="BJ11085" s="25"/>
      <c r="BK11085" s="25"/>
    </row>
    <row r="11086" spans="60:63" ht="14.25" x14ac:dyDescent="0.2">
      <c r="BH11086" s="25"/>
      <c r="BI11086" s="25"/>
      <c r="BJ11086" s="25"/>
      <c r="BK11086" s="25"/>
    </row>
    <row r="11087" spans="60:63" ht="14.25" x14ac:dyDescent="0.2">
      <c r="BH11087" s="25"/>
      <c r="BI11087" s="25"/>
      <c r="BJ11087" s="25"/>
      <c r="BK11087" s="25"/>
    </row>
    <row r="11088" spans="60:63" ht="14.25" x14ac:dyDescent="0.2">
      <c r="BH11088" s="25"/>
      <c r="BI11088" s="25"/>
      <c r="BJ11088" s="25"/>
      <c r="BK11088" s="25"/>
    </row>
    <row r="11089" spans="60:63" ht="14.25" x14ac:dyDescent="0.2">
      <c r="BH11089" s="25"/>
      <c r="BI11089" s="25"/>
      <c r="BJ11089" s="25"/>
      <c r="BK11089" s="25"/>
    </row>
    <row r="11090" spans="60:63" ht="14.25" x14ac:dyDescent="0.2">
      <c r="BH11090" s="25"/>
      <c r="BI11090" s="25"/>
      <c r="BJ11090" s="25"/>
      <c r="BK11090" s="25"/>
    </row>
    <row r="11091" spans="60:63" ht="14.25" x14ac:dyDescent="0.2">
      <c r="BH11091" s="25"/>
      <c r="BI11091" s="25"/>
      <c r="BJ11091" s="25"/>
      <c r="BK11091" s="25"/>
    </row>
    <row r="11092" spans="60:63" ht="14.25" x14ac:dyDescent="0.2">
      <c r="BH11092" s="25"/>
      <c r="BI11092" s="25"/>
      <c r="BJ11092" s="25"/>
      <c r="BK11092" s="25"/>
    </row>
    <row r="11093" spans="60:63" ht="14.25" x14ac:dyDescent="0.2">
      <c r="BH11093" s="25"/>
      <c r="BI11093" s="25"/>
      <c r="BJ11093" s="25"/>
      <c r="BK11093" s="25"/>
    </row>
    <row r="11094" spans="60:63" ht="14.25" x14ac:dyDescent="0.2">
      <c r="BH11094" s="25"/>
      <c r="BI11094" s="25"/>
      <c r="BJ11094" s="25"/>
      <c r="BK11094" s="25"/>
    </row>
    <row r="11095" spans="60:63" ht="14.25" x14ac:dyDescent="0.2">
      <c r="BH11095" s="25"/>
      <c r="BI11095" s="25"/>
      <c r="BJ11095" s="25"/>
      <c r="BK11095" s="25"/>
    </row>
    <row r="11096" spans="60:63" ht="14.25" x14ac:dyDescent="0.2">
      <c r="BH11096" s="25"/>
      <c r="BI11096" s="25"/>
      <c r="BJ11096" s="25"/>
      <c r="BK11096" s="25"/>
    </row>
    <row r="11097" spans="60:63" ht="14.25" x14ac:dyDescent="0.2">
      <c r="BH11097" s="25"/>
      <c r="BI11097" s="25"/>
      <c r="BJ11097" s="25"/>
      <c r="BK11097" s="25"/>
    </row>
    <row r="11098" spans="60:63" ht="14.25" x14ac:dyDescent="0.2">
      <c r="BH11098" s="25"/>
      <c r="BI11098" s="25"/>
      <c r="BJ11098" s="25"/>
      <c r="BK11098" s="25"/>
    </row>
    <row r="11099" spans="60:63" ht="14.25" x14ac:dyDescent="0.2">
      <c r="BH11099" s="25"/>
      <c r="BI11099" s="25"/>
      <c r="BJ11099" s="25"/>
      <c r="BK11099" s="25"/>
    </row>
    <row r="11100" spans="60:63" ht="14.25" x14ac:dyDescent="0.2">
      <c r="BH11100" s="25"/>
      <c r="BI11100" s="25"/>
      <c r="BJ11100" s="25"/>
      <c r="BK11100" s="25"/>
    </row>
    <row r="11101" spans="60:63" ht="14.25" x14ac:dyDescent="0.2">
      <c r="BH11101" s="25"/>
      <c r="BI11101" s="25"/>
      <c r="BJ11101" s="25"/>
      <c r="BK11101" s="25"/>
    </row>
    <row r="11102" spans="60:63" ht="14.25" x14ac:dyDescent="0.2">
      <c r="BH11102" s="25"/>
      <c r="BI11102" s="25"/>
      <c r="BJ11102" s="25"/>
      <c r="BK11102" s="25"/>
    </row>
    <row r="11103" spans="60:63" ht="14.25" x14ac:dyDescent="0.2">
      <c r="BH11103" s="25"/>
      <c r="BI11103" s="25"/>
      <c r="BJ11103" s="25"/>
      <c r="BK11103" s="25"/>
    </row>
    <row r="11104" spans="60:63" ht="14.25" x14ac:dyDescent="0.2">
      <c r="BH11104" s="25"/>
      <c r="BI11104" s="25"/>
      <c r="BJ11104" s="25"/>
      <c r="BK11104" s="25"/>
    </row>
    <row r="11105" spans="60:63" ht="14.25" x14ac:dyDescent="0.2">
      <c r="BH11105" s="25"/>
      <c r="BI11105" s="25"/>
      <c r="BJ11105" s="25"/>
      <c r="BK11105" s="25"/>
    </row>
    <row r="11106" spans="60:63" ht="14.25" x14ac:dyDescent="0.2">
      <c r="BH11106" s="25"/>
      <c r="BI11106" s="25"/>
      <c r="BJ11106" s="25"/>
      <c r="BK11106" s="25"/>
    </row>
    <row r="11107" spans="60:63" ht="14.25" x14ac:dyDescent="0.2">
      <c r="BH11107" s="25"/>
      <c r="BI11107" s="25"/>
      <c r="BJ11107" s="25"/>
      <c r="BK11107" s="25"/>
    </row>
    <row r="11108" spans="60:63" ht="14.25" x14ac:dyDescent="0.2">
      <c r="BH11108" s="25"/>
      <c r="BI11108" s="25"/>
      <c r="BJ11108" s="25"/>
      <c r="BK11108" s="25"/>
    </row>
    <row r="11109" spans="60:63" ht="14.25" x14ac:dyDescent="0.2">
      <c r="BH11109" s="25"/>
      <c r="BI11109" s="25"/>
      <c r="BJ11109" s="25"/>
      <c r="BK11109" s="25"/>
    </row>
    <row r="11110" spans="60:63" ht="14.25" x14ac:dyDescent="0.2">
      <c r="BH11110" s="25"/>
      <c r="BI11110" s="25"/>
      <c r="BJ11110" s="25"/>
      <c r="BK11110" s="25"/>
    </row>
    <row r="11111" spans="60:63" ht="14.25" x14ac:dyDescent="0.2">
      <c r="BH11111" s="25"/>
      <c r="BI11111" s="25"/>
      <c r="BJ11111" s="25"/>
      <c r="BK11111" s="25"/>
    </row>
    <row r="11112" spans="60:63" ht="14.25" x14ac:dyDescent="0.2">
      <c r="BH11112" s="25"/>
      <c r="BI11112" s="25"/>
      <c r="BJ11112" s="25"/>
      <c r="BK11112" s="25"/>
    </row>
    <row r="11113" spans="60:63" ht="14.25" x14ac:dyDescent="0.2">
      <c r="BH11113" s="25"/>
      <c r="BI11113" s="25"/>
      <c r="BJ11113" s="25"/>
      <c r="BK11113" s="25"/>
    </row>
    <row r="11114" spans="60:63" ht="14.25" x14ac:dyDescent="0.2">
      <c r="BH11114" s="25"/>
      <c r="BI11114" s="25"/>
      <c r="BJ11114" s="25"/>
      <c r="BK11114" s="25"/>
    </row>
    <row r="11115" spans="60:63" ht="14.25" x14ac:dyDescent="0.2">
      <c r="BH11115" s="25"/>
      <c r="BI11115" s="25"/>
      <c r="BJ11115" s="25"/>
      <c r="BK11115" s="25"/>
    </row>
    <row r="11116" spans="60:63" ht="14.25" x14ac:dyDescent="0.2">
      <c r="BH11116" s="25"/>
      <c r="BI11116" s="25"/>
      <c r="BJ11116" s="25"/>
      <c r="BK11116" s="25"/>
    </row>
    <row r="11117" spans="60:63" ht="14.25" x14ac:dyDescent="0.2">
      <c r="BH11117" s="25"/>
      <c r="BI11117" s="25"/>
      <c r="BJ11117" s="25"/>
      <c r="BK11117" s="25"/>
    </row>
    <row r="11118" spans="60:63" ht="14.25" x14ac:dyDescent="0.2">
      <c r="BH11118" s="25"/>
      <c r="BI11118" s="25"/>
      <c r="BJ11118" s="25"/>
      <c r="BK11118" s="25"/>
    </row>
    <row r="11119" spans="60:63" ht="14.25" x14ac:dyDescent="0.2">
      <c r="BH11119" s="25"/>
      <c r="BI11119" s="25"/>
      <c r="BJ11119" s="25"/>
      <c r="BK11119" s="25"/>
    </row>
    <row r="11120" spans="60:63" ht="14.25" x14ac:dyDescent="0.2">
      <c r="BH11120" s="25"/>
      <c r="BI11120" s="25"/>
      <c r="BJ11120" s="25"/>
      <c r="BK11120" s="25"/>
    </row>
    <row r="11121" spans="60:63" ht="14.25" x14ac:dyDescent="0.2">
      <c r="BH11121" s="25"/>
      <c r="BI11121" s="25"/>
      <c r="BJ11121" s="25"/>
      <c r="BK11121" s="25"/>
    </row>
    <row r="11122" spans="60:63" ht="14.25" x14ac:dyDescent="0.2">
      <c r="BH11122" s="25"/>
      <c r="BI11122" s="25"/>
      <c r="BJ11122" s="25"/>
      <c r="BK11122" s="25"/>
    </row>
    <row r="11123" spans="60:63" ht="14.25" x14ac:dyDescent="0.2">
      <c r="BH11123" s="25"/>
      <c r="BI11123" s="25"/>
      <c r="BJ11123" s="25"/>
      <c r="BK11123" s="25"/>
    </row>
    <row r="11124" spans="60:63" ht="14.25" x14ac:dyDescent="0.2">
      <c r="BH11124" s="25"/>
      <c r="BI11124" s="25"/>
      <c r="BJ11124" s="25"/>
      <c r="BK11124" s="25"/>
    </row>
    <row r="11125" spans="60:63" ht="14.25" x14ac:dyDescent="0.2">
      <c r="BH11125" s="25"/>
      <c r="BI11125" s="25"/>
      <c r="BJ11125" s="25"/>
      <c r="BK11125" s="25"/>
    </row>
    <row r="11126" spans="60:63" ht="14.25" x14ac:dyDescent="0.2">
      <c r="BH11126" s="25"/>
      <c r="BI11126" s="25"/>
      <c r="BJ11126" s="25"/>
      <c r="BK11126" s="25"/>
    </row>
    <row r="11127" spans="60:63" ht="14.25" x14ac:dyDescent="0.2">
      <c r="BH11127" s="25"/>
      <c r="BI11127" s="25"/>
      <c r="BJ11127" s="25"/>
      <c r="BK11127" s="25"/>
    </row>
    <row r="11128" spans="60:63" ht="14.25" x14ac:dyDescent="0.2">
      <c r="BH11128" s="25"/>
      <c r="BI11128" s="25"/>
      <c r="BJ11128" s="25"/>
      <c r="BK11128" s="25"/>
    </row>
    <row r="11129" spans="60:63" ht="14.25" x14ac:dyDescent="0.2">
      <c r="BH11129" s="25"/>
      <c r="BI11129" s="25"/>
      <c r="BJ11129" s="25"/>
      <c r="BK11129" s="25"/>
    </row>
    <row r="11130" spans="60:63" ht="14.25" x14ac:dyDescent="0.2">
      <c r="BH11130" s="25"/>
      <c r="BI11130" s="25"/>
      <c r="BJ11130" s="25"/>
      <c r="BK11130" s="25"/>
    </row>
    <row r="11131" spans="60:63" ht="14.25" x14ac:dyDescent="0.2">
      <c r="BH11131" s="25"/>
      <c r="BI11131" s="25"/>
      <c r="BJ11131" s="25"/>
      <c r="BK11131" s="25"/>
    </row>
    <row r="11132" spans="60:63" ht="14.25" x14ac:dyDescent="0.2">
      <c r="BH11132" s="25"/>
      <c r="BI11132" s="25"/>
      <c r="BJ11132" s="25"/>
      <c r="BK11132" s="25"/>
    </row>
    <row r="11133" spans="60:63" ht="14.25" x14ac:dyDescent="0.2">
      <c r="BH11133" s="25"/>
      <c r="BI11133" s="25"/>
      <c r="BJ11133" s="25"/>
      <c r="BK11133" s="25"/>
    </row>
    <row r="11134" spans="60:63" ht="14.25" x14ac:dyDescent="0.2">
      <c r="BH11134" s="25"/>
      <c r="BI11134" s="25"/>
      <c r="BJ11134" s="25"/>
      <c r="BK11134" s="25"/>
    </row>
    <row r="11135" spans="60:63" ht="14.25" x14ac:dyDescent="0.2">
      <c r="BH11135" s="25"/>
      <c r="BI11135" s="25"/>
      <c r="BJ11135" s="25"/>
      <c r="BK11135" s="25"/>
    </row>
    <row r="11136" spans="60:63" ht="14.25" x14ac:dyDescent="0.2">
      <c r="BH11136" s="25"/>
      <c r="BI11136" s="25"/>
      <c r="BJ11136" s="25"/>
      <c r="BK11136" s="25"/>
    </row>
    <row r="11137" spans="60:63" ht="14.25" x14ac:dyDescent="0.2">
      <c r="BH11137" s="25"/>
      <c r="BI11137" s="25"/>
      <c r="BJ11137" s="25"/>
      <c r="BK11137" s="25"/>
    </row>
    <row r="11138" spans="60:63" ht="14.25" x14ac:dyDescent="0.2">
      <c r="BH11138" s="25"/>
      <c r="BI11138" s="25"/>
      <c r="BJ11138" s="25"/>
      <c r="BK11138" s="25"/>
    </row>
    <row r="11139" spans="60:63" ht="14.25" x14ac:dyDescent="0.2">
      <c r="BH11139" s="25"/>
      <c r="BI11139" s="25"/>
      <c r="BJ11139" s="25"/>
      <c r="BK11139" s="25"/>
    </row>
    <row r="11140" spans="60:63" ht="14.25" x14ac:dyDescent="0.2">
      <c r="BH11140" s="25"/>
      <c r="BI11140" s="25"/>
      <c r="BJ11140" s="25"/>
      <c r="BK11140" s="25"/>
    </row>
    <row r="11141" spans="60:63" ht="14.25" x14ac:dyDescent="0.2">
      <c r="BH11141" s="25"/>
      <c r="BI11141" s="25"/>
      <c r="BJ11141" s="25"/>
      <c r="BK11141" s="25"/>
    </row>
    <row r="11142" spans="60:63" ht="14.25" x14ac:dyDescent="0.2">
      <c r="BH11142" s="25"/>
      <c r="BI11142" s="25"/>
      <c r="BJ11142" s="25"/>
      <c r="BK11142" s="25"/>
    </row>
    <row r="11143" spans="60:63" ht="14.25" x14ac:dyDescent="0.2">
      <c r="BH11143" s="25"/>
      <c r="BI11143" s="25"/>
      <c r="BJ11143" s="25"/>
      <c r="BK11143" s="25"/>
    </row>
    <row r="11144" spans="60:63" ht="14.25" x14ac:dyDescent="0.2">
      <c r="BH11144" s="25"/>
      <c r="BI11144" s="25"/>
      <c r="BJ11144" s="25"/>
      <c r="BK11144" s="25"/>
    </row>
    <row r="11145" spans="60:63" ht="14.25" x14ac:dyDescent="0.2">
      <c r="BH11145" s="25"/>
      <c r="BI11145" s="25"/>
      <c r="BJ11145" s="25"/>
      <c r="BK11145" s="25"/>
    </row>
    <row r="11146" spans="60:63" ht="14.25" x14ac:dyDescent="0.2">
      <c r="BH11146" s="25"/>
      <c r="BI11146" s="25"/>
      <c r="BJ11146" s="25"/>
      <c r="BK11146" s="25"/>
    </row>
    <row r="11147" spans="60:63" ht="14.25" x14ac:dyDescent="0.2">
      <c r="BH11147" s="25"/>
      <c r="BI11147" s="25"/>
      <c r="BJ11147" s="25"/>
      <c r="BK11147" s="25"/>
    </row>
    <row r="11148" spans="60:63" ht="14.25" x14ac:dyDescent="0.2">
      <c r="BH11148" s="25"/>
      <c r="BI11148" s="25"/>
      <c r="BJ11148" s="25"/>
      <c r="BK11148" s="25"/>
    </row>
    <row r="11149" spans="60:63" ht="14.25" x14ac:dyDescent="0.2">
      <c r="BH11149" s="25"/>
      <c r="BI11149" s="25"/>
      <c r="BJ11149" s="25"/>
      <c r="BK11149" s="25"/>
    </row>
    <row r="11150" spans="60:63" ht="14.25" x14ac:dyDescent="0.2">
      <c r="BH11150" s="25"/>
      <c r="BI11150" s="25"/>
      <c r="BJ11150" s="25"/>
      <c r="BK11150" s="25"/>
    </row>
    <row r="11151" spans="60:63" ht="14.25" x14ac:dyDescent="0.2">
      <c r="BH11151" s="25"/>
      <c r="BI11151" s="25"/>
      <c r="BJ11151" s="25"/>
      <c r="BK11151" s="25"/>
    </row>
    <row r="11152" spans="60:63" ht="14.25" x14ac:dyDescent="0.2">
      <c r="BH11152" s="25"/>
      <c r="BI11152" s="25"/>
      <c r="BJ11152" s="25"/>
      <c r="BK11152" s="25"/>
    </row>
    <row r="11153" spans="60:63" ht="14.25" x14ac:dyDescent="0.2">
      <c r="BH11153" s="25"/>
      <c r="BI11153" s="25"/>
      <c r="BJ11153" s="25"/>
      <c r="BK11153" s="25"/>
    </row>
    <row r="11154" spans="60:63" ht="14.25" x14ac:dyDescent="0.2">
      <c r="BH11154" s="25"/>
      <c r="BI11154" s="25"/>
      <c r="BJ11154" s="25"/>
      <c r="BK11154" s="25"/>
    </row>
    <row r="11155" spans="60:63" ht="14.25" x14ac:dyDescent="0.2">
      <c r="BH11155" s="25"/>
      <c r="BI11155" s="25"/>
      <c r="BJ11155" s="25"/>
      <c r="BK11155" s="25"/>
    </row>
    <row r="11156" spans="60:63" ht="14.25" x14ac:dyDescent="0.2">
      <c r="BH11156" s="25"/>
      <c r="BI11156" s="25"/>
      <c r="BJ11156" s="25"/>
      <c r="BK11156" s="25"/>
    </row>
    <row r="11157" spans="60:63" ht="14.25" x14ac:dyDescent="0.2">
      <c r="BH11157" s="25"/>
      <c r="BI11157" s="25"/>
      <c r="BJ11157" s="25"/>
      <c r="BK11157" s="25"/>
    </row>
    <row r="11158" spans="60:63" ht="14.25" x14ac:dyDescent="0.2">
      <c r="BH11158" s="25"/>
      <c r="BI11158" s="25"/>
      <c r="BJ11158" s="25"/>
      <c r="BK11158" s="25"/>
    </row>
    <row r="11159" spans="60:63" ht="14.25" x14ac:dyDescent="0.2">
      <c r="BH11159" s="25"/>
      <c r="BI11159" s="25"/>
      <c r="BJ11159" s="25"/>
      <c r="BK11159" s="25"/>
    </row>
    <row r="11160" spans="60:63" ht="14.25" x14ac:dyDescent="0.2">
      <c r="BH11160" s="25"/>
      <c r="BI11160" s="25"/>
      <c r="BJ11160" s="25"/>
      <c r="BK11160" s="25"/>
    </row>
    <row r="11161" spans="60:63" ht="14.25" x14ac:dyDescent="0.2">
      <c r="BH11161" s="25"/>
      <c r="BI11161" s="25"/>
      <c r="BJ11161" s="25"/>
      <c r="BK11161" s="25"/>
    </row>
    <row r="11162" spans="60:63" ht="14.25" x14ac:dyDescent="0.2">
      <c r="BH11162" s="25"/>
      <c r="BI11162" s="25"/>
      <c r="BJ11162" s="25"/>
      <c r="BK11162" s="25"/>
    </row>
    <row r="11163" spans="60:63" ht="14.25" x14ac:dyDescent="0.2">
      <c r="BH11163" s="25"/>
      <c r="BI11163" s="25"/>
      <c r="BJ11163" s="25"/>
      <c r="BK11163" s="25"/>
    </row>
    <row r="11164" spans="60:63" ht="14.25" x14ac:dyDescent="0.2">
      <c r="BH11164" s="25"/>
      <c r="BI11164" s="25"/>
      <c r="BJ11164" s="25"/>
      <c r="BK11164" s="25"/>
    </row>
    <row r="11165" spans="60:63" ht="14.25" x14ac:dyDescent="0.2">
      <c r="BH11165" s="25"/>
      <c r="BI11165" s="25"/>
      <c r="BJ11165" s="25"/>
      <c r="BK11165" s="25"/>
    </row>
    <row r="11166" spans="60:63" ht="14.25" x14ac:dyDescent="0.2">
      <c r="BH11166" s="25"/>
      <c r="BI11166" s="25"/>
      <c r="BJ11166" s="25"/>
      <c r="BK11166" s="25"/>
    </row>
    <row r="11167" spans="60:63" ht="14.25" x14ac:dyDescent="0.2">
      <c r="BH11167" s="25"/>
      <c r="BI11167" s="25"/>
      <c r="BJ11167" s="25"/>
      <c r="BK11167" s="25"/>
    </row>
    <row r="11168" spans="60:63" ht="14.25" x14ac:dyDescent="0.2">
      <c r="BH11168" s="25"/>
      <c r="BI11168" s="25"/>
      <c r="BJ11168" s="25"/>
      <c r="BK11168" s="25"/>
    </row>
    <row r="11169" spans="60:63" ht="14.25" x14ac:dyDescent="0.2">
      <c r="BH11169" s="25"/>
      <c r="BI11169" s="25"/>
      <c r="BJ11169" s="25"/>
      <c r="BK11169" s="25"/>
    </row>
    <row r="11170" spans="60:63" ht="14.25" x14ac:dyDescent="0.2">
      <c r="BH11170" s="25"/>
      <c r="BI11170" s="25"/>
      <c r="BJ11170" s="25"/>
      <c r="BK11170" s="25"/>
    </row>
    <row r="11171" spans="60:63" ht="14.25" x14ac:dyDescent="0.2">
      <c r="BH11171" s="25"/>
      <c r="BI11171" s="25"/>
      <c r="BJ11171" s="25"/>
      <c r="BK11171" s="25"/>
    </row>
    <row r="11172" spans="60:63" ht="14.25" x14ac:dyDescent="0.2">
      <c r="BH11172" s="25"/>
      <c r="BI11172" s="25"/>
      <c r="BJ11172" s="25"/>
      <c r="BK11172" s="25"/>
    </row>
    <row r="11173" spans="60:63" ht="14.25" x14ac:dyDescent="0.2">
      <c r="BH11173" s="25"/>
      <c r="BI11173" s="25"/>
      <c r="BJ11173" s="25"/>
      <c r="BK11173" s="25"/>
    </row>
    <row r="11174" spans="60:63" ht="14.25" x14ac:dyDescent="0.2">
      <c r="BH11174" s="25"/>
      <c r="BI11174" s="25"/>
      <c r="BJ11174" s="25"/>
      <c r="BK11174" s="25"/>
    </row>
    <row r="11175" spans="60:63" ht="14.25" x14ac:dyDescent="0.2">
      <c r="BH11175" s="25"/>
      <c r="BI11175" s="25"/>
      <c r="BJ11175" s="25"/>
      <c r="BK11175" s="25"/>
    </row>
    <row r="11176" spans="60:63" ht="14.25" x14ac:dyDescent="0.2">
      <c r="BH11176" s="25"/>
      <c r="BI11176" s="25"/>
      <c r="BJ11176" s="25"/>
      <c r="BK11176" s="25"/>
    </row>
    <row r="11177" spans="60:63" ht="14.25" x14ac:dyDescent="0.2">
      <c r="BH11177" s="25"/>
      <c r="BI11177" s="25"/>
      <c r="BJ11177" s="25"/>
      <c r="BK11177" s="25"/>
    </row>
    <row r="11178" spans="60:63" ht="14.25" x14ac:dyDescent="0.2">
      <c r="BH11178" s="25"/>
      <c r="BI11178" s="25"/>
      <c r="BJ11178" s="25"/>
      <c r="BK11178" s="25"/>
    </row>
    <row r="11179" spans="60:63" ht="14.25" x14ac:dyDescent="0.2">
      <c r="BH11179" s="25"/>
      <c r="BI11179" s="25"/>
      <c r="BJ11179" s="25"/>
      <c r="BK11179" s="25"/>
    </row>
    <row r="11180" spans="60:63" ht="14.25" x14ac:dyDescent="0.2">
      <c r="BH11180" s="25"/>
      <c r="BI11180" s="25"/>
      <c r="BJ11180" s="25"/>
      <c r="BK11180" s="25"/>
    </row>
    <row r="11181" spans="60:63" ht="14.25" x14ac:dyDescent="0.2">
      <c r="BH11181" s="25"/>
      <c r="BI11181" s="25"/>
      <c r="BJ11181" s="25"/>
      <c r="BK11181" s="25"/>
    </row>
    <row r="11182" spans="60:63" ht="14.25" x14ac:dyDescent="0.2">
      <c r="BH11182" s="25"/>
      <c r="BI11182" s="25"/>
      <c r="BJ11182" s="25"/>
      <c r="BK11182" s="25"/>
    </row>
    <row r="11183" spans="60:63" ht="14.25" x14ac:dyDescent="0.2">
      <c r="BH11183" s="25"/>
      <c r="BI11183" s="25"/>
      <c r="BJ11183" s="25"/>
      <c r="BK11183" s="25"/>
    </row>
    <row r="11184" spans="60:63" ht="14.25" x14ac:dyDescent="0.2">
      <c r="BH11184" s="25"/>
      <c r="BI11184" s="25"/>
      <c r="BJ11184" s="25"/>
      <c r="BK11184" s="25"/>
    </row>
    <row r="11185" spans="60:63" ht="14.25" x14ac:dyDescent="0.2">
      <c r="BH11185" s="25"/>
      <c r="BI11185" s="25"/>
      <c r="BJ11185" s="25"/>
      <c r="BK11185" s="25"/>
    </row>
    <row r="11186" spans="60:63" ht="14.25" x14ac:dyDescent="0.2">
      <c r="BH11186" s="25"/>
      <c r="BI11186" s="25"/>
      <c r="BJ11186" s="25"/>
      <c r="BK11186" s="25"/>
    </row>
    <row r="11187" spans="60:63" ht="14.25" x14ac:dyDescent="0.2">
      <c r="BH11187" s="25"/>
      <c r="BI11187" s="25"/>
      <c r="BJ11187" s="25"/>
      <c r="BK11187" s="25"/>
    </row>
    <row r="11188" spans="60:63" ht="14.25" x14ac:dyDescent="0.2">
      <c r="BH11188" s="25"/>
      <c r="BI11188" s="25"/>
      <c r="BJ11188" s="25"/>
      <c r="BK11188" s="25"/>
    </row>
    <row r="11189" spans="60:63" ht="14.25" x14ac:dyDescent="0.2">
      <c r="BH11189" s="25"/>
      <c r="BI11189" s="25"/>
      <c r="BJ11189" s="25"/>
      <c r="BK11189" s="25"/>
    </row>
    <row r="11190" spans="60:63" ht="14.25" x14ac:dyDescent="0.2">
      <c r="BH11190" s="25"/>
      <c r="BI11190" s="25"/>
      <c r="BJ11190" s="25"/>
      <c r="BK11190" s="25"/>
    </row>
    <row r="11191" spans="60:63" ht="14.25" x14ac:dyDescent="0.2">
      <c r="BH11191" s="25"/>
      <c r="BI11191" s="25"/>
      <c r="BJ11191" s="25"/>
      <c r="BK11191" s="25"/>
    </row>
    <row r="11192" spans="60:63" ht="14.25" x14ac:dyDescent="0.2">
      <c r="BH11192" s="25"/>
      <c r="BI11192" s="25"/>
      <c r="BJ11192" s="25"/>
      <c r="BK11192" s="25"/>
    </row>
    <row r="11193" spans="60:63" ht="14.25" x14ac:dyDescent="0.2">
      <c r="BH11193" s="25"/>
      <c r="BI11193" s="25"/>
      <c r="BJ11193" s="25"/>
      <c r="BK11193" s="25"/>
    </row>
    <row r="11194" spans="60:63" ht="14.25" x14ac:dyDescent="0.2">
      <c r="BH11194" s="25"/>
      <c r="BI11194" s="25"/>
      <c r="BJ11194" s="25"/>
      <c r="BK11194" s="25"/>
    </row>
    <row r="11195" spans="60:63" ht="14.25" x14ac:dyDescent="0.2">
      <c r="BH11195" s="25"/>
      <c r="BI11195" s="25"/>
      <c r="BJ11195" s="25"/>
      <c r="BK11195" s="25"/>
    </row>
    <row r="11196" spans="60:63" ht="14.25" x14ac:dyDescent="0.2">
      <c r="BH11196" s="25"/>
      <c r="BI11196" s="25"/>
      <c r="BJ11196" s="25"/>
      <c r="BK11196" s="25"/>
    </row>
    <row r="11197" spans="60:63" ht="14.25" x14ac:dyDescent="0.2">
      <c r="BH11197" s="25"/>
      <c r="BI11197" s="25"/>
      <c r="BJ11197" s="25"/>
      <c r="BK11197" s="25"/>
    </row>
    <row r="11198" spans="60:63" ht="14.25" x14ac:dyDescent="0.2">
      <c r="BH11198" s="25"/>
      <c r="BI11198" s="25"/>
      <c r="BJ11198" s="25"/>
      <c r="BK11198" s="25"/>
    </row>
    <row r="11199" spans="60:63" ht="14.25" x14ac:dyDescent="0.2">
      <c r="BH11199" s="25"/>
      <c r="BI11199" s="25"/>
      <c r="BJ11199" s="25"/>
      <c r="BK11199" s="25"/>
    </row>
    <row r="11200" spans="60:63" ht="14.25" x14ac:dyDescent="0.2">
      <c r="BH11200" s="25"/>
      <c r="BI11200" s="25"/>
      <c r="BJ11200" s="25"/>
      <c r="BK11200" s="25"/>
    </row>
    <row r="11201" spans="60:63" ht="14.25" x14ac:dyDescent="0.2">
      <c r="BH11201" s="25"/>
      <c r="BI11201" s="25"/>
      <c r="BJ11201" s="25"/>
      <c r="BK11201" s="25"/>
    </row>
    <row r="11202" spans="60:63" ht="14.25" x14ac:dyDescent="0.2">
      <c r="BH11202" s="25"/>
      <c r="BI11202" s="25"/>
      <c r="BJ11202" s="25"/>
      <c r="BK11202" s="25"/>
    </row>
    <row r="11203" spans="60:63" ht="14.25" x14ac:dyDescent="0.2">
      <c r="BH11203" s="25"/>
      <c r="BI11203" s="25"/>
      <c r="BJ11203" s="25"/>
      <c r="BK11203" s="25"/>
    </row>
    <row r="11204" spans="60:63" ht="14.25" x14ac:dyDescent="0.2">
      <c r="BH11204" s="25"/>
      <c r="BI11204" s="25"/>
      <c r="BJ11204" s="25"/>
      <c r="BK11204" s="25"/>
    </row>
    <row r="11205" spans="60:63" ht="14.25" x14ac:dyDescent="0.2">
      <c r="BH11205" s="25"/>
      <c r="BI11205" s="25"/>
      <c r="BJ11205" s="25"/>
      <c r="BK11205" s="25"/>
    </row>
    <row r="11206" spans="60:63" ht="14.25" x14ac:dyDescent="0.2">
      <c r="BH11206" s="25"/>
      <c r="BI11206" s="25"/>
      <c r="BJ11206" s="25"/>
      <c r="BK11206" s="25"/>
    </row>
    <row r="11207" spans="60:63" ht="14.25" x14ac:dyDescent="0.2">
      <c r="BH11207" s="25"/>
      <c r="BI11207" s="25"/>
      <c r="BJ11207" s="25"/>
      <c r="BK11207" s="25"/>
    </row>
    <row r="11208" spans="60:63" ht="14.25" x14ac:dyDescent="0.2">
      <c r="BH11208" s="25"/>
      <c r="BI11208" s="25"/>
      <c r="BJ11208" s="25"/>
      <c r="BK11208" s="25"/>
    </row>
    <row r="11209" spans="60:63" ht="14.25" x14ac:dyDescent="0.2">
      <c r="BH11209" s="25"/>
      <c r="BI11209" s="25"/>
      <c r="BJ11209" s="25"/>
      <c r="BK11209" s="25"/>
    </row>
    <row r="11210" spans="60:63" ht="14.25" x14ac:dyDescent="0.2">
      <c r="BH11210" s="25"/>
      <c r="BI11210" s="25"/>
      <c r="BJ11210" s="25"/>
      <c r="BK11210" s="25"/>
    </row>
    <row r="11211" spans="60:63" ht="14.25" x14ac:dyDescent="0.2">
      <c r="BH11211" s="25"/>
      <c r="BI11211" s="25"/>
      <c r="BJ11211" s="25"/>
      <c r="BK11211" s="25"/>
    </row>
    <row r="11212" spans="60:63" ht="14.25" x14ac:dyDescent="0.2">
      <c r="BH11212" s="25"/>
      <c r="BI11212" s="25"/>
      <c r="BJ11212" s="25"/>
      <c r="BK11212" s="25"/>
    </row>
    <row r="11213" spans="60:63" ht="14.25" x14ac:dyDescent="0.2">
      <c r="BH11213" s="25"/>
      <c r="BI11213" s="25"/>
      <c r="BJ11213" s="25"/>
      <c r="BK11213" s="25"/>
    </row>
    <row r="11214" spans="60:63" ht="14.25" x14ac:dyDescent="0.2">
      <c r="BH11214" s="25"/>
      <c r="BI11214" s="25"/>
      <c r="BJ11214" s="25"/>
      <c r="BK11214" s="25"/>
    </row>
    <row r="11215" spans="60:63" ht="14.25" x14ac:dyDescent="0.2">
      <c r="BH11215" s="25"/>
      <c r="BI11215" s="25"/>
      <c r="BJ11215" s="25"/>
      <c r="BK11215" s="25"/>
    </row>
    <row r="11216" spans="60:63" ht="14.25" x14ac:dyDescent="0.2">
      <c r="BH11216" s="25"/>
      <c r="BI11216" s="25"/>
      <c r="BJ11216" s="25"/>
      <c r="BK11216" s="25"/>
    </row>
    <row r="11217" spans="60:63" ht="14.25" x14ac:dyDescent="0.2">
      <c r="BH11217" s="25"/>
      <c r="BI11217" s="25"/>
      <c r="BJ11217" s="25"/>
      <c r="BK11217" s="25"/>
    </row>
    <row r="11218" spans="60:63" ht="14.25" x14ac:dyDescent="0.2">
      <c r="BH11218" s="25"/>
      <c r="BI11218" s="25"/>
      <c r="BJ11218" s="25"/>
      <c r="BK11218" s="25"/>
    </row>
    <row r="11219" spans="60:63" ht="14.25" x14ac:dyDescent="0.2">
      <c r="BH11219" s="25"/>
      <c r="BI11219" s="25"/>
      <c r="BJ11219" s="25"/>
      <c r="BK11219" s="25"/>
    </row>
    <row r="11220" spans="60:63" ht="14.25" x14ac:dyDescent="0.2">
      <c r="BH11220" s="25"/>
      <c r="BI11220" s="25"/>
      <c r="BJ11220" s="25"/>
      <c r="BK11220" s="25"/>
    </row>
    <row r="11221" spans="60:63" ht="14.25" x14ac:dyDescent="0.2">
      <c r="BH11221" s="25"/>
      <c r="BI11221" s="25"/>
      <c r="BJ11221" s="25"/>
      <c r="BK11221" s="25"/>
    </row>
    <row r="11222" spans="60:63" ht="14.25" x14ac:dyDescent="0.2">
      <c r="BH11222" s="25"/>
      <c r="BI11222" s="25"/>
      <c r="BJ11222" s="25"/>
      <c r="BK11222" s="25"/>
    </row>
    <row r="11223" spans="60:63" ht="14.25" x14ac:dyDescent="0.2">
      <c r="BH11223" s="25"/>
      <c r="BI11223" s="25"/>
      <c r="BJ11223" s="25"/>
      <c r="BK11223" s="25"/>
    </row>
    <row r="11224" spans="60:63" ht="14.25" x14ac:dyDescent="0.2">
      <c r="BH11224" s="25"/>
      <c r="BI11224" s="25"/>
      <c r="BJ11224" s="25"/>
      <c r="BK11224" s="25"/>
    </row>
    <row r="11225" spans="60:63" ht="14.25" x14ac:dyDescent="0.2">
      <c r="BH11225" s="25"/>
      <c r="BI11225" s="25"/>
      <c r="BJ11225" s="25"/>
      <c r="BK11225" s="25"/>
    </row>
    <row r="11226" spans="60:63" ht="14.25" x14ac:dyDescent="0.2">
      <c r="BH11226" s="25"/>
      <c r="BI11226" s="25"/>
      <c r="BJ11226" s="25"/>
      <c r="BK11226" s="25"/>
    </row>
    <row r="11227" spans="60:63" ht="14.25" x14ac:dyDescent="0.2">
      <c r="BH11227" s="25"/>
      <c r="BI11227" s="25"/>
      <c r="BJ11227" s="25"/>
      <c r="BK11227" s="25"/>
    </row>
    <row r="11228" spans="60:63" ht="14.25" x14ac:dyDescent="0.2">
      <c r="BH11228" s="25"/>
      <c r="BI11228" s="25"/>
      <c r="BJ11228" s="25"/>
      <c r="BK11228" s="25"/>
    </row>
    <row r="11229" spans="60:63" ht="14.25" x14ac:dyDescent="0.2">
      <c r="BH11229" s="25"/>
      <c r="BI11229" s="25"/>
      <c r="BJ11229" s="25"/>
      <c r="BK11229" s="25"/>
    </row>
    <row r="11230" spans="60:63" ht="14.25" x14ac:dyDescent="0.2">
      <c r="BH11230" s="25"/>
      <c r="BI11230" s="25"/>
      <c r="BJ11230" s="25"/>
      <c r="BK11230" s="25"/>
    </row>
    <row r="11231" spans="60:63" ht="14.25" x14ac:dyDescent="0.2">
      <c r="BH11231" s="25"/>
      <c r="BI11231" s="25"/>
      <c r="BJ11231" s="25"/>
      <c r="BK11231" s="25"/>
    </row>
    <row r="11232" spans="60:63" ht="14.25" x14ac:dyDescent="0.2">
      <c r="BH11232" s="25"/>
      <c r="BI11232" s="25"/>
      <c r="BJ11232" s="25"/>
      <c r="BK11232" s="25"/>
    </row>
    <row r="11233" spans="60:63" ht="14.25" x14ac:dyDescent="0.2">
      <c r="BH11233" s="25"/>
      <c r="BI11233" s="25"/>
      <c r="BJ11233" s="25"/>
      <c r="BK11233" s="25"/>
    </row>
    <row r="11234" spans="60:63" ht="14.25" x14ac:dyDescent="0.2">
      <c r="BH11234" s="25"/>
      <c r="BI11234" s="25"/>
      <c r="BJ11234" s="25"/>
      <c r="BK11234" s="25"/>
    </row>
    <row r="11235" spans="60:63" ht="14.25" x14ac:dyDescent="0.2">
      <c r="BH11235" s="25"/>
      <c r="BI11235" s="25"/>
      <c r="BJ11235" s="25"/>
      <c r="BK11235" s="25"/>
    </row>
    <row r="11236" spans="60:63" ht="14.25" x14ac:dyDescent="0.2">
      <c r="BH11236" s="25"/>
      <c r="BI11236" s="25"/>
      <c r="BJ11236" s="25"/>
      <c r="BK11236" s="25"/>
    </row>
    <row r="11237" spans="60:63" ht="14.25" x14ac:dyDescent="0.2">
      <c r="BH11237" s="25"/>
      <c r="BI11237" s="25"/>
      <c r="BJ11237" s="25"/>
      <c r="BK11237" s="25"/>
    </row>
    <row r="11238" spans="60:63" ht="14.25" x14ac:dyDescent="0.2">
      <c r="BH11238" s="25"/>
      <c r="BI11238" s="25"/>
      <c r="BJ11238" s="25"/>
      <c r="BK11238" s="25"/>
    </row>
    <row r="11239" spans="60:63" ht="14.25" x14ac:dyDescent="0.2">
      <c r="BH11239" s="25"/>
      <c r="BI11239" s="25"/>
      <c r="BJ11239" s="25"/>
      <c r="BK11239" s="25"/>
    </row>
    <row r="11240" spans="60:63" ht="14.25" x14ac:dyDescent="0.2">
      <c r="BH11240" s="25"/>
      <c r="BI11240" s="25"/>
      <c r="BJ11240" s="25"/>
      <c r="BK11240" s="25"/>
    </row>
    <row r="11241" spans="60:63" ht="14.25" x14ac:dyDescent="0.2">
      <c r="BH11241" s="25"/>
      <c r="BI11241" s="25"/>
      <c r="BJ11241" s="25"/>
      <c r="BK11241" s="25"/>
    </row>
    <row r="11242" spans="60:63" ht="14.25" x14ac:dyDescent="0.2">
      <c r="BH11242" s="25"/>
      <c r="BI11242" s="25"/>
      <c r="BJ11242" s="25"/>
      <c r="BK11242" s="25"/>
    </row>
    <row r="11243" spans="60:63" ht="14.25" x14ac:dyDescent="0.2">
      <c r="BH11243" s="25"/>
      <c r="BI11243" s="25"/>
      <c r="BJ11243" s="25"/>
      <c r="BK11243" s="25"/>
    </row>
    <row r="11244" spans="60:63" ht="14.25" x14ac:dyDescent="0.2">
      <c r="BH11244" s="25"/>
      <c r="BI11244" s="25"/>
      <c r="BJ11244" s="25"/>
      <c r="BK11244" s="25"/>
    </row>
    <row r="11245" spans="60:63" ht="14.25" x14ac:dyDescent="0.2">
      <c r="BH11245" s="25"/>
      <c r="BI11245" s="25"/>
      <c r="BJ11245" s="25"/>
      <c r="BK11245" s="25"/>
    </row>
    <row r="11246" spans="60:63" ht="14.25" x14ac:dyDescent="0.2">
      <c r="BH11246" s="25"/>
      <c r="BI11246" s="25"/>
      <c r="BJ11246" s="25"/>
      <c r="BK11246" s="25"/>
    </row>
    <row r="11247" spans="60:63" ht="14.25" x14ac:dyDescent="0.2">
      <c r="BH11247" s="25"/>
      <c r="BI11247" s="25"/>
      <c r="BJ11247" s="25"/>
      <c r="BK11247" s="25"/>
    </row>
    <row r="11248" spans="60:63" ht="14.25" x14ac:dyDescent="0.2">
      <c r="BH11248" s="25"/>
      <c r="BI11248" s="25"/>
      <c r="BJ11248" s="25"/>
      <c r="BK11248" s="25"/>
    </row>
    <row r="11249" spans="60:63" ht="14.25" x14ac:dyDescent="0.2">
      <c r="BH11249" s="25"/>
      <c r="BI11249" s="25"/>
      <c r="BJ11249" s="25"/>
      <c r="BK11249" s="25"/>
    </row>
    <row r="11250" spans="60:63" ht="14.25" x14ac:dyDescent="0.2">
      <c r="BH11250" s="25"/>
      <c r="BI11250" s="25"/>
      <c r="BJ11250" s="25"/>
      <c r="BK11250" s="25"/>
    </row>
    <row r="11251" spans="60:63" ht="14.25" x14ac:dyDescent="0.2">
      <c r="BH11251" s="25"/>
      <c r="BI11251" s="25"/>
      <c r="BJ11251" s="25"/>
      <c r="BK11251" s="25"/>
    </row>
    <row r="11252" spans="60:63" ht="14.25" x14ac:dyDescent="0.2">
      <c r="BH11252" s="25"/>
      <c r="BI11252" s="25"/>
      <c r="BJ11252" s="25"/>
      <c r="BK11252" s="25"/>
    </row>
    <row r="11253" spans="60:63" ht="14.25" x14ac:dyDescent="0.2">
      <c r="BH11253" s="25"/>
      <c r="BI11253" s="25"/>
      <c r="BJ11253" s="25"/>
      <c r="BK11253" s="25"/>
    </row>
    <row r="11254" spans="60:63" ht="14.25" x14ac:dyDescent="0.2">
      <c r="BH11254" s="25"/>
      <c r="BI11254" s="25"/>
      <c r="BJ11254" s="25"/>
      <c r="BK11254" s="25"/>
    </row>
    <row r="11255" spans="60:63" ht="14.25" x14ac:dyDescent="0.2">
      <c r="BH11255" s="25"/>
      <c r="BI11255" s="25"/>
      <c r="BJ11255" s="25"/>
      <c r="BK11255" s="25"/>
    </row>
    <row r="11256" spans="60:63" ht="14.25" x14ac:dyDescent="0.2">
      <c r="BH11256" s="25"/>
      <c r="BI11256" s="25"/>
      <c r="BJ11256" s="25"/>
      <c r="BK11256" s="25"/>
    </row>
    <row r="11257" spans="60:63" ht="14.25" x14ac:dyDescent="0.2">
      <c r="BH11257" s="25"/>
      <c r="BI11257" s="25"/>
      <c r="BJ11257" s="25"/>
      <c r="BK11257" s="25"/>
    </row>
    <row r="11258" spans="60:63" ht="14.25" x14ac:dyDescent="0.2">
      <c r="BH11258" s="25"/>
      <c r="BI11258" s="25"/>
      <c r="BJ11258" s="25"/>
      <c r="BK11258" s="25"/>
    </row>
    <row r="11259" spans="60:63" ht="14.25" x14ac:dyDescent="0.2">
      <c r="BH11259" s="25"/>
      <c r="BI11259" s="25"/>
      <c r="BJ11259" s="25"/>
      <c r="BK11259" s="25"/>
    </row>
    <row r="11260" spans="60:63" ht="14.25" x14ac:dyDescent="0.2">
      <c r="BH11260" s="25"/>
      <c r="BI11260" s="25"/>
      <c r="BJ11260" s="25"/>
      <c r="BK11260" s="25"/>
    </row>
    <row r="11261" spans="60:63" ht="14.25" x14ac:dyDescent="0.2">
      <c r="BH11261" s="25"/>
      <c r="BI11261" s="25"/>
      <c r="BJ11261" s="25"/>
      <c r="BK11261" s="25"/>
    </row>
    <row r="11262" spans="60:63" ht="14.25" x14ac:dyDescent="0.2">
      <c r="BH11262" s="25"/>
      <c r="BI11262" s="25"/>
      <c r="BJ11262" s="25"/>
      <c r="BK11262" s="25"/>
    </row>
    <row r="11263" spans="60:63" ht="14.25" x14ac:dyDescent="0.2">
      <c r="BH11263" s="25"/>
      <c r="BI11263" s="25"/>
      <c r="BJ11263" s="25"/>
      <c r="BK11263" s="25"/>
    </row>
    <row r="11264" spans="60:63" ht="14.25" x14ac:dyDescent="0.2">
      <c r="BH11264" s="25"/>
      <c r="BI11264" s="25"/>
      <c r="BJ11264" s="25"/>
      <c r="BK11264" s="25"/>
    </row>
    <row r="11265" spans="60:63" ht="14.25" x14ac:dyDescent="0.2">
      <c r="BH11265" s="25"/>
      <c r="BI11265" s="25"/>
      <c r="BJ11265" s="25"/>
      <c r="BK11265" s="25"/>
    </row>
    <row r="11266" spans="60:63" ht="14.25" x14ac:dyDescent="0.2">
      <c r="BH11266" s="25"/>
      <c r="BI11266" s="25"/>
      <c r="BJ11266" s="25"/>
      <c r="BK11266" s="25"/>
    </row>
    <row r="11267" spans="60:63" ht="14.25" x14ac:dyDescent="0.2">
      <c r="BH11267" s="25"/>
      <c r="BI11267" s="25"/>
      <c r="BJ11267" s="25"/>
      <c r="BK11267" s="25"/>
    </row>
    <row r="11268" spans="60:63" ht="14.25" x14ac:dyDescent="0.2">
      <c r="BH11268" s="25"/>
      <c r="BI11268" s="25"/>
      <c r="BJ11268" s="25"/>
      <c r="BK11268" s="25"/>
    </row>
    <row r="11269" spans="60:63" ht="14.25" x14ac:dyDescent="0.2">
      <c r="BH11269" s="25"/>
      <c r="BI11269" s="25"/>
      <c r="BJ11269" s="25"/>
      <c r="BK11269" s="25"/>
    </row>
    <row r="11270" spans="60:63" ht="14.25" x14ac:dyDescent="0.2">
      <c r="BH11270" s="25"/>
      <c r="BI11270" s="25"/>
      <c r="BJ11270" s="25"/>
      <c r="BK11270" s="25"/>
    </row>
    <row r="11271" spans="60:63" ht="14.25" x14ac:dyDescent="0.2">
      <c r="BH11271" s="25"/>
      <c r="BI11271" s="25"/>
      <c r="BJ11271" s="25"/>
      <c r="BK11271" s="25"/>
    </row>
    <row r="11272" spans="60:63" ht="14.25" x14ac:dyDescent="0.2">
      <c r="BH11272" s="25"/>
      <c r="BI11272" s="25"/>
      <c r="BJ11272" s="25"/>
      <c r="BK11272" s="25"/>
    </row>
    <row r="11273" spans="60:63" ht="14.25" x14ac:dyDescent="0.2">
      <c r="BH11273" s="25"/>
      <c r="BI11273" s="25"/>
      <c r="BJ11273" s="25"/>
      <c r="BK11273" s="25"/>
    </row>
    <row r="11274" spans="60:63" ht="14.25" x14ac:dyDescent="0.2">
      <c r="BH11274" s="25"/>
      <c r="BI11274" s="25"/>
      <c r="BJ11274" s="25"/>
      <c r="BK11274" s="25"/>
    </row>
    <row r="11275" spans="60:63" ht="14.25" x14ac:dyDescent="0.2">
      <c r="BH11275" s="25"/>
      <c r="BI11275" s="25"/>
      <c r="BJ11275" s="25"/>
      <c r="BK11275" s="25"/>
    </row>
    <row r="11276" spans="60:63" ht="14.25" x14ac:dyDescent="0.2">
      <c r="BH11276" s="25"/>
      <c r="BI11276" s="25"/>
      <c r="BJ11276" s="25"/>
      <c r="BK11276" s="25"/>
    </row>
    <row r="11277" spans="60:63" ht="14.25" x14ac:dyDescent="0.2">
      <c r="BH11277" s="25"/>
      <c r="BI11277" s="25"/>
      <c r="BJ11277" s="25"/>
      <c r="BK11277" s="25"/>
    </row>
    <row r="11278" spans="60:63" ht="14.25" x14ac:dyDescent="0.2">
      <c r="BH11278" s="25"/>
      <c r="BI11278" s="25"/>
      <c r="BJ11278" s="25"/>
      <c r="BK11278" s="25"/>
    </row>
    <row r="11279" spans="60:63" ht="14.25" x14ac:dyDescent="0.2">
      <c r="BH11279" s="25"/>
      <c r="BI11279" s="25"/>
      <c r="BJ11279" s="25"/>
      <c r="BK11279" s="25"/>
    </row>
    <row r="11280" spans="60:63" ht="14.25" x14ac:dyDescent="0.2">
      <c r="BH11280" s="25"/>
      <c r="BI11280" s="25"/>
      <c r="BJ11280" s="25"/>
      <c r="BK11280" s="25"/>
    </row>
    <row r="11281" spans="60:63" ht="14.25" x14ac:dyDescent="0.2">
      <c r="BH11281" s="25"/>
      <c r="BI11281" s="25"/>
      <c r="BJ11281" s="25"/>
      <c r="BK11281" s="25"/>
    </row>
    <row r="11282" spans="60:63" ht="14.25" x14ac:dyDescent="0.2">
      <c r="BH11282" s="25"/>
      <c r="BI11282" s="25"/>
      <c r="BJ11282" s="25"/>
      <c r="BK11282" s="25"/>
    </row>
    <row r="11283" spans="60:63" ht="14.25" x14ac:dyDescent="0.2">
      <c r="BH11283" s="25"/>
      <c r="BI11283" s="25"/>
      <c r="BJ11283" s="25"/>
      <c r="BK11283" s="25"/>
    </row>
    <row r="11284" spans="60:63" ht="14.25" x14ac:dyDescent="0.2">
      <c r="BH11284" s="25"/>
      <c r="BI11284" s="25"/>
      <c r="BJ11284" s="25"/>
      <c r="BK11284" s="25"/>
    </row>
    <row r="11285" spans="60:63" ht="14.25" x14ac:dyDescent="0.2">
      <c r="BH11285" s="25"/>
      <c r="BI11285" s="25"/>
      <c r="BJ11285" s="25"/>
      <c r="BK11285" s="25"/>
    </row>
    <row r="11286" spans="60:63" ht="14.25" x14ac:dyDescent="0.2">
      <c r="BH11286" s="25"/>
      <c r="BI11286" s="25"/>
      <c r="BJ11286" s="25"/>
      <c r="BK11286" s="25"/>
    </row>
    <row r="11287" spans="60:63" ht="14.25" x14ac:dyDescent="0.2">
      <c r="BH11287" s="25"/>
      <c r="BI11287" s="25"/>
      <c r="BJ11287" s="25"/>
      <c r="BK11287" s="25"/>
    </row>
    <row r="11288" spans="60:63" ht="14.25" x14ac:dyDescent="0.2">
      <c r="BH11288" s="25"/>
      <c r="BI11288" s="25"/>
      <c r="BJ11288" s="25"/>
      <c r="BK11288" s="25"/>
    </row>
    <row r="11289" spans="60:63" ht="14.25" x14ac:dyDescent="0.2">
      <c r="BH11289" s="25"/>
      <c r="BI11289" s="25"/>
      <c r="BJ11289" s="25"/>
      <c r="BK11289" s="25"/>
    </row>
    <row r="11290" spans="60:63" ht="14.25" x14ac:dyDescent="0.2">
      <c r="BH11290" s="25"/>
      <c r="BI11290" s="25"/>
      <c r="BJ11290" s="25"/>
      <c r="BK11290" s="25"/>
    </row>
    <row r="11291" spans="60:63" ht="14.25" x14ac:dyDescent="0.2">
      <c r="BH11291" s="25"/>
      <c r="BI11291" s="25"/>
      <c r="BJ11291" s="25"/>
      <c r="BK11291" s="25"/>
    </row>
    <row r="11292" spans="60:63" ht="14.25" x14ac:dyDescent="0.2">
      <c r="BH11292" s="25"/>
      <c r="BI11292" s="25"/>
      <c r="BJ11292" s="25"/>
      <c r="BK11292" s="25"/>
    </row>
    <row r="11293" spans="60:63" ht="14.25" x14ac:dyDescent="0.2">
      <c r="BH11293" s="25"/>
      <c r="BI11293" s="25"/>
      <c r="BJ11293" s="25"/>
      <c r="BK11293" s="25"/>
    </row>
    <row r="11294" spans="60:63" ht="14.25" x14ac:dyDescent="0.2">
      <c r="BH11294" s="25"/>
      <c r="BI11294" s="25"/>
      <c r="BJ11294" s="25"/>
      <c r="BK11294" s="25"/>
    </row>
    <row r="11295" spans="60:63" ht="14.25" x14ac:dyDescent="0.2">
      <c r="BH11295" s="25"/>
      <c r="BI11295" s="25"/>
      <c r="BJ11295" s="25"/>
      <c r="BK11295" s="25"/>
    </row>
    <row r="11296" spans="60:63" ht="14.25" x14ac:dyDescent="0.2">
      <c r="BH11296" s="25"/>
      <c r="BI11296" s="25"/>
      <c r="BJ11296" s="25"/>
      <c r="BK11296" s="25"/>
    </row>
    <row r="11297" spans="60:63" ht="14.25" x14ac:dyDescent="0.2">
      <c r="BH11297" s="25"/>
      <c r="BI11297" s="25"/>
      <c r="BJ11297" s="25"/>
      <c r="BK11297" s="25"/>
    </row>
    <row r="11298" spans="60:63" ht="14.25" x14ac:dyDescent="0.2">
      <c r="BH11298" s="25"/>
      <c r="BI11298" s="25"/>
      <c r="BJ11298" s="25"/>
      <c r="BK11298" s="25"/>
    </row>
    <row r="11299" spans="60:63" ht="14.25" x14ac:dyDescent="0.2">
      <c r="BH11299" s="25"/>
      <c r="BI11299" s="25"/>
      <c r="BJ11299" s="25"/>
      <c r="BK11299" s="25"/>
    </row>
    <row r="11300" spans="60:63" ht="14.25" x14ac:dyDescent="0.2">
      <c r="BH11300" s="25"/>
      <c r="BI11300" s="25"/>
      <c r="BJ11300" s="25"/>
      <c r="BK11300" s="25"/>
    </row>
    <row r="11301" spans="60:63" ht="14.25" x14ac:dyDescent="0.2">
      <c r="BH11301" s="25"/>
      <c r="BI11301" s="25"/>
      <c r="BJ11301" s="25"/>
      <c r="BK11301" s="25"/>
    </row>
    <row r="11302" spans="60:63" ht="14.25" x14ac:dyDescent="0.2">
      <c r="BH11302" s="25"/>
      <c r="BI11302" s="25"/>
      <c r="BJ11302" s="25"/>
      <c r="BK11302" s="25"/>
    </row>
    <row r="11303" spans="60:63" ht="14.25" x14ac:dyDescent="0.2">
      <c r="BH11303" s="25"/>
      <c r="BI11303" s="25"/>
      <c r="BJ11303" s="25"/>
      <c r="BK11303" s="25"/>
    </row>
    <row r="11304" spans="60:63" ht="14.25" x14ac:dyDescent="0.2">
      <c r="BH11304" s="25"/>
      <c r="BI11304" s="25"/>
      <c r="BJ11304" s="25"/>
      <c r="BK11304" s="25"/>
    </row>
    <row r="11305" spans="60:63" ht="14.25" x14ac:dyDescent="0.2">
      <c r="BH11305" s="25"/>
      <c r="BI11305" s="25"/>
      <c r="BJ11305" s="25"/>
      <c r="BK11305" s="25"/>
    </row>
    <row r="11306" spans="60:63" ht="14.25" x14ac:dyDescent="0.2">
      <c r="BH11306" s="25"/>
      <c r="BI11306" s="25"/>
      <c r="BJ11306" s="25"/>
      <c r="BK11306" s="25"/>
    </row>
    <row r="11307" spans="60:63" ht="14.25" x14ac:dyDescent="0.2">
      <c r="BH11307" s="25"/>
      <c r="BI11307" s="25"/>
      <c r="BJ11307" s="25"/>
      <c r="BK11307" s="25"/>
    </row>
    <row r="11308" spans="60:63" ht="14.25" x14ac:dyDescent="0.2">
      <c r="BH11308" s="25"/>
      <c r="BI11308" s="25"/>
      <c r="BJ11308" s="25"/>
      <c r="BK11308" s="25"/>
    </row>
    <row r="11309" spans="60:63" ht="14.25" x14ac:dyDescent="0.2">
      <c r="BH11309" s="25"/>
      <c r="BI11309" s="25"/>
      <c r="BJ11309" s="25"/>
      <c r="BK11309" s="25"/>
    </row>
    <row r="11310" spans="60:63" ht="14.25" x14ac:dyDescent="0.2">
      <c r="BH11310" s="25"/>
      <c r="BI11310" s="25"/>
      <c r="BJ11310" s="25"/>
      <c r="BK11310" s="25"/>
    </row>
    <row r="11311" spans="60:63" ht="14.25" x14ac:dyDescent="0.2">
      <c r="BH11311" s="25"/>
      <c r="BI11311" s="25"/>
      <c r="BJ11311" s="25"/>
      <c r="BK11311" s="25"/>
    </row>
    <row r="11312" spans="60:63" ht="14.25" x14ac:dyDescent="0.2">
      <c r="BH11312" s="25"/>
      <c r="BI11312" s="25"/>
      <c r="BJ11312" s="25"/>
      <c r="BK11312" s="25"/>
    </row>
    <row r="11313" spans="60:63" ht="14.25" x14ac:dyDescent="0.2">
      <c r="BH11313" s="25"/>
      <c r="BI11313" s="25"/>
      <c r="BJ11313" s="25"/>
      <c r="BK11313" s="25"/>
    </row>
    <row r="11314" spans="60:63" ht="14.25" x14ac:dyDescent="0.2">
      <c r="BH11314" s="25"/>
      <c r="BI11314" s="25"/>
      <c r="BJ11314" s="25"/>
      <c r="BK11314" s="25"/>
    </row>
    <row r="11315" spans="60:63" ht="14.25" x14ac:dyDescent="0.2">
      <c r="BH11315" s="25"/>
      <c r="BI11315" s="25"/>
      <c r="BJ11315" s="25"/>
      <c r="BK11315" s="25"/>
    </row>
    <row r="11316" spans="60:63" ht="14.25" x14ac:dyDescent="0.2">
      <c r="BH11316" s="25"/>
      <c r="BI11316" s="25"/>
      <c r="BJ11316" s="25"/>
      <c r="BK11316" s="25"/>
    </row>
    <row r="11317" spans="60:63" ht="14.25" x14ac:dyDescent="0.2">
      <c r="BH11317" s="25"/>
      <c r="BI11317" s="25"/>
      <c r="BJ11317" s="25"/>
      <c r="BK11317" s="25"/>
    </row>
    <row r="11318" spans="60:63" ht="14.25" x14ac:dyDescent="0.2">
      <c r="BH11318" s="25"/>
      <c r="BI11318" s="25"/>
      <c r="BJ11318" s="25"/>
      <c r="BK11318" s="25"/>
    </row>
    <row r="11319" spans="60:63" ht="14.25" x14ac:dyDescent="0.2">
      <c r="BH11319" s="25"/>
      <c r="BI11319" s="25"/>
      <c r="BJ11319" s="25"/>
      <c r="BK11319" s="25"/>
    </row>
    <row r="11320" spans="60:63" ht="14.25" x14ac:dyDescent="0.2">
      <c r="BH11320" s="25"/>
      <c r="BI11320" s="25"/>
      <c r="BJ11320" s="25"/>
      <c r="BK11320" s="25"/>
    </row>
    <row r="11321" spans="60:63" ht="14.25" x14ac:dyDescent="0.2">
      <c r="BH11321" s="25"/>
      <c r="BI11321" s="25"/>
      <c r="BJ11321" s="25"/>
      <c r="BK11321" s="25"/>
    </row>
    <row r="11322" spans="60:63" ht="14.25" x14ac:dyDescent="0.2">
      <c r="BH11322" s="25"/>
      <c r="BI11322" s="25"/>
      <c r="BJ11322" s="25"/>
      <c r="BK11322" s="25"/>
    </row>
    <row r="11323" spans="60:63" ht="14.25" x14ac:dyDescent="0.2">
      <c r="BH11323" s="25"/>
      <c r="BI11323" s="25"/>
      <c r="BJ11323" s="25"/>
      <c r="BK11323" s="25"/>
    </row>
    <row r="11324" spans="60:63" ht="14.25" x14ac:dyDescent="0.2">
      <c r="BH11324" s="25"/>
      <c r="BI11324" s="25"/>
      <c r="BJ11324" s="25"/>
      <c r="BK11324" s="25"/>
    </row>
    <row r="11325" spans="60:63" ht="14.25" x14ac:dyDescent="0.2">
      <c r="BH11325" s="25"/>
      <c r="BI11325" s="25"/>
      <c r="BJ11325" s="25"/>
      <c r="BK11325" s="25"/>
    </row>
    <row r="11326" spans="60:63" ht="14.25" x14ac:dyDescent="0.2">
      <c r="BH11326" s="25"/>
      <c r="BI11326" s="25"/>
      <c r="BJ11326" s="25"/>
      <c r="BK11326" s="25"/>
    </row>
    <row r="11327" spans="60:63" ht="14.25" x14ac:dyDescent="0.2">
      <c r="BH11327" s="25"/>
      <c r="BI11327" s="25"/>
      <c r="BJ11327" s="25"/>
      <c r="BK11327" s="25"/>
    </row>
    <row r="11328" spans="60:63" ht="14.25" x14ac:dyDescent="0.2">
      <c r="BH11328" s="25"/>
      <c r="BI11328" s="25"/>
      <c r="BJ11328" s="25"/>
      <c r="BK11328" s="25"/>
    </row>
    <row r="11329" spans="60:63" ht="14.25" x14ac:dyDescent="0.2">
      <c r="BH11329" s="25"/>
      <c r="BI11329" s="25"/>
      <c r="BJ11329" s="25"/>
      <c r="BK11329" s="25"/>
    </row>
    <row r="11330" spans="60:63" ht="14.25" x14ac:dyDescent="0.2">
      <c r="BH11330" s="25"/>
      <c r="BI11330" s="25"/>
      <c r="BJ11330" s="25"/>
      <c r="BK11330" s="25"/>
    </row>
    <row r="11331" spans="60:63" ht="14.25" x14ac:dyDescent="0.2">
      <c r="BH11331" s="25"/>
      <c r="BI11331" s="25"/>
      <c r="BJ11331" s="25"/>
      <c r="BK11331" s="25"/>
    </row>
    <row r="11332" spans="60:63" ht="14.25" x14ac:dyDescent="0.2">
      <c r="BH11332" s="25"/>
      <c r="BI11332" s="25"/>
      <c r="BJ11332" s="25"/>
      <c r="BK11332" s="25"/>
    </row>
    <row r="11333" spans="60:63" ht="14.25" x14ac:dyDescent="0.2">
      <c r="BH11333" s="25"/>
      <c r="BI11333" s="25"/>
      <c r="BJ11333" s="25"/>
      <c r="BK11333" s="25"/>
    </row>
    <row r="11334" spans="60:63" ht="14.25" x14ac:dyDescent="0.2">
      <c r="BH11334" s="25"/>
      <c r="BI11334" s="25"/>
      <c r="BJ11334" s="25"/>
      <c r="BK11334" s="25"/>
    </row>
    <row r="11335" spans="60:63" ht="14.25" x14ac:dyDescent="0.2">
      <c r="BH11335" s="25"/>
      <c r="BI11335" s="25"/>
      <c r="BJ11335" s="25"/>
      <c r="BK11335" s="25"/>
    </row>
    <row r="11336" spans="60:63" ht="14.25" x14ac:dyDescent="0.2">
      <c r="BH11336" s="25"/>
      <c r="BI11336" s="25"/>
      <c r="BJ11336" s="25"/>
      <c r="BK11336" s="25"/>
    </row>
    <row r="11337" spans="60:63" ht="14.25" x14ac:dyDescent="0.2">
      <c r="BH11337" s="25"/>
      <c r="BI11337" s="25"/>
      <c r="BJ11337" s="25"/>
      <c r="BK11337" s="25"/>
    </row>
    <row r="11338" spans="60:63" ht="14.25" x14ac:dyDescent="0.2">
      <c r="BH11338" s="25"/>
      <c r="BI11338" s="25"/>
      <c r="BJ11338" s="25"/>
      <c r="BK11338" s="25"/>
    </row>
    <row r="11339" spans="60:63" ht="14.25" x14ac:dyDescent="0.2">
      <c r="BH11339" s="25"/>
      <c r="BI11339" s="25"/>
      <c r="BJ11339" s="25"/>
      <c r="BK11339" s="25"/>
    </row>
    <row r="11340" spans="60:63" ht="14.25" x14ac:dyDescent="0.2">
      <c r="BH11340" s="25"/>
      <c r="BI11340" s="25"/>
      <c r="BJ11340" s="25"/>
      <c r="BK11340" s="25"/>
    </row>
    <row r="11341" spans="60:63" ht="14.25" x14ac:dyDescent="0.2">
      <c r="BH11341" s="25"/>
      <c r="BI11341" s="25"/>
      <c r="BJ11341" s="25"/>
      <c r="BK11341" s="25"/>
    </row>
    <row r="11342" spans="60:63" ht="14.25" x14ac:dyDescent="0.2">
      <c r="BH11342" s="25"/>
      <c r="BI11342" s="25"/>
      <c r="BJ11342" s="25"/>
      <c r="BK11342" s="25"/>
    </row>
    <row r="11343" spans="60:63" ht="14.25" x14ac:dyDescent="0.2">
      <c r="BH11343" s="25"/>
      <c r="BI11343" s="25"/>
      <c r="BJ11343" s="25"/>
      <c r="BK11343" s="25"/>
    </row>
    <row r="11344" spans="60:63" ht="14.25" x14ac:dyDescent="0.2">
      <c r="BH11344" s="25"/>
      <c r="BI11344" s="25"/>
      <c r="BJ11344" s="25"/>
      <c r="BK11344" s="25"/>
    </row>
    <row r="11345" spans="60:63" ht="14.25" x14ac:dyDescent="0.2">
      <c r="BH11345" s="25"/>
      <c r="BI11345" s="25"/>
      <c r="BJ11345" s="25"/>
      <c r="BK11345" s="25"/>
    </row>
    <row r="11346" spans="60:63" ht="14.25" x14ac:dyDescent="0.2">
      <c r="BH11346" s="25"/>
      <c r="BI11346" s="25"/>
      <c r="BJ11346" s="25"/>
      <c r="BK11346" s="25"/>
    </row>
    <row r="11347" spans="60:63" ht="14.25" x14ac:dyDescent="0.2">
      <c r="BH11347" s="25"/>
      <c r="BI11347" s="25"/>
      <c r="BJ11347" s="25"/>
      <c r="BK11347" s="25"/>
    </row>
    <row r="11348" spans="60:63" ht="14.25" x14ac:dyDescent="0.2">
      <c r="BH11348" s="25"/>
      <c r="BI11348" s="25"/>
      <c r="BJ11348" s="25"/>
      <c r="BK11348" s="25"/>
    </row>
    <row r="11349" spans="60:63" ht="14.25" x14ac:dyDescent="0.2">
      <c r="BH11349" s="25"/>
      <c r="BI11349" s="25"/>
      <c r="BJ11349" s="25"/>
      <c r="BK11349" s="25"/>
    </row>
    <row r="11350" spans="60:63" ht="14.25" x14ac:dyDescent="0.2">
      <c r="BH11350" s="25"/>
      <c r="BI11350" s="25"/>
      <c r="BJ11350" s="25"/>
      <c r="BK11350" s="25"/>
    </row>
    <row r="11351" spans="60:63" ht="14.25" x14ac:dyDescent="0.2">
      <c r="BH11351" s="25"/>
      <c r="BI11351" s="25"/>
      <c r="BJ11351" s="25"/>
      <c r="BK11351" s="25"/>
    </row>
    <row r="11352" spans="60:63" ht="14.25" x14ac:dyDescent="0.2">
      <c r="BH11352" s="25"/>
      <c r="BI11352" s="25"/>
      <c r="BJ11352" s="25"/>
      <c r="BK11352" s="25"/>
    </row>
    <row r="11353" spans="60:63" ht="14.25" x14ac:dyDescent="0.2">
      <c r="BH11353" s="25"/>
      <c r="BI11353" s="25"/>
      <c r="BJ11353" s="25"/>
      <c r="BK11353" s="25"/>
    </row>
    <row r="11354" spans="60:63" ht="14.25" x14ac:dyDescent="0.2">
      <c r="BH11354" s="25"/>
      <c r="BI11354" s="25"/>
      <c r="BJ11354" s="25"/>
      <c r="BK11354" s="25"/>
    </row>
    <row r="11355" spans="60:63" ht="14.25" x14ac:dyDescent="0.2">
      <c r="BH11355" s="25"/>
      <c r="BI11355" s="25"/>
      <c r="BJ11355" s="25"/>
      <c r="BK11355" s="25"/>
    </row>
    <row r="11356" spans="60:63" ht="14.25" x14ac:dyDescent="0.2">
      <c r="BH11356" s="25"/>
      <c r="BI11356" s="25"/>
      <c r="BJ11356" s="25"/>
      <c r="BK11356" s="25"/>
    </row>
    <row r="11357" spans="60:63" ht="14.25" x14ac:dyDescent="0.2">
      <c r="BH11357" s="25"/>
      <c r="BI11357" s="25"/>
      <c r="BJ11357" s="25"/>
      <c r="BK11357" s="25"/>
    </row>
    <row r="11358" spans="60:63" ht="14.25" x14ac:dyDescent="0.2">
      <c r="BH11358" s="25"/>
      <c r="BI11358" s="25"/>
      <c r="BJ11358" s="25"/>
      <c r="BK11358" s="25"/>
    </row>
    <row r="11359" spans="60:63" ht="14.25" x14ac:dyDescent="0.2">
      <c r="BH11359" s="25"/>
      <c r="BI11359" s="25"/>
      <c r="BJ11359" s="25"/>
      <c r="BK11359" s="25"/>
    </row>
    <row r="11360" spans="60:63" ht="14.25" x14ac:dyDescent="0.2">
      <c r="BH11360" s="25"/>
      <c r="BI11360" s="25"/>
      <c r="BJ11360" s="25"/>
      <c r="BK11360" s="25"/>
    </row>
    <row r="11361" spans="60:63" ht="14.25" x14ac:dyDescent="0.2">
      <c r="BH11361" s="25"/>
      <c r="BI11361" s="25"/>
      <c r="BJ11361" s="25"/>
      <c r="BK11361" s="25"/>
    </row>
    <row r="11362" spans="60:63" ht="14.25" x14ac:dyDescent="0.2">
      <c r="BH11362" s="25"/>
      <c r="BI11362" s="25"/>
      <c r="BJ11362" s="25"/>
      <c r="BK11362" s="25"/>
    </row>
    <row r="11363" spans="60:63" ht="14.25" x14ac:dyDescent="0.2">
      <c r="BH11363" s="25"/>
      <c r="BI11363" s="25"/>
      <c r="BJ11363" s="25"/>
      <c r="BK11363" s="25"/>
    </row>
    <row r="11364" spans="60:63" ht="14.25" x14ac:dyDescent="0.2">
      <c r="BH11364" s="25"/>
      <c r="BI11364" s="25"/>
      <c r="BJ11364" s="25"/>
      <c r="BK11364" s="25"/>
    </row>
    <row r="11365" spans="60:63" ht="14.25" x14ac:dyDescent="0.2">
      <c r="BH11365" s="25"/>
      <c r="BI11365" s="25"/>
      <c r="BJ11365" s="25"/>
      <c r="BK11365" s="25"/>
    </row>
    <row r="11366" spans="60:63" ht="14.25" x14ac:dyDescent="0.2">
      <c r="BH11366" s="25"/>
      <c r="BI11366" s="25"/>
      <c r="BJ11366" s="25"/>
      <c r="BK11366" s="25"/>
    </row>
    <row r="11367" spans="60:63" ht="14.25" x14ac:dyDescent="0.2">
      <c r="BH11367" s="25"/>
      <c r="BI11367" s="25"/>
      <c r="BJ11367" s="25"/>
      <c r="BK11367" s="25"/>
    </row>
    <row r="11368" spans="60:63" ht="14.25" x14ac:dyDescent="0.2">
      <c r="BH11368" s="25"/>
      <c r="BI11368" s="25"/>
      <c r="BJ11368" s="25"/>
      <c r="BK11368" s="25"/>
    </row>
    <row r="11369" spans="60:63" ht="14.25" x14ac:dyDescent="0.2">
      <c r="BH11369" s="25"/>
      <c r="BI11369" s="25"/>
      <c r="BJ11369" s="25"/>
      <c r="BK11369" s="25"/>
    </row>
    <row r="11370" spans="60:63" ht="14.25" x14ac:dyDescent="0.2">
      <c r="BH11370" s="25"/>
      <c r="BI11370" s="25"/>
      <c r="BJ11370" s="25"/>
      <c r="BK11370" s="25"/>
    </row>
    <row r="11371" spans="60:63" ht="14.25" x14ac:dyDescent="0.2">
      <c r="BH11371" s="25"/>
      <c r="BI11371" s="25"/>
      <c r="BJ11371" s="25"/>
      <c r="BK11371" s="25"/>
    </row>
    <row r="11372" spans="60:63" ht="14.25" x14ac:dyDescent="0.2">
      <c r="BH11372" s="25"/>
      <c r="BI11372" s="25"/>
      <c r="BJ11372" s="25"/>
      <c r="BK11372" s="25"/>
    </row>
    <row r="11373" spans="60:63" ht="14.25" x14ac:dyDescent="0.2">
      <c r="BH11373" s="25"/>
      <c r="BI11373" s="25"/>
      <c r="BJ11373" s="25"/>
      <c r="BK11373" s="25"/>
    </row>
    <row r="11374" spans="60:63" ht="14.25" x14ac:dyDescent="0.2">
      <c r="BH11374" s="25"/>
      <c r="BI11374" s="25"/>
      <c r="BJ11374" s="25"/>
      <c r="BK11374" s="25"/>
    </row>
    <row r="11375" spans="60:63" ht="14.25" x14ac:dyDescent="0.2">
      <c r="BH11375" s="25"/>
      <c r="BI11375" s="25"/>
      <c r="BJ11375" s="25"/>
      <c r="BK11375" s="25"/>
    </row>
    <row r="11376" spans="60:63" ht="14.25" x14ac:dyDescent="0.2">
      <c r="BH11376" s="25"/>
      <c r="BI11376" s="25"/>
      <c r="BJ11376" s="25"/>
      <c r="BK11376" s="25"/>
    </row>
    <row r="11377" spans="60:63" ht="14.25" x14ac:dyDescent="0.2">
      <c r="BH11377" s="25"/>
      <c r="BI11377" s="25"/>
      <c r="BJ11377" s="25"/>
      <c r="BK11377" s="25"/>
    </row>
    <row r="11378" spans="60:63" ht="14.25" x14ac:dyDescent="0.2">
      <c r="BH11378" s="25"/>
      <c r="BI11378" s="25"/>
      <c r="BJ11378" s="25"/>
      <c r="BK11378" s="25"/>
    </row>
    <row r="11379" spans="60:63" ht="14.25" x14ac:dyDescent="0.2">
      <c r="BH11379" s="25"/>
      <c r="BI11379" s="25"/>
      <c r="BJ11379" s="25"/>
      <c r="BK11379" s="25"/>
    </row>
    <row r="11380" spans="60:63" ht="14.25" x14ac:dyDescent="0.2">
      <c r="BH11380" s="25"/>
      <c r="BI11380" s="25"/>
      <c r="BJ11380" s="25"/>
      <c r="BK11380" s="25"/>
    </row>
    <row r="11381" spans="60:63" ht="14.25" x14ac:dyDescent="0.2">
      <c r="BH11381" s="25"/>
      <c r="BI11381" s="25"/>
      <c r="BJ11381" s="25"/>
      <c r="BK11381" s="25"/>
    </row>
    <row r="11382" spans="60:63" ht="14.25" x14ac:dyDescent="0.2">
      <c r="BH11382" s="25"/>
      <c r="BI11382" s="25"/>
      <c r="BJ11382" s="25"/>
      <c r="BK11382" s="25"/>
    </row>
    <row r="11383" spans="60:63" ht="14.25" x14ac:dyDescent="0.2">
      <c r="BH11383" s="25"/>
      <c r="BI11383" s="25"/>
      <c r="BJ11383" s="25"/>
      <c r="BK11383" s="25"/>
    </row>
    <row r="11384" spans="60:63" ht="14.25" x14ac:dyDescent="0.2">
      <c r="BH11384" s="25"/>
      <c r="BI11384" s="25"/>
      <c r="BJ11384" s="25"/>
      <c r="BK11384" s="25"/>
    </row>
    <row r="11385" spans="60:63" ht="14.25" x14ac:dyDescent="0.2">
      <c r="BH11385" s="25"/>
      <c r="BI11385" s="25"/>
      <c r="BJ11385" s="25"/>
      <c r="BK11385" s="25"/>
    </row>
    <row r="11386" spans="60:63" ht="14.25" x14ac:dyDescent="0.2">
      <c r="BH11386" s="25"/>
      <c r="BI11386" s="25"/>
      <c r="BJ11386" s="25"/>
      <c r="BK11386" s="25"/>
    </row>
    <row r="11387" spans="60:63" ht="14.25" x14ac:dyDescent="0.2">
      <c r="BH11387" s="25"/>
      <c r="BI11387" s="25"/>
      <c r="BJ11387" s="25"/>
      <c r="BK11387" s="25"/>
    </row>
    <row r="11388" spans="60:63" ht="14.25" x14ac:dyDescent="0.2">
      <c r="BH11388" s="25"/>
      <c r="BI11388" s="25"/>
      <c r="BJ11388" s="25"/>
      <c r="BK11388" s="25"/>
    </row>
    <row r="11389" spans="60:63" ht="14.25" x14ac:dyDescent="0.2">
      <c r="BH11389" s="25"/>
      <c r="BI11389" s="25"/>
      <c r="BJ11389" s="25"/>
      <c r="BK11389" s="25"/>
    </row>
    <row r="11390" spans="60:63" ht="14.25" x14ac:dyDescent="0.2">
      <c r="BH11390" s="25"/>
      <c r="BI11390" s="25"/>
      <c r="BJ11390" s="25"/>
      <c r="BK11390" s="25"/>
    </row>
    <row r="11391" spans="60:63" ht="14.25" x14ac:dyDescent="0.2">
      <c r="BH11391" s="25"/>
      <c r="BI11391" s="25"/>
      <c r="BJ11391" s="25"/>
      <c r="BK11391" s="25"/>
    </row>
    <row r="11392" spans="60:63" ht="14.25" x14ac:dyDescent="0.2">
      <c r="BH11392" s="25"/>
      <c r="BI11392" s="25"/>
      <c r="BJ11392" s="25"/>
      <c r="BK11392" s="25"/>
    </row>
    <row r="11393" spans="60:63" ht="14.25" x14ac:dyDescent="0.2">
      <c r="BH11393" s="25"/>
      <c r="BI11393" s="25"/>
      <c r="BJ11393" s="25"/>
      <c r="BK11393" s="25"/>
    </row>
    <row r="11394" spans="60:63" ht="14.25" x14ac:dyDescent="0.2">
      <c r="BH11394" s="25"/>
      <c r="BI11394" s="25"/>
      <c r="BJ11394" s="25"/>
      <c r="BK11394" s="25"/>
    </row>
    <row r="11395" spans="60:63" ht="14.25" x14ac:dyDescent="0.2">
      <c r="BH11395" s="25"/>
      <c r="BI11395" s="25"/>
      <c r="BJ11395" s="25"/>
      <c r="BK11395" s="25"/>
    </row>
    <row r="11396" spans="60:63" ht="14.25" x14ac:dyDescent="0.2">
      <c r="BH11396" s="25"/>
      <c r="BI11396" s="25"/>
      <c r="BJ11396" s="25"/>
      <c r="BK11396" s="25"/>
    </row>
    <row r="11397" spans="60:63" ht="14.25" x14ac:dyDescent="0.2">
      <c r="BH11397" s="25"/>
      <c r="BI11397" s="25"/>
      <c r="BJ11397" s="25"/>
      <c r="BK11397" s="25"/>
    </row>
    <row r="11398" spans="60:63" ht="14.25" x14ac:dyDescent="0.2">
      <c r="BH11398" s="25"/>
      <c r="BI11398" s="25"/>
      <c r="BJ11398" s="25"/>
      <c r="BK11398" s="25"/>
    </row>
    <row r="11399" spans="60:63" ht="14.25" x14ac:dyDescent="0.2">
      <c r="BH11399" s="25"/>
      <c r="BI11399" s="25"/>
      <c r="BJ11399" s="25"/>
      <c r="BK11399" s="25"/>
    </row>
    <row r="11400" spans="60:63" ht="14.25" x14ac:dyDescent="0.2">
      <c r="BH11400" s="25"/>
      <c r="BI11400" s="25"/>
      <c r="BJ11400" s="25"/>
      <c r="BK11400" s="25"/>
    </row>
    <row r="11401" spans="60:63" ht="14.25" x14ac:dyDescent="0.2">
      <c r="BH11401" s="25"/>
      <c r="BI11401" s="25"/>
      <c r="BJ11401" s="25"/>
      <c r="BK11401" s="25"/>
    </row>
    <row r="11402" spans="60:63" ht="14.25" x14ac:dyDescent="0.2">
      <c r="BH11402" s="25"/>
      <c r="BI11402" s="25"/>
      <c r="BJ11402" s="25"/>
      <c r="BK11402" s="25"/>
    </row>
    <row r="11403" spans="60:63" ht="14.25" x14ac:dyDescent="0.2">
      <c r="BH11403" s="25"/>
      <c r="BI11403" s="25"/>
      <c r="BJ11403" s="25"/>
      <c r="BK11403" s="25"/>
    </row>
    <row r="11404" spans="60:63" ht="14.25" x14ac:dyDescent="0.2">
      <c r="BH11404" s="25"/>
      <c r="BI11404" s="25"/>
      <c r="BJ11404" s="25"/>
      <c r="BK11404" s="25"/>
    </row>
    <row r="11405" spans="60:63" ht="14.25" x14ac:dyDescent="0.2">
      <c r="BH11405" s="25"/>
      <c r="BI11405" s="25"/>
      <c r="BJ11405" s="25"/>
      <c r="BK11405" s="25"/>
    </row>
    <row r="11406" spans="60:63" ht="14.25" x14ac:dyDescent="0.2">
      <c r="BH11406" s="25"/>
      <c r="BI11406" s="25"/>
      <c r="BJ11406" s="25"/>
      <c r="BK11406" s="25"/>
    </row>
    <row r="11407" spans="60:63" ht="14.25" x14ac:dyDescent="0.2">
      <c r="BH11407" s="25"/>
      <c r="BI11407" s="25"/>
      <c r="BJ11407" s="25"/>
      <c r="BK11407" s="25"/>
    </row>
    <row r="11408" spans="60:63" ht="14.25" x14ac:dyDescent="0.2">
      <c r="BH11408" s="25"/>
      <c r="BI11408" s="25"/>
      <c r="BJ11408" s="25"/>
      <c r="BK11408" s="25"/>
    </row>
    <row r="11409" spans="60:63" ht="14.25" x14ac:dyDescent="0.2">
      <c r="BH11409" s="25"/>
      <c r="BI11409" s="25"/>
      <c r="BJ11409" s="25"/>
      <c r="BK11409" s="25"/>
    </row>
    <row r="11410" spans="60:63" ht="14.25" x14ac:dyDescent="0.2">
      <c r="BH11410" s="25"/>
      <c r="BI11410" s="25"/>
      <c r="BJ11410" s="25"/>
      <c r="BK11410" s="25"/>
    </row>
    <row r="11411" spans="60:63" ht="14.25" x14ac:dyDescent="0.2">
      <c r="BH11411" s="25"/>
      <c r="BI11411" s="25"/>
      <c r="BJ11411" s="25"/>
      <c r="BK11411" s="25"/>
    </row>
    <row r="11412" spans="60:63" ht="14.25" x14ac:dyDescent="0.2">
      <c r="BH11412" s="25"/>
      <c r="BI11412" s="25"/>
      <c r="BJ11412" s="25"/>
      <c r="BK11412" s="25"/>
    </row>
    <row r="11413" spans="60:63" ht="14.25" x14ac:dyDescent="0.2">
      <c r="BH11413" s="25"/>
      <c r="BI11413" s="25"/>
      <c r="BJ11413" s="25"/>
      <c r="BK11413" s="25"/>
    </row>
    <row r="11414" spans="60:63" ht="14.25" x14ac:dyDescent="0.2">
      <c r="BH11414" s="25"/>
      <c r="BI11414" s="25"/>
      <c r="BJ11414" s="25"/>
      <c r="BK11414" s="25"/>
    </row>
    <row r="11415" spans="60:63" ht="14.25" x14ac:dyDescent="0.2">
      <c r="BH11415" s="25"/>
      <c r="BI11415" s="25"/>
      <c r="BJ11415" s="25"/>
      <c r="BK11415" s="25"/>
    </row>
    <row r="11416" spans="60:63" ht="14.25" x14ac:dyDescent="0.2">
      <c r="BH11416" s="25"/>
      <c r="BI11416" s="25"/>
      <c r="BJ11416" s="25"/>
      <c r="BK11416" s="25"/>
    </row>
    <row r="11417" spans="60:63" ht="14.25" x14ac:dyDescent="0.2">
      <c r="BH11417" s="25"/>
      <c r="BI11417" s="25"/>
      <c r="BJ11417" s="25"/>
      <c r="BK11417" s="25"/>
    </row>
    <row r="11418" spans="60:63" ht="14.25" x14ac:dyDescent="0.2">
      <c r="BH11418" s="25"/>
      <c r="BI11418" s="25"/>
      <c r="BJ11418" s="25"/>
      <c r="BK11418" s="25"/>
    </row>
    <row r="11419" spans="60:63" ht="14.25" x14ac:dyDescent="0.2">
      <c r="BH11419" s="25"/>
      <c r="BI11419" s="25"/>
      <c r="BJ11419" s="25"/>
      <c r="BK11419" s="25"/>
    </row>
    <row r="11420" spans="60:63" ht="14.25" x14ac:dyDescent="0.2">
      <c r="BH11420" s="25"/>
      <c r="BI11420" s="25"/>
      <c r="BJ11420" s="25"/>
      <c r="BK11420" s="25"/>
    </row>
    <row r="11421" spans="60:63" ht="14.25" x14ac:dyDescent="0.2">
      <c r="BH11421" s="25"/>
      <c r="BI11421" s="25"/>
      <c r="BJ11421" s="25"/>
      <c r="BK11421" s="25"/>
    </row>
    <row r="11422" spans="60:63" ht="14.25" x14ac:dyDescent="0.2">
      <c r="BH11422" s="25"/>
      <c r="BI11422" s="25"/>
      <c r="BJ11422" s="25"/>
      <c r="BK11422" s="25"/>
    </row>
    <row r="11423" spans="60:63" ht="14.25" x14ac:dyDescent="0.2">
      <c r="BH11423" s="25"/>
      <c r="BI11423" s="25"/>
      <c r="BJ11423" s="25"/>
      <c r="BK11423" s="25"/>
    </row>
    <row r="11424" spans="60:63" ht="14.25" x14ac:dyDescent="0.2">
      <c r="BH11424" s="25"/>
      <c r="BI11424" s="25"/>
      <c r="BJ11424" s="25"/>
      <c r="BK11424" s="25"/>
    </row>
    <row r="11425" spans="60:63" ht="14.25" x14ac:dyDescent="0.2">
      <c r="BH11425" s="25"/>
      <c r="BI11425" s="25"/>
      <c r="BJ11425" s="25"/>
      <c r="BK11425" s="25"/>
    </row>
    <row r="11426" spans="60:63" ht="14.25" x14ac:dyDescent="0.2">
      <c r="BH11426" s="25"/>
      <c r="BI11426" s="25"/>
      <c r="BJ11426" s="25"/>
      <c r="BK11426" s="25"/>
    </row>
    <row r="11427" spans="60:63" ht="14.25" x14ac:dyDescent="0.2">
      <c r="BH11427" s="25"/>
      <c r="BI11427" s="25"/>
      <c r="BJ11427" s="25"/>
      <c r="BK11427" s="25"/>
    </row>
    <row r="11428" spans="60:63" ht="14.25" x14ac:dyDescent="0.2">
      <c r="BH11428" s="25"/>
      <c r="BI11428" s="25"/>
      <c r="BJ11428" s="25"/>
      <c r="BK11428" s="25"/>
    </row>
    <row r="11429" spans="60:63" ht="14.25" x14ac:dyDescent="0.2">
      <c r="BH11429" s="25"/>
      <c r="BI11429" s="25"/>
      <c r="BJ11429" s="25"/>
      <c r="BK11429" s="25"/>
    </row>
    <row r="11430" spans="60:63" ht="14.25" x14ac:dyDescent="0.2">
      <c r="BH11430" s="25"/>
      <c r="BI11430" s="25"/>
      <c r="BJ11430" s="25"/>
      <c r="BK11430" s="25"/>
    </row>
    <row r="11431" spans="60:63" ht="14.25" x14ac:dyDescent="0.2">
      <c r="BH11431" s="25"/>
      <c r="BI11431" s="25"/>
      <c r="BJ11431" s="25"/>
      <c r="BK11431" s="25"/>
    </row>
    <row r="11432" spans="60:63" ht="14.25" x14ac:dyDescent="0.2">
      <c r="BH11432" s="25"/>
      <c r="BI11432" s="25"/>
      <c r="BJ11432" s="25"/>
      <c r="BK11432" s="25"/>
    </row>
    <row r="11433" spans="60:63" ht="14.25" x14ac:dyDescent="0.2">
      <c r="BH11433" s="25"/>
      <c r="BI11433" s="25"/>
      <c r="BJ11433" s="25"/>
      <c r="BK11433" s="25"/>
    </row>
    <row r="11434" spans="60:63" ht="14.25" x14ac:dyDescent="0.2">
      <c r="BH11434" s="25"/>
      <c r="BI11434" s="25"/>
      <c r="BJ11434" s="25"/>
      <c r="BK11434" s="25"/>
    </row>
    <row r="11435" spans="60:63" ht="14.25" x14ac:dyDescent="0.2">
      <c r="BH11435" s="25"/>
      <c r="BI11435" s="25"/>
      <c r="BJ11435" s="25"/>
      <c r="BK11435" s="25"/>
    </row>
    <row r="11436" spans="60:63" ht="14.25" x14ac:dyDescent="0.2">
      <c r="BH11436" s="25"/>
      <c r="BI11436" s="25"/>
      <c r="BJ11436" s="25"/>
      <c r="BK11436" s="25"/>
    </row>
    <row r="11437" spans="60:63" ht="14.25" x14ac:dyDescent="0.2">
      <c r="BH11437" s="25"/>
      <c r="BI11437" s="25"/>
      <c r="BJ11437" s="25"/>
      <c r="BK11437" s="25"/>
    </row>
    <row r="11438" spans="60:63" ht="14.25" x14ac:dyDescent="0.2">
      <c r="BH11438" s="25"/>
      <c r="BI11438" s="25"/>
      <c r="BJ11438" s="25"/>
      <c r="BK11438" s="25"/>
    </row>
    <row r="11439" spans="60:63" ht="14.25" x14ac:dyDescent="0.2">
      <c r="BH11439" s="25"/>
      <c r="BI11439" s="25"/>
      <c r="BJ11439" s="25"/>
      <c r="BK11439" s="25"/>
    </row>
    <row r="11440" spans="60:63" ht="14.25" x14ac:dyDescent="0.2">
      <c r="BH11440" s="25"/>
      <c r="BI11440" s="25"/>
      <c r="BJ11440" s="25"/>
      <c r="BK11440" s="25"/>
    </row>
    <row r="11441" spans="60:63" ht="14.25" x14ac:dyDescent="0.2">
      <c r="BH11441" s="25"/>
      <c r="BI11441" s="25"/>
      <c r="BJ11441" s="25"/>
      <c r="BK11441" s="25"/>
    </row>
    <row r="11442" spans="60:63" ht="14.25" x14ac:dyDescent="0.2">
      <c r="BH11442" s="25"/>
      <c r="BI11442" s="25"/>
      <c r="BJ11442" s="25"/>
      <c r="BK11442" s="25"/>
    </row>
    <row r="11443" spans="60:63" ht="14.25" x14ac:dyDescent="0.2">
      <c r="BH11443" s="25"/>
      <c r="BI11443" s="25"/>
      <c r="BJ11443" s="25"/>
      <c r="BK11443" s="25"/>
    </row>
    <row r="11444" spans="60:63" ht="14.25" x14ac:dyDescent="0.2">
      <c r="BH11444" s="25"/>
      <c r="BI11444" s="25"/>
      <c r="BJ11444" s="25"/>
      <c r="BK11444" s="25"/>
    </row>
    <row r="11445" spans="60:63" ht="14.25" x14ac:dyDescent="0.2">
      <c r="BH11445" s="25"/>
      <c r="BI11445" s="25"/>
      <c r="BJ11445" s="25"/>
      <c r="BK11445" s="25"/>
    </row>
    <row r="11446" spans="60:63" ht="14.25" x14ac:dyDescent="0.2">
      <c r="BH11446" s="25"/>
      <c r="BI11446" s="25"/>
      <c r="BJ11446" s="25"/>
      <c r="BK11446" s="25"/>
    </row>
    <row r="11447" spans="60:63" ht="14.25" x14ac:dyDescent="0.2">
      <c r="BH11447" s="25"/>
      <c r="BI11447" s="25"/>
      <c r="BJ11447" s="25"/>
      <c r="BK11447" s="25"/>
    </row>
    <row r="11448" spans="60:63" ht="14.25" x14ac:dyDescent="0.2">
      <c r="BH11448" s="25"/>
      <c r="BI11448" s="25"/>
      <c r="BJ11448" s="25"/>
      <c r="BK11448" s="25"/>
    </row>
    <row r="11449" spans="60:63" ht="14.25" x14ac:dyDescent="0.2">
      <c r="BH11449" s="25"/>
      <c r="BI11449" s="25"/>
      <c r="BJ11449" s="25"/>
      <c r="BK11449" s="25"/>
    </row>
    <row r="11450" spans="60:63" ht="14.25" x14ac:dyDescent="0.2">
      <c r="BH11450" s="25"/>
      <c r="BI11450" s="25"/>
      <c r="BJ11450" s="25"/>
      <c r="BK11450" s="25"/>
    </row>
    <row r="11451" spans="60:63" ht="14.25" x14ac:dyDescent="0.2">
      <c r="BH11451" s="25"/>
      <c r="BI11451" s="25"/>
      <c r="BJ11451" s="25"/>
      <c r="BK11451" s="25"/>
    </row>
    <row r="11452" spans="60:63" ht="14.25" x14ac:dyDescent="0.2">
      <c r="BH11452" s="25"/>
      <c r="BI11452" s="25"/>
      <c r="BJ11452" s="25"/>
      <c r="BK11452" s="25"/>
    </row>
    <row r="11453" spans="60:63" ht="14.25" x14ac:dyDescent="0.2">
      <c r="BH11453" s="25"/>
      <c r="BI11453" s="25"/>
      <c r="BJ11453" s="25"/>
      <c r="BK11453" s="25"/>
    </row>
    <row r="11454" spans="60:63" ht="14.25" x14ac:dyDescent="0.2">
      <c r="BH11454" s="25"/>
      <c r="BI11454" s="25"/>
      <c r="BJ11454" s="25"/>
      <c r="BK11454" s="25"/>
    </row>
    <row r="11455" spans="60:63" ht="14.25" x14ac:dyDescent="0.2">
      <c r="BH11455" s="25"/>
      <c r="BI11455" s="25"/>
      <c r="BJ11455" s="25"/>
      <c r="BK11455" s="25"/>
    </row>
    <row r="11456" spans="60:63" ht="14.25" x14ac:dyDescent="0.2">
      <c r="BH11456" s="25"/>
      <c r="BI11456" s="25"/>
      <c r="BJ11456" s="25"/>
      <c r="BK11456" s="25"/>
    </row>
    <row r="11457" spans="60:63" ht="14.25" x14ac:dyDescent="0.2">
      <c r="BH11457" s="25"/>
      <c r="BI11457" s="25"/>
      <c r="BJ11457" s="25"/>
      <c r="BK11457" s="25"/>
    </row>
    <row r="11458" spans="60:63" ht="14.25" x14ac:dyDescent="0.2">
      <c r="BH11458" s="25"/>
      <c r="BI11458" s="25"/>
      <c r="BJ11458" s="25"/>
      <c r="BK11458" s="25"/>
    </row>
    <row r="11459" spans="60:63" ht="14.25" x14ac:dyDescent="0.2">
      <c r="BH11459" s="25"/>
      <c r="BI11459" s="25"/>
      <c r="BJ11459" s="25"/>
      <c r="BK11459" s="25"/>
    </row>
    <row r="11460" spans="60:63" ht="14.25" x14ac:dyDescent="0.2">
      <c r="BH11460" s="25"/>
      <c r="BI11460" s="25"/>
      <c r="BJ11460" s="25"/>
      <c r="BK11460" s="25"/>
    </row>
    <row r="11461" spans="60:63" ht="14.25" x14ac:dyDescent="0.2">
      <c r="BH11461" s="25"/>
      <c r="BI11461" s="25"/>
      <c r="BJ11461" s="25"/>
      <c r="BK11461" s="25"/>
    </row>
    <row r="11462" spans="60:63" ht="14.25" x14ac:dyDescent="0.2">
      <c r="BH11462" s="25"/>
      <c r="BI11462" s="25"/>
      <c r="BJ11462" s="25"/>
      <c r="BK11462" s="25"/>
    </row>
    <row r="11463" spans="60:63" ht="14.25" x14ac:dyDescent="0.2">
      <c r="BH11463" s="25"/>
      <c r="BI11463" s="25"/>
      <c r="BJ11463" s="25"/>
      <c r="BK11463" s="25"/>
    </row>
    <row r="11464" spans="60:63" ht="14.25" x14ac:dyDescent="0.2">
      <c r="BH11464" s="25"/>
      <c r="BI11464" s="25"/>
      <c r="BJ11464" s="25"/>
      <c r="BK11464" s="25"/>
    </row>
    <row r="11465" spans="60:63" ht="14.25" x14ac:dyDescent="0.2">
      <c r="BH11465" s="25"/>
      <c r="BI11465" s="25"/>
      <c r="BJ11465" s="25"/>
      <c r="BK11465" s="25"/>
    </row>
    <row r="11466" spans="60:63" ht="14.25" x14ac:dyDescent="0.2">
      <c r="BH11466" s="25"/>
      <c r="BI11466" s="25"/>
      <c r="BJ11466" s="25"/>
      <c r="BK11466" s="25"/>
    </row>
    <row r="11467" spans="60:63" ht="14.25" x14ac:dyDescent="0.2">
      <c r="BH11467" s="25"/>
      <c r="BI11467" s="25"/>
      <c r="BJ11467" s="25"/>
      <c r="BK11467" s="25"/>
    </row>
    <row r="11468" spans="60:63" ht="14.25" x14ac:dyDescent="0.2">
      <c r="BH11468" s="25"/>
      <c r="BI11468" s="25"/>
      <c r="BJ11468" s="25"/>
      <c r="BK11468" s="25"/>
    </row>
    <row r="11469" spans="60:63" ht="14.25" x14ac:dyDescent="0.2">
      <c r="BH11469" s="25"/>
      <c r="BI11469" s="25"/>
      <c r="BJ11469" s="25"/>
      <c r="BK11469" s="25"/>
    </row>
    <row r="11470" spans="60:63" ht="14.25" x14ac:dyDescent="0.2">
      <c r="BH11470" s="25"/>
      <c r="BI11470" s="25"/>
      <c r="BJ11470" s="25"/>
      <c r="BK11470" s="25"/>
    </row>
    <row r="11471" spans="60:63" ht="14.25" x14ac:dyDescent="0.2">
      <c r="BH11471" s="25"/>
      <c r="BI11471" s="25"/>
      <c r="BJ11471" s="25"/>
      <c r="BK11471" s="25"/>
    </row>
    <row r="11472" spans="60:63" ht="14.25" x14ac:dyDescent="0.2">
      <c r="BH11472" s="25"/>
      <c r="BI11472" s="25"/>
      <c r="BJ11472" s="25"/>
      <c r="BK11472" s="25"/>
    </row>
    <row r="11473" spans="60:63" ht="14.25" x14ac:dyDescent="0.2">
      <c r="BH11473" s="25"/>
      <c r="BI11473" s="25"/>
      <c r="BJ11473" s="25"/>
      <c r="BK11473" s="25"/>
    </row>
    <row r="11474" spans="60:63" ht="14.25" x14ac:dyDescent="0.2">
      <c r="BH11474" s="25"/>
      <c r="BI11474" s="25"/>
      <c r="BJ11474" s="25"/>
      <c r="BK11474" s="25"/>
    </row>
    <row r="11475" spans="60:63" ht="14.25" x14ac:dyDescent="0.2">
      <c r="BH11475" s="25"/>
      <c r="BI11475" s="25"/>
      <c r="BJ11475" s="25"/>
      <c r="BK11475" s="25"/>
    </row>
    <row r="11476" spans="60:63" ht="14.25" x14ac:dyDescent="0.2">
      <c r="BH11476" s="25"/>
      <c r="BI11476" s="25"/>
      <c r="BJ11476" s="25"/>
      <c r="BK11476" s="25"/>
    </row>
    <row r="11477" spans="60:63" ht="14.25" x14ac:dyDescent="0.2">
      <c r="BH11477" s="25"/>
      <c r="BI11477" s="25"/>
      <c r="BJ11477" s="25"/>
      <c r="BK11477" s="25"/>
    </row>
    <row r="11478" spans="60:63" ht="14.25" x14ac:dyDescent="0.2">
      <c r="BH11478" s="25"/>
      <c r="BI11478" s="25"/>
      <c r="BJ11478" s="25"/>
      <c r="BK11478" s="25"/>
    </row>
    <row r="11479" spans="60:63" ht="14.25" x14ac:dyDescent="0.2">
      <c r="BH11479" s="25"/>
      <c r="BI11479" s="25"/>
      <c r="BJ11479" s="25"/>
      <c r="BK11479" s="25"/>
    </row>
    <row r="11480" spans="60:63" ht="14.25" x14ac:dyDescent="0.2">
      <c r="BH11480" s="25"/>
      <c r="BI11480" s="25"/>
      <c r="BJ11480" s="25"/>
      <c r="BK11480" s="25"/>
    </row>
    <row r="11481" spans="60:63" ht="14.25" x14ac:dyDescent="0.2">
      <c r="BH11481" s="25"/>
      <c r="BI11481" s="25"/>
      <c r="BJ11481" s="25"/>
      <c r="BK11481" s="25"/>
    </row>
    <row r="11482" spans="60:63" ht="14.25" x14ac:dyDescent="0.2">
      <c r="BH11482" s="25"/>
      <c r="BI11482" s="25"/>
      <c r="BJ11482" s="25"/>
      <c r="BK11482" s="25"/>
    </row>
    <row r="11483" spans="60:63" ht="14.25" x14ac:dyDescent="0.2">
      <c r="BH11483" s="25"/>
      <c r="BI11483" s="25"/>
      <c r="BJ11483" s="25"/>
      <c r="BK11483" s="25"/>
    </row>
    <row r="11484" spans="60:63" ht="14.25" x14ac:dyDescent="0.2">
      <c r="BH11484" s="25"/>
      <c r="BI11484" s="25"/>
      <c r="BJ11484" s="25"/>
      <c r="BK11484" s="25"/>
    </row>
    <row r="11485" spans="60:63" ht="14.25" x14ac:dyDescent="0.2">
      <c r="BH11485" s="25"/>
      <c r="BI11485" s="25"/>
      <c r="BJ11485" s="25"/>
      <c r="BK11485" s="25"/>
    </row>
    <row r="11486" spans="60:63" ht="14.25" x14ac:dyDescent="0.2">
      <c r="BH11486" s="25"/>
      <c r="BI11486" s="25"/>
      <c r="BJ11486" s="25"/>
      <c r="BK11486" s="25"/>
    </row>
    <row r="11487" spans="60:63" ht="14.25" x14ac:dyDescent="0.2">
      <c r="BH11487" s="25"/>
      <c r="BI11487" s="25"/>
      <c r="BJ11487" s="25"/>
      <c r="BK11487" s="25"/>
    </row>
    <row r="11488" spans="60:63" ht="14.25" x14ac:dyDescent="0.2">
      <c r="BH11488" s="25"/>
      <c r="BI11488" s="25"/>
      <c r="BJ11488" s="25"/>
      <c r="BK11488" s="25"/>
    </row>
    <row r="11489" spans="60:63" ht="14.25" x14ac:dyDescent="0.2">
      <c r="BH11489" s="25"/>
      <c r="BI11489" s="25"/>
      <c r="BJ11489" s="25"/>
      <c r="BK11489" s="25"/>
    </row>
    <row r="11490" spans="60:63" ht="14.25" x14ac:dyDescent="0.2">
      <c r="BH11490" s="25"/>
      <c r="BI11490" s="25"/>
      <c r="BJ11490" s="25"/>
      <c r="BK11490" s="25"/>
    </row>
    <row r="11491" spans="60:63" ht="14.25" x14ac:dyDescent="0.2">
      <c r="BH11491" s="25"/>
      <c r="BI11491" s="25"/>
      <c r="BJ11491" s="25"/>
      <c r="BK11491" s="25"/>
    </row>
    <row r="11492" spans="60:63" ht="14.25" x14ac:dyDescent="0.2">
      <c r="BH11492" s="25"/>
      <c r="BI11492" s="25"/>
      <c r="BJ11492" s="25"/>
      <c r="BK11492" s="25"/>
    </row>
    <row r="11493" spans="60:63" ht="14.25" x14ac:dyDescent="0.2">
      <c r="BH11493" s="25"/>
      <c r="BI11493" s="25"/>
      <c r="BJ11493" s="25"/>
      <c r="BK11493" s="25"/>
    </row>
    <row r="11494" spans="60:63" ht="14.25" x14ac:dyDescent="0.2">
      <c r="BH11494" s="25"/>
      <c r="BI11494" s="25"/>
      <c r="BJ11494" s="25"/>
      <c r="BK11494" s="25"/>
    </row>
    <row r="11495" spans="60:63" ht="14.25" x14ac:dyDescent="0.2">
      <c r="BH11495" s="25"/>
      <c r="BI11495" s="25"/>
      <c r="BJ11495" s="25"/>
      <c r="BK11495" s="25"/>
    </row>
    <row r="11496" spans="60:63" ht="14.25" x14ac:dyDescent="0.2">
      <c r="BH11496" s="25"/>
      <c r="BI11496" s="25"/>
      <c r="BJ11496" s="25"/>
      <c r="BK11496" s="25"/>
    </row>
    <row r="11497" spans="60:63" ht="14.25" x14ac:dyDescent="0.2">
      <c r="BH11497" s="25"/>
      <c r="BI11497" s="25"/>
      <c r="BJ11497" s="25"/>
      <c r="BK11497" s="25"/>
    </row>
    <row r="11498" spans="60:63" ht="14.25" x14ac:dyDescent="0.2">
      <c r="BH11498" s="25"/>
      <c r="BI11498" s="25"/>
      <c r="BJ11498" s="25"/>
      <c r="BK11498" s="25"/>
    </row>
    <row r="11499" spans="60:63" ht="14.25" x14ac:dyDescent="0.2">
      <c r="BH11499" s="25"/>
      <c r="BI11499" s="25"/>
      <c r="BJ11499" s="25"/>
      <c r="BK11499" s="25"/>
    </row>
    <row r="11500" spans="60:63" ht="14.25" x14ac:dyDescent="0.2">
      <c r="BH11500" s="25"/>
      <c r="BI11500" s="25"/>
      <c r="BJ11500" s="25"/>
      <c r="BK11500" s="25"/>
    </row>
    <row r="11501" spans="60:63" ht="14.25" x14ac:dyDescent="0.2">
      <c r="BH11501" s="25"/>
      <c r="BI11501" s="25"/>
      <c r="BJ11501" s="25"/>
      <c r="BK11501" s="25"/>
    </row>
    <row r="11502" spans="60:63" ht="14.25" x14ac:dyDescent="0.2">
      <c r="BH11502" s="25"/>
      <c r="BI11502" s="25"/>
      <c r="BJ11502" s="25"/>
      <c r="BK11502" s="25"/>
    </row>
    <row r="11503" spans="60:63" ht="14.25" x14ac:dyDescent="0.2">
      <c r="BH11503" s="25"/>
      <c r="BI11503" s="25"/>
      <c r="BJ11503" s="25"/>
      <c r="BK11503" s="25"/>
    </row>
    <row r="11504" spans="60:63" ht="14.25" x14ac:dyDescent="0.2">
      <c r="BH11504" s="25"/>
      <c r="BI11504" s="25"/>
      <c r="BJ11504" s="25"/>
      <c r="BK11504" s="25"/>
    </row>
    <row r="11505" spans="60:63" ht="14.25" x14ac:dyDescent="0.2">
      <c r="BH11505" s="25"/>
      <c r="BI11505" s="25"/>
      <c r="BJ11505" s="25"/>
      <c r="BK11505" s="25"/>
    </row>
    <row r="11506" spans="60:63" ht="14.25" x14ac:dyDescent="0.2">
      <c r="BH11506" s="25"/>
      <c r="BI11506" s="25"/>
      <c r="BJ11506" s="25"/>
      <c r="BK11506" s="25"/>
    </row>
    <row r="11507" spans="60:63" ht="14.25" x14ac:dyDescent="0.2">
      <c r="BH11507" s="25"/>
      <c r="BI11507" s="25"/>
      <c r="BJ11507" s="25"/>
      <c r="BK11507" s="25"/>
    </row>
    <row r="11508" spans="60:63" ht="14.25" x14ac:dyDescent="0.2">
      <c r="BH11508" s="25"/>
      <c r="BI11508" s="25"/>
      <c r="BJ11508" s="25"/>
      <c r="BK11508" s="25"/>
    </row>
    <row r="11509" spans="60:63" ht="14.25" x14ac:dyDescent="0.2">
      <c r="BH11509" s="25"/>
      <c r="BI11509" s="25"/>
      <c r="BJ11509" s="25"/>
      <c r="BK11509" s="25"/>
    </row>
    <row r="11510" spans="60:63" ht="14.25" x14ac:dyDescent="0.2">
      <c r="BH11510" s="25"/>
      <c r="BI11510" s="25"/>
      <c r="BJ11510" s="25"/>
      <c r="BK11510" s="25"/>
    </row>
    <row r="11511" spans="60:63" ht="14.25" x14ac:dyDescent="0.2">
      <c r="BH11511" s="25"/>
      <c r="BI11511" s="25"/>
      <c r="BJ11511" s="25"/>
      <c r="BK11511" s="25"/>
    </row>
    <row r="11512" spans="60:63" ht="14.25" x14ac:dyDescent="0.2">
      <c r="BH11512" s="25"/>
      <c r="BI11512" s="25"/>
      <c r="BJ11512" s="25"/>
      <c r="BK11512" s="25"/>
    </row>
    <row r="11513" spans="60:63" ht="14.25" x14ac:dyDescent="0.2">
      <c r="BH11513" s="25"/>
      <c r="BI11513" s="25"/>
      <c r="BJ11513" s="25"/>
      <c r="BK11513" s="25"/>
    </row>
    <row r="11514" spans="60:63" ht="14.25" x14ac:dyDescent="0.2">
      <c r="BH11514" s="25"/>
      <c r="BI11514" s="25"/>
      <c r="BJ11514" s="25"/>
      <c r="BK11514" s="25"/>
    </row>
    <row r="11515" spans="60:63" ht="14.25" x14ac:dyDescent="0.2">
      <c r="BH11515" s="25"/>
      <c r="BI11515" s="25"/>
      <c r="BJ11515" s="25"/>
      <c r="BK11515" s="25"/>
    </row>
    <row r="11516" spans="60:63" ht="14.25" x14ac:dyDescent="0.2">
      <c r="BH11516" s="25"/>
      <c r="BI11516" s="25"/>
      <c r="BJ11516" s="25"/>
      <c r="BK11516" s="25"/>
    </row>
    <row r="11517" spans="60:63" ht="14.25" x14ac:dyDescent="0.2">
      <c r="BH11517" s="25"/>
      <c r="BI11517" s="25"/>
      <c r="BJ11517" s="25"/>
      <c r="BK11517" s="25"/>
    </row>
    <row r="11518" spans="60:63" ht="14.25" x14ac:dyDescent="0.2">
      <c r="BH11518" s="25"/>
      <c r="BI11518" s="25"/>
      <c r="BJ11518" s="25"/>
      <c r="BK11518" s="25"/>
    </row>
    <row r="11519" spans="60:63" ht="14.25" x14ac:dyDescent="0.2">
      <c r="BH11519" s="25"/>
      <c r="BI11519" s="25"/>
      <c r="BJ11519" s="25"/>
      <c r="BK11519" s="25"/>
    </row>
    <row r="11520" spans="60:63" ht="14.25" x14ac:dyDescent="0.2">
      <c r="BH11520" s="25"/>
      <c r="BI11520" s="25"/>
      <c r="BJ11520" s="25"/>
      <c r="BK11520" s="25"/>
    </row>
    <row r="11521" spans="60:63" ht="14.25" x14ac:dyDescent="0.2">
      <c r="BH11521" s="25"/>
      <c r="BI11521" s="25"/>
      <c r="BJ11521" s="25"/>
      <c r="BK11521" s="25"/>
    </row>
    <row r="11522" spans="60:63" ht="14.25" x14ac:dyDescent="0.2">
      <c r="BH11522" s="25"/>
      <c r="BI11522" s="25"/>
      <c r="BJ11522" s="25"/>
      <c r="BK11522" s="25"/>
    </row>
    <row r="11523" spans="60:63" ht="14.25" x14ac:dyDescent="0.2">
      <c r="BH11523" s="25"/>
      <c r="BI11523" s="25"/>
      <c r="BJ11523" s="25"/>
      <c r="BK11523" s="25"/>
    </row>
    <row r="11524" spans="60:63" ht="14.25" x14ac:dyDescent="0.2">
      <c r="BH11524" s="25"/>
      <c r="BI11524" s="25"/>
      <c r="BJ11524" s="25"/>
      <c r="BK11524" s="25"/>
    </row>
    <row r="11525" spans="60:63" ht="14.25" x14ac:dyDescent="0.2">
      <c r="BH11525" s="25"/>
      <c r="BI11525" s="25"/>
      <c r="BJ11525" s="25"/>
      <c r="BK11525" s="25"/>
    </row>
    <row r="11526" spans="60:63" ht="14.25" x14ac:dyDescent="0.2">
      <c r="BH11526" s="25"/>
      <c r="BI11526" s="25"/>
      <c r="BJ11526" s="25"/>
      <c r="BK11526" s="25"/>
    </row>
    <row r="11527" spans="60:63" ht="14.25" x14ac:dyDescent="0.2">
      <c r="BH11527" s="25"/>
      <c r="BI11527" s="25"/>
      <c r="BJ11527" s="25"/>
      <c r="BK11527" s="25"/>
    </row>
    <row r="11528" spans="60:63" ht="14.25" x14ac:dyDescent="0.2">
      <c r="BH11528" s="25"/>
      <c r="BI11528" s="25"/>
      <c r="BJ11528" s="25"/>
      <c r="BK11528" s="25"/>
    </row>
    <row r="11529" spans="60:63" ht="14.25" x14ac:dyDescent="0.2">
      <c r="BH11529" s="25"/>
      <c r="BI11529" s="25"/>
      <c r="BJ11529" s="25"/>
      <c r="BK11529" s="25"/>
    </row>
    <row r="11530" spans="60:63" ht="14.25" x14ac:dyDescent="0.2">
      <c r="BH11530" s="25"/>
      <c r="BI11530" s="25"/>
      <c r="BJ11530" s="25"/>
      <c r="BK11530" s="25"/>
    </row>
    <row r="11531" spans="60:63" ht="14.25" x14ac:dyDescent="0.2">
      <c r="BH11531" s="25"/>
      <c r="BI11531" s="25"/>
      <c r="BJ11531" s="25"/>
      <c r="BK11531" s="25"/>
    </row>
    <row r="11532" spans="60:63" ht="14.25" x14ac:dyDescent="0.2">
      <c r="BH11532" s="25"/>
      <c r="BI11532" s="25"/>
      <c r="BJ11532" s="25"/>
      <c r="BK11532" s="25"/>
    </row>
    <row r="11533" spans="60:63" ht="14.25" x14ac:dyDescent="0.2">
      <c r="BH11533" s="25"/>
      <c r="BI11533" s="25"/>
      <c r="BJ11533" s="25"/>
      <c r="BK11533" s="25"/>
    </row>
    <row r="11534" spans="60:63" ht="14.25" x14ac:dyDescent="0.2">
      <c r="BH11534" s="25"/>
      <c r="BI11534" s="25"/>
      <c r="BJ11534" s="25"/>
      <c r="BK11534" s="25"/>
    </row>
    <row r="11535" spans="60:63" ht="14.25" x14ac:dyDescent="0.2">
      <c r="BH11535" s="25"/>
      <c r="BI11535" s="25"/>
      <c r="BJ11535" s="25"/>
      <c r="BK11535" s="25"/>
    </row>
    <row r="11536" spans="60:63" ht="14.25" x14ac:dyDescent="0.2">
      <c r="BH11536" s="25"/>
      <c r="BI11536" s="25"/>
      <c r="BJ11536" s="25"/>
      <c r="BK11536" s="25"/>
    </row>
    <row r="11537" spans="60:63" ht="14.25" x14ac:dyDescent="0.2">
      <c r="BH11537" s="25"/>
      <c r="BI11537" s="25"/>
      <c r="BJ11537" s="25"/>
      <c r="BK11537" s="25"/>
    </row>
    <row r="11538" spans="60:63" ht="14.25" x14ac:dyDescent="0.2">
      <c r="BH11538" s="25"/>
      <c r="BI11538" s="25"/>
      <c r="BJ11538" s="25"/>
      <c r="BK11538" s="25"/>
    </row>
    <row r="11539" spans="60:63" ht="14.25" x14ac:dyDescent="0.2">
      <c r="BH11539" s="25"/>
      <c r="BI11539" s="25"/>
      <c r="BJ11539" s="25"/>
      <c r="BK11539" s="25"/>
    </row>
    <row r="11540" spans="60:63" ht="14.25" x14ac:dyDescent="0.2">
      <c r="BH11540" s="25"/>
      <c r="BI11540" s="25"/>
      <c r="BJ11540" s="25"/>
      <c r="BK11540" s="25"/>
    </row>
    <row r="11541" spans="60:63" ht="14.25" x14ac:dyDescent="0.2">
      <c r="BH11541" s="25"/>
      <c r="BI11541" s="25"/>
      <c r="BJ11541" s="25"/>
      <c r="BK11541" s="25"/>
    </row>
    <row r="11542" spans="60:63" ht="14.25" x14ac:dyDescent="0.2">
      <c r="BH11542" s="25"/>
      <c r="BI11542" s="25"/>
      <c r="BJ11542" s="25"/>
      <c r="BK11542" s="25"/>
    </row>
    <row r="11543" spans="60:63" ht="14.25" x14ac:dyDescent="0.2">
      <c r="BH11543" s="25"/>
      <c r="BI11543" s="25"/>
      <c r="BJ11543" s="25"/>
      <c r="BK11543" s="25"/>
    </row>
    <row r="11544" spans="60:63" ht="14.25" x14ac:dyDescent="0.2">
      <c r="BH11544" s="25"/>
      <c r="BI11544" s="25"/>
      <c r="BJ11544" s="25"/>
      <c r="BK11544" s="25"/>
    </row>
    <row r="11545" spans="60:63" ht="14.25" x14ac:dyDescent="0.2">
      <c r="BH11545" s="25"/>
      <c r="BI11545" s="25"/>
      <c r="BJ11545" s="25"/>
      <c r="BK11545" s="25"/>
    </row>
    <row r="11546" spans="60:63" ht="14.25" x14ac:dyDescent="0.2">
      <c r="BH11546" s="25"/>
      <c r="BI11546" s="25"/>
      <c r="BJ11546" s="25"/>
      <c r="BK11546" s="25"/>
    </row>
    <row r="11547" spans="60:63" ht="14.25" x14ac:dyDescent="0.2">
      <c r="BH11547" s="25"/>
      <c r="BI11547" s="25"/>
      <c r="BJ11547" s="25"/>
      <c r="BK11547" s="25"/>
    </row>
    <row r="11548" spans="60:63" ht="14.25" x14ac:dyDescent="0.2">
      <c r="BH11548" s="25"/>
      <c r="BI11548" s="25"/>
      <c r="BJ11548" s="25"/>
      <c r="BK11548" s="25"/>
    </row>
    <row r="11549" spans="60:63" ht="14.25" x14ac:dyDescent="0.2">
      <c r="BH11549" s="25"/>
      <c r="BI11549" s="25"/>
      <c r="BJ11549" s="25"/>
      <c r="BK11549" s="25"/>
    </row>
    <row r="11550" spans="60:63" ht="14.25" x14ac:dyDescent="0.2">
      <c r="BH11550" s="25"/>
      <c r="BI11550" s="25"/>
      <c r="BJ11550" s="25"/>
      <c r="BK11550" s="25"/>
    </row>
    <row r="11551" spans="60:63" ht="14.25" x14ac:dyDescent="0.2">
      <c r="BH11551" s="25"/>
      <c r="BI11551" s="25"/>
      <c r="BJ11551" s="25"/>
      <c r="BK11551" s="25"/>
    </row>
    <row r="11552" spans="60:63" ht="14.25" x14ac:dyDescent="0.2">
      <c r="BH11552" s="25"/>
      <c r="BI11552" s="25"/>
      <c r="BJ11552" s="25"/>
      <c r="BK11552" s="25"/>
    </row>
    <row r="11553" spans="60:63" ht="14.25" x14ac:dyDescent="0.2">
      <c r="BH11553" s="25"/>
      <c r="BI11553" s="25"/>
      <c r="BJ11553" s="25"/>
      <c r="BK11553" s="25"/>
    </row>
    <row r="11554" spans="60:63" ht="14.25" x14ac:dyDescent="0.2">
      <c r="BH11554" s="25"/>
      <c r="BI11554" s="25"/>
      <c r="BJ11554" s="25"/>
      <c r="BK11554" s="25"/>
    </row>
    <row r="11555" spans="60:63" ht="14.25" x14ac:dyDescent="0.2">
      <c r="BH11555" s="25"/>
      <c r="BI11555" s="25"/>
      <c r="BJ11555" s="25"/>
      <c r="BK11555" s="25"/>
    </row>
    <row r="11556" spans="60:63" ht="14.25" x14ac:dyDescent="0.2">
      <c r="BH11556" s="25"/>
      <c r="BI11556" s="25"/>
      <c r="BJ11556" s="25"/>
      <c r="BK11556" s="25"/>
    </row>
    <row r="11557" spans="60:63" ht="14.25" x14ac:dyDescent="0.2">
      <c r="BH11557" s="25"/>
      <c r="BI11557" s="25"/>
      <c r="BJ11557" s="25"/>
      <c r="BK11557" s="25"/>
    </row>
    <row r="11558" spans="60:63" ht="14.25" x14ac:dyDescent="0.2">
      <c r="BH11558" s="25"/>
      <c r="BI11558" s="25"/>
      <c r="BJ11558" s="25"/>
      <c r="BK11558" s="25"/>
    </row>
    <row r="11559" spans="60:63" ht="14.25" x14ac:dyDescent="0.2">
      <c r="BH11559" s="25"/>
      <c r="BI11559" s="25"/>
      <c r="BJ11559" s="25"/>
      <c r="BK11559" s="25"/>
    </row>
    <row r="11560" spans="60:63" ht="14.25" x14ac:dyDescent="0.2">
      <c r="BH11560" s="25"/>
      <c r="BI11560" s="25"/>
      <c r="BJ11560" s="25"/>
      <c r="BK11560" s="25"/>
    </row>
    <row r="11561" spans="60:63" ht="14.25" x14ac:dyDescent="0.2">
      <c r="BH11561" s="25"/>
      <c r="BI11561" s="25"/>
      <c r="BJ11561" s="25"/>
      <c r="BK11561" s="25"/>
    </row>
    <row r="11562" spans="60:63" ht="14.25" x14ac:dyDescent="0.2">
      <c r="BH11562" s="25"/>
      <c r="BI11562" s="25"/>
      <c r="BJ11562" s="25"/>
      <c r="BK11562" s="25"/>
    </row>
    <row r="11563" spans="60:63" ht="14.25" x14ac:dyDescent="0.2">
      <c r="BH11563" s="25"/>
      <c r="BI11563" s="25"/>
      <c r="BJ11563" s="25"/>
      <c r="BK11563" s="25"/>
    </row>
    <row r="11564" spans="60:63" ht="14.25" x14ac:dyDescent="0.2">
      <c r="BH11564" s="25"/>
      <c r="BI11564" s="25"/>
      <c r="BJ11564" s="25"/>
      <c r="BK11564" s="25"/>
    </row>
    <row r="11565" spans="60:63" ht="14.25" x14ac:dyDescent="0.2">
      <c r="BH11565" s="25"/>
      <c r="BI11565" s="25"/>
      <c r="BJ11565" s="25"/>
      <c r="BK11565" s="25"/>
    </row>
    <row r="11566" spans="60:63" ht="14.25" x14ac:dyDescent="0.2">
      <c r="BH11566" s="25"/>
      <c r="BI11566" s="25"/>
      <c r="BJ11566" s="25"/>
      <c r="BK11566" s="25"/>
    </row>
    <row r="11567" spans="60:63" ht="14.25" x14ac:dyDescent="0.2">
      <c r="BH11567" s="25"/>
      <c r="BI11567" s="25"/>
      <c r="BJ11567" s="25"/>
      <c r="BK11567" s="25"/>
    </row>
    <row r="11568" spans="60:63" ht="14.25" x14ac:dyDescent="0.2">
      <c r="BH11568" s="25"/>
      <c r="BI11568" s="25"/>
      <c r="BJ11568" s="25"/>
      <c r="BK11568" s="25"/>
    </row>
    <row r="11569" spans="60:63" ht="14.25" x14ac:dyDescent="0.2">
      <c r="BH11569" s="25"/>
      <c r="BI11569" s="25"/>
      <c r="BJ11569" s="25"/>
      <c r="BK11569" s="25"/>
    </row>
    <row r="11570" spans="60:63" ht="14.25" x14ac:dyDescent="0.2">
      <c r="BH11570" s="25"/>
      <c r="BI11570" s="25"/>
      <c r="BJ11570" s="25"/>
      <c r="BK11570" s="25"/>
    </row>
    <row r="11571" spans="60:63" ht="14.25" x14ac:dyDescent="0.2">
      <c r="BH11571" s="25"/>
      <c r="BI11571" s="25"/>
      <c r="BJ11571" s="25"/>
      <c r="BK11571" s="25"/>
    </row>
    <row r="11572" spans="60:63" ht="14.25" x14ac:dyDescent="0.2">
      <c r="BH11572" s="25"/>
      <c r="BI11572" s="25"/>
      <c r="BJ11572" s="25"/>
      <c r="BK11572" s="25"/>
    </row>
    <row r="11573" spans="60:63" ht="14.25" x14ac:dyDescent="0.2">
      <c r="BH11573" s="25"/>
      <c r="BI11573" s="25"/>
      <c r="BJ11573" s="25"/>
      <c r="BK11573" s="25"/>
    </row>
    <row r="11574" spans="60:63" ht="14.25" x14ac:dyDescent="0.2">
      <c r="BH11574" s="25"/>
      <c r="BI11574" s="25"/>
      <c r="BJ11574" s="25"/>
      <c r="BK11574" s="25"/>
    </row>
    <row r="11575" spans="60:63" ht="14.25" x14ac:dyDescent="0.2">
      <c r="BH11575" s="25"/>
      <c r="BI11575" s="25"/>
      <c r="BJ11575" s="25"/>
      <c r="BK11575" s="25"/>
    </row>
    <row r="11576" spans="60:63" ht="14.25" x14ac:dyDescent="0.2">
      <c r="BH11576" s="25"/>
      <c r="BI11576" s="25"/>
      <c r="BJ11576" s="25"/>
      <c r="BK11576" s="25"/>
    </row>
    <row r="11577" spans="60:63" ht="14.25" x14ac:dyDescent="0.2">
      <c r="BH11577" s="25"/>
      <c r="BI11577" s="25"/>
      <c r="BJ11577" s="25"/>
      <c r="BK11577" s="25"/>
    </row>
    <row r="11578" spans="60:63" ht="14.25" x14ac:dyDescent="0.2">
      <c r="BH11578" s="25"/>
      <c r="BI11578" s="25"/>
      <c r="BJ11578" s="25"/>
      <c r="BK11578" s="25"/>
    </row>
    <row r="11579" spans="60:63" ht="14.25" x14ac:dyDescent="0.2">
      <c r="BH11579" s="25"/>
      <c r="BI11579" s="25"/>
      <c r="BJ11579" s="25"/>
      <c r="BK11579" s="25"/>
    </row>
    <row r="11580" spans="60:63" ht="14.25" x14ac:dyDescent="0.2">
      <c r="BH11580" s="25"/>
      <c r="BI11580" s="25"/>
      <c r="BJ11580" s="25"/>
      <c r="BK11580" s="25"/>
    </row>
    <row r="11581" spans="60:63" ht="14.25" x14ac:dyDescent="0.2">
      <c r="BH11581" s="25"/>
      <c r="BI11581" s="25"/>
      <c r="BJ11581" s="25"/>
      <c r="BK11581" s="25"/>
    </row>
    <row r="11582" spans="60:63" ht="14.25" x14ac:dyDescent="0.2">
      <c r="BH11582" s="25"/>
      <c r="BI11582" s="25"/>
      <c r="BJ11582" s="25"/>
      <c r="BK11582" s="25"/>
    </row>
    <row r="11583" spans="60:63" ht="14.25" x14ac:dyDescent="0.2">
      <c r="BH11583" s="25"/>
      <c r="BI11583" s="25"/>
      <c r="BJ11583" s="25"/>
      <c r="BK11583" s="25"/>
    </row>
    <row r="11584" spans="60:63" ht="14.25" x14ac:dyDescent="0.2">
      <c r="BH11584" s="25"/>
      <c r="BI11584" s="25"/>
      <c r="BJ11584" s="25"/>
      <c r="BK11584" s="25"/>
    </row>
    <row r="11585" spans="60:63" ht="14.25" x14ac:dyDescent="0.2">
      <c r="BH11585" s="25"/>
      <c r="BI11585" s="25"/>
      <c r="BJ11585" s="25"/>
      <c r="BK11585" s="25"/>
    </row>
    <row r="11586" spans="60:63" ht="14.25" x14ac:dyDescent="0.2">
      <c r="BH11586" s="25"/>
      <c r="BI11586" s="25"/>
      <c r="BJ11586" s="25"/>
      <c r="BK11586" s="25"/>
    </row>
    <row r="11587" spans="60:63" ht="14.25" x14ac:dyDescent="0.2">
      <c r="BH11587" s="25"/>
      <c r="BI11587" s="25"/>
      <c r="BJ11587" s="25"/>
      <c r="BK11587" s="25"/>
    </row>
    <row r="11588" spans="60:63" ht="14.25" x14ac:dyDescent="0.2">
      <c r="BH11588" s="25"/>
      <c r="BI11588" s="25"/>
      <c r="BJ11588" s="25"/>
      <c r="BK11588" s="25"/>
    </row>
    <row r="11589" spans="60:63" ht="14.25" x14ac:dyDescent="0.2">
      <c r="BH11589" s="25"/>
      <c r="BI11589" s="25"/>
      <c r="BJ11589" s="25"/>
      <c r="BK11589" s="25"/>
    </row>
    <row r="11590" spans="60:63" ht="14.25" x14ac:dyDescent="0.2">
      <c r="BH11590" s="25"/>
      <c r="BI11590" s="25"/>
      <c r="BJ11590" s="25"/>
      <c r="BK11590" s="25"/>
    </row>
    <row r="11591" spans="60:63" ht="14.25" x14ac:dyDescent="0.2">
      <c r="BH11591" s="25"/>
      <c r="BI11591" s="25"/>
      <c r="BJ11591" s="25"/>
      <c r="BK11591" s="25"/>
    </row>
    <row r="11592" spans="60:63" ht="14.25" x14ac:dyDescent="0.2">
      <c r="BH11592" s="25"/>
      <c r="BI11592" s="25"/>
      <c r="BJ11592" s="25"/>
      <c r="BK11592" s="25"/>
    </row>
    <row r="11593" spans="60:63" ht="14.25" x14ac:dyDescent="0.2">
      <c r="BH11593" s="25"/>
      <c r="BI11593" s="25"/>
      <c r="BJ11593" s="25"/>
      <c r="BK11593" s="25"/>
    </row>
    <row r="11594" spans="60:63" ht="14.25" x14ac:dyDescent="0.2">
      <c r="BH11594" s="25"/>
      <c r="BI11594" s="25"/>
      <c r="BJ11594" s="25"/>
      <c r="BK11594" s="25"/>
    </row>
    <row r="11595" spans="60:63" ht="14.25" x14ac:dyDescent="0.2">
      <c r="BH11595" s="25"/>
      <c r="BI11595" s="25"/>
      <c r="BJ11595" s="25"/>
      <c r="BK11595" s="25"/>
    </row>
    <row r="11596" spans="60:63" ht="14.25" x14ac:dyDescent="0.2">
      <c r="BH11596" s="25"/>
      <c r="BI11596" s="25"/>
      <c r="BJ11596" s="25"/>
      <c r="BK11596" s="25"/>
    </row>
    <row r="11597" spans="60:63" ht="14.25" x14ac:dyDescent="0.2">
      <c r="BH11597" s="25"/>
      <c r="BI11597" s="25"/>
      <c r="BJ11597" s="25"/>
      <c r="BK11597" s="25"/>
    </row>
    <row r="11598" spans="60:63" ht="14.25" x14ac:dyDescent="0.2">
      <c r="BH11598" s="25"/>
      <c r="BI11598" s="25"/>
      <c r="BJ11598" s="25"/>
      <c r="BK11598" s="25"/>
    </row>
    <row r="11599" spans="60:63" ht="14.25" x14ac:dyDescent="0.2">
      <c r="BH11599" s="25"/>
      <c r="BI11599" s="25"/>
      <c r="BJ11599" s="25"/>
      <c r="BK11599" s="25"/>
    </row>
    <row r="11600" spans="60:63" ht="14.25" x14ac:dyDescent="0.2">
      <c r="BH11600" s="25"/>
      <c r="BI11600" s="25"/>
      <c r="BJ11600" s="25"/>
      <c r="BK11600" s="25"/>
    </row>
    <row r="11601" spans="60:63" ht="14.25" x14ac:dyDescent="0.2">
      <c r="BH11601" s="25"/>
      <c r="BI11601" s="25"/>
      <c r="BJ11601" s="25"/>
      <c r="BK11601" s="25"/>
    </row>
    <row r="11602" spans="60:63" ht="14.25" x14ac:dyDescent="0.2">
      <c r="BH11602" s="25"/>
      <c r="BI11602" s="25"/>
      <c r="BJ11602" s="25"/>
      <c r="BK11602" s="25"/>
    </row>
    <row r="11603" spans="60:63" ht="14.25" x14ac:dyDescent="0.2">
      <c r="BH11603" s="25"/>
      <c r="BI11603" s="25"/>
      <c r="BJ11603" s="25"/>
      <c r="BK11603" s="25"/>
    </row>
    <row r="11604" spans="60:63" ht="14.25" x14ac:dyDescent="0.2">
      <c r="BH11604" s="25"/>
      <c r="BI11604" s="25"/>
      <c r="BJ11604" s="25"/>
      <c r="BK11604" s="25"/>
    </row>
    <row r="11605" spans="60:63" ht="14.25" x14ac:dyDescent="0.2">
      <c r="BH11605" s="25"/>
      <c r="BI11605" s="25"/>
      <c r="BJ11605" s="25"/>
      <c r="BK11605" s="25"/>
    </row>
    <row r="11606" spans="60:63" ht="14.25" x14ac:dyDescent="0.2">
      <c r="BH11606" s="25"/>
      <c r="BI11606" s="25"/>
      <c r="BJ11606" s="25"/>
      <c r="BK11606" s="25"/>
    </row>
    <row r="11607" spans="60:63" ht="14.25" x14ac:dyDescent="0.2">
      <c r="BH11607" s="25"/>
      <c r="BI11607" s="25"/>
      <c r="BJ11607" s="25"/>
      <c r="BK11607" s="25"/>
    </row>
    <row r="11608" spans="60:63" ht="14.25" x14ac:dyDescent="0.2">
      <c r="BH11608" s="25"/>
      <c r="BI11608" s="25"/>
      <c r="BJ11608" s="25"/>
      <c r="BK11608" s="25"/>
    </row>
    <row r="11609" spans="60:63" ht="14.25" x14ac:dyDescent="0.2">
      <c r="BH11609" s="25"/>
      <c r="BI11609" s="25"/>
      <c r="BJ11609" s="25"/>
      <c r="BK11609" s="25"/>
    </row>
    <row r="11610" spans="60:63" ht="14.25" x14ac:dyDescent="0.2">
      <c r="BH11610" s="25"/>
      <c r="BI11610" s="25"/>
      <c r="BJ11610" s="25"/>
      <c r="BK11610" s="25"/>
    </row>
    <row r="11611" spans="60:63" ht="14.25" x14ac:dyDescent="0.2">
      <c r="BH11611" s="25"/>
      <c r="BI11611" s="25"/>
      <c r="BJ11611" s="25"/>
      <c r="BK11611" s="25"/>
    </row>
    <row r="11612" spans="60:63" ht="14.25" x14ac:dyDescent="0.2">
      <c r="BH11612" s="25"/>
      <c r="BI11612" s="25"/>
      <c r="BJ11612" s="25"/>
      <c r="BK11612" s="25"/>
    </row>
    <row r="11613" spans="60:63" ht="14.25" x14ac:dyDescent="0.2">
      <c r="BH11613" s="25"/>
      <c r="BI11613" s="25"/>
      <c r="BJ11613" s="25"/>
      <c r="BK11613" s="25"/>
    </row>
    <row r="11614" spans="60:63" ht="14.25" x14ac:dyDescent="0.2">
      <c r="BH11614" s="25"/>
      <c r="BI11614" s="25"/>
      <c r="BJ11614" s="25"/>
      <c r="BK11614" s="25"/>
    </row>
    <row r="11615" spans="60:63" ht="14.25" x14ac:dyDescent="0.2">
      <c r="BH11615" s="25"/>
      <c r="BI11615" s="25"/>
      <c r="BJ11615" s="25"/>
      <c r="BK11615" s="25"/>
    </row>
    <row r="11616" spans="60:63" ht="14.25" x14ac:dyDescent="0.2">
      <c r="BH11616" s="25"/>
      <c r="BI11616" s="25"/>
      <c r="BJ11616" s="25"/>
      <c r="BK11616" s="25"/>
    </row>
    <row r="11617" spans="60:63" ht="14.25" x14ac:dyDescent="0.2">
      <c r="BH11617" s="25"/>
      <c r="BI11617" s="25"/>
      <c r="BJ11617" s="25"/>
      <c r="BK11617" s="25"/>
    </row>
    <row r="11618" spans="60:63" ht="14.25" x14ac:dyDescent="0.2">
      <c r="BH11618" s="25"/>
      <c r="BI11618" s="25"/>
      <c r="BJ11618" s="25"/>
      <c r="BK11618" s="25"/>
    </row>
    <row r="11619" spans="60:63" ht="14.25" x14ac:dyDescent="0.2">
      <c r="BH11619" s="25"/>
      <c r="BI11619" s="25"/>
      <c r="BJ11619" s="25"/>
      <c r="BK11619" s="25"/>
    </row>
    <row r="11620" spans="60:63" ht="14.25" x14ac:dyDescent="0.2">
      <c r="BH11620" s="25"/>
      <c r="BI11620" s="25"/>
      <c r="BJ11620" s="25"/>
      <c r="BK11620" s="25"/>
    </row>
    <row r="11621" spans="60:63" ht="14.25" x14ac:dyDescent="0.2">
      <c r="BH11621" s="25"/>
      <c r="BI11621" s="25"/>
      <c r="BJ11621" s="25"/>
      <c r="BK11621" s="25"/>
    </row>
    <row r="11622" spans="60:63" ht="14.25" x14ac:dyDescent="0.2">
      <c r="BH11622" s="25"/>
      <c r="BI11622" s="25"/>
      <c r="BJ11622" s="25"/>
      <c r="BK11622" s="25"/>
    </row>
    <row r="11623" spans="60:63" ht="14.25" x14ac:dyDescent="0.2">
      <c r="BH11623" s="25"/>
      <c r="BI11623" s="25"/>
      <c r="BJ11623" s="25"/>
      <c r="BK11623" s="25"/>
    </row>
    <row r="11624" spans="60:63" ht="14.25" x14ac:dyDescent="0.2">
      <c r="BH11624" s="25"/>
      <c r="BI11624" s="25"/>
      <c r="BJ11624" s="25"/>
      <c r="BK11624" s="25"/>
    </row>
    <row r="11625" spans="60:63" ht="14.25" x14ac:dyDescent="0.2">
      <c r="BH11625" s="25"/>
      <c r="BI11625" s="25"/>
      <c r="BJ11625" s="25"/>
      <c r="BK11625" s="25"/>
    </row>
    <row r="11626" spans="60:63" ht="14.25" x14ac:dyDescent="0.2">
      <c r="BH11626" s="25"/>
      <c r="BI11626" s="25"/>
      <c r="BJ11626" s="25"/>
      <c r="BK11626" s="25"/>
    </row>
    <row r="11627" spans="60:63" ht="14.25" x14ac:dyDescent="0.2">
      <c r="BH11627" s="25"/>
      <c r="BI11627" s="25"/>
      <c r="BJ11627" s="25"/>
      <c r="BK11627" s="25"/>
    </row>
    <row r="11628" spans="60:63" ht="14.25" x14ac:dyDescent="0.2">
      <c r="BH11628" s="25"/>
      <c r="BI11628" s="25"/>
      <c r="BJ11628" s="25"/>
      <c r="BK11628" s="25"/>
    </row>
    <row r="11629" spans="60:63" ht="14.25" x14ac:dyDescent="0.2">
      <c r="BH11629" s="25"/>
      <c r="BI11629" s="25"/>
      <c r="BJ11629" s="25"/>
      <c r="BK11629" s="25"/>
    </row>
    <row r="11630" spans="60:63" ht="14.25" x14ac:dyDescent="0.2">
      <c r="BH11630" s="25"/>
      <c r="BI11630" s="25"/>
      <c r="BJ11630" s="25"/>
      <c r="BK11630" s="25"/>
    </row>
    <row r="11631" spans="60:63" ht="14.25" x14ac:dyDescent="0.2">
      <c r="BH11631" s="25"/>
      <c r="BI11631" s="25"/>
      <c r="BJ11631" s="25"/>
      <c r="BK11631" s="25"/>
    </row>
    <row r="11632" spans="60:63" ht="14.25" x14ac:dyDescent="0.2">
      <c r="BH11632" s="25"/>
      <c r="BI11632" s="25"/>
      <c r="BJ11632" s="25"/>
      <c r="BK11632" s="25"/>
    </row>
    <row r="11633" spans="60:63" ht="14.25" x14ac:dyDescent="0.2">
      <c r="BH11633" s="25"/>
      <c r="BI11633" s="25"/>
      <c r="BJ11633" s="25"/>
      <c r="BK11633" s="25"/>
    </row>
    <row r="11634" spans="60:63" ht="14.25" x14ac:dyDescent="0.2">
      <c r="BH11634" s="25"/>
      <c r="BI11634" s="25"/>
      <c r="BJ11634" s="25"/>
      <c r="BK11634" s="25"/>
    </row>
    <row r="11635" spans="60:63" ht="14.25" x14ac:dyDescent="0.2">
      <c r="BH11635" s="25"/>
      <c r="BI11635" s="25"/>
      <c r="BJ11635" s="25"/>
      <c r="BK11635" s="25"/>
    </row>
    <row r="11636" spans="60:63" ht="14.25" x14ac:dyDescent="0.2">
      <c r="BH11636" s="25"/>
      <c r="BI11636" s="25"/>
      <c r="BJ11636" s="25"/>
      <c r="BK11636" s="25"/>
    </row>
    <row r="11637" spans="60:63" ht="14.25" x14ac:dyDescent="0.2">
      <c r="BH11637" s="25"/>
      <c r="BI11637" s="25"/>
      <c r="BJ11637" s="25"/>
      <c r="BK11637" s="25"/>
    </row>
    <row r="11638" spans="60:63" ht="14.25" x14ac:dyDescent="0.2">
      <c r="BH11638" s="25"/>
      <c r="BI11638" s="25"/>
      <c r="BJ11638" s="25"/>
      <c r="BK11638" s="25"/>
    </row>
    <row r="11639" spans="60:63" ht="14.25" x14ac:dyDescent="0.2">
      <c r="BH11639" s="25"/>
      <c r="BI11639" s="25"/>
      <c r="BJ11639" s="25"/>
      <c r="BK11639" s="25"/>
    </row>
    <row r="11640" spans="60:63" ht="14.25" x14ac:dyDescent="0.2">
      <c r="BH11640" s="25"/>
      <c r="BI11640" s="25"/>
      <c r="BJ11640" s="25"/>
      <c r="BK11640" s="25"/>
    </row>
    <row r="11641" spans="60:63" ht="14.25" x14ac:dyDescent="0.2">
      <c r="BH11641" s="25"/>
      <c r="BI11641" s="25"/>
      <c r="BJ11641" s="25"/>
      <c r="BK11641" s="25"/>
    </row>
    <row r="11642" spans="60:63" ht="14.25" x14ac:dyDescent="0.2">
      <c r="BH11642" s="25"/>
      <c r="BI11642" s="25"/>
      <c r="BJ11642" s="25"/>
      <c r="BK11642" s="25"/>
    </row>
    <row r="11643" spans="60:63" ht="14.25" x14ac:dyDescent="0.2">
      <c r="BH11643" s="25"/>
      <c r="BI11643" s="25"/>
      <c r="BJ11643" s="25"/>
      <c r="BK11643" s="25"/>
    </row>
    <row r="11644" spans="60:63" ht="14.25" x14ac:dyDescent="0.2">
      <c r="BH11644" s="25"/>
      <c r="BI11644" s="25"/>
      <c r="BJ11644" s="25"/>
      <c r="BK11644" s="25"/>
    </row>
    <row r="11645" spans="60:63" ht="14.25" x14ac:dyDescent="0.2">
      <c r="BH11645" s="25"/>
      <c r="BI11645" s="25"/>
      <c r="BJ11645" s="25"/>
      <c r="BK11645" s="25"/>
    </row>
    <row r="11646" spans="60:63" ht="14.25" x14ac:dyDescent="0.2">
      <c r="BH11646" s="25"/>
      <c r="BI11646" s="25"/>
      <c r="BJ11646" s="25"/>
      <c r="BK11646" s="25"/>
    </row>
    <row r="11647" spans="60:63" ht="14.25" x14ac:dyDescent="0.2">
      <c r="BH11647" s="25"/>
      <c r="BI11647" s="25"/>
      <c r="BJ11647" s="25"/>
      <c r="BK11647" s="25"/>
    </row>
    <row r="11648" spans="60:63" ht="14.25" x14ac:dyDescent="0.2">
      <c r="BH11648" s="25"/>
      <c r="BI11648" s="25"/>
      <c r="BJ11648" s="25"/>
      <c r="BK11648" s="25"/>
    </row>
    <row r="11649" spans="60:63" ht="14.25" x14ac:dyDescent="0.2">
      <c r="BH11649" s="25"/>
      <c r="BI11649" s="25"/>
      <c r="BJ11649" s="25"/>
      <c r="BK11649" s="25"/>
    </row>
    <row r="11650" spans="60:63" ht="14.25" x14ac:dyDescent="0.2">
      <c r="BH11650" s="25"/>
      <c r="BI11650" s="25"/>
      <c r="BJ11650" s="25"/>
      <c r="BK11650" s="25"/>
    </row>
    <row r="11651" spans="60:63" ht="14.25" x14ac:dyDescent="0.2">
      <c r="BH11651" s="25"/>
      <c r="BI11651" s="25"/>
      <c r="BJ11651" s="25"/>
      <c r="BK11651" s="25"/>
    </row>
    <row r="11652" spans="60:63" ht="14.25" x14ac:dyDescent="0.2">
      <c r="BH11652" s="25"/>
      <c r="BI11652" s="25"/>
      <c r="BJ11652" s="25"/>
      <c r="BK11652" s="25"/>
    </row>
    <row r="11653" spans="60:63" ht="14.25" x14ac:dyDescent="0.2">
      <c r="BH11653" s="25"/>
      <c r="BI11653" s="25"/>
      <c r="BJ11653" s="25"/>
      <c r="BK11653" s="25"/>
    </row>
    <row r="11654" spans="60:63" ht="14.25" x14ac:dyDescent="0.2">
      <c r="BH11654" s="25"/>
      <c r="BI11654" s="25"/>
      <c r="BJ11654" s="25"/>
      <c r="BK11654" s="25"/>
    </row>
    <row r="11655" spans="60:63" ht="14.25" x14ac:dyDescent="0.2">
      <c r="BH11655" s="25"/>
      <c r="BI11655" s="25"/>
      <c r="BJ11655" s="25"/>
      <c r="BK11655" s="25"/>
    </row>
    <row r="11656" spans="60:63" ht="14.25" x14ac:dyDescent="0.2">
      <c r="BH11656" s="25"/>
      <c r="BI11656" s="25"/>
      <c r="BJ11656" s="25"/>
      <c r="BK11656" s="25"/>
    </row>
    <row r="11657" spans="60:63" ht="14.25" x14ac:dyDescent="0.2">
      <c r="BH11657" s="25"/>
      <c r="BI11657" s="25"/>
      <c r="BJ11657" s="25"/>
      <c r="BK11657" s="25"/>
    </row>
    <row r="11658" spans="60:63" ht="14.25" x14ac:dyDescent="0.2">
      <c r="BH11658" s="25"/>
      <c r="BI11658" s="25"/>
      <c r="BJ11658" s="25"/>
      <c r="BK11658" s="25"/>
    </row>
    <row r="11659" spans="60:63" ht="14.25" x14ac:dyDescent="0.2">
      <c r="BH11659" s="25"/>
      <c r="BI11659" s="25"/>
      <c r="BJ11659" s="25"/>
      <c r="BK11659" s="25"/>
    </row>
    <row r="11660" spans="60:63" ht="14.25" x14ac:dyDescent="0.2">
      <c r="BH11660" s="25"/>
      <c r="BI11660" s="25"/>
      <c r="BJ11660" s="25"/>
      <c r="BK11660" s="25"/>
    </row>
    <row r="11661" spans="60:63" ht="14.25" x14ac:dyDescent="0.2">
      <c r="BH11661" s="25"/>
      <c r="BI11661" s="25"/>
      <c r="BJ11661" s="25"/>
      <c r="BK11661" s="25"/>
    </row>
    <row r="11662" spans="60:63" ht="14.25" x14ac:dyDescent="0.2">
      <c r="BH11662" s="25"/>
      <c r="BI11662" s="25"/>
      <c r="BJ11662" s="25"/>
      <c r="BK11662" s="25"/>
    </row>
    <row r="11663" spans="60:63" ht="14.25" x14ac:dyDescent="0.2">
      <c r="BH11663" s="25"/>
      <c r="BI11663" s="25"/>
      <c r="BJ11663" s="25"/>
      <c r="BK11663" s="25"/>
    </row>
    <row r="11664" spans="60:63" ht="14.25" x14ac:dyDescent="0.2">
      <c r="BH11664" s="25"/>
      <c r="BI11664" s="25"/>
      <c r="BJ11664" s="25"/>
      <c r="BK11664" s="25"/>
    </row>
    <row r="11665" spans="60:63" ht="14.25" x14ac:dyDescent="0.2">
      <c r="BH11665" s="25"/>
      <c r="BI11665" s="25"/>
      <c r="BJ11665" s="25"/>
      <c r="BK11665" s="25"/>
    </row>
    <row r="11666" spans="60:63" ht="14.25" x14ac:dyDescent="0.2">
      <c r="BH11666" s="25"/>
      <c r="BI11666" s="25"/>
      <c r="BJ11666" s="25"/>
      <c r="BK11666" s="25"/>
    </row>
    <row r="11667" spans="60:63" ht="14.25" x14ac:dyDescent="0.2">
      <c r="BH11667" s="25"/>
      <c r="BI11667" s="25"/>
      <c r="BJ11667" s="25"/>
      <c r="BK11667" s="25"/>
    </row>
    <row r="11668" spans="60:63" ht="14.25" x14ac:dyDescent="0.2">
      <c r="BH11668" s="25"/>
      <c r="BI11668" s="25"/>
      <c r="BJ11668" s="25"/>
      <c r="BK11668" s="25"/>
    </row>
    <row r="11669" spans="60:63" ht="14.25" x14ac:dyDescent="0.2">
      <c r="BH11669" s="25"/>
      <c r="BI11669" s="25"/>
      <c r="BJ11669" s="25"/>
      <c r="BK11669" s="25"/>
    </row>
    <row r="11670" spans="60:63" ht="14.25" x14ac:dyDescent="0.2">
      <c r="BH11670" s="25"/>
      <c r="BI11670" s="25"/>
      <c r="BJ11670" s="25"/>
      <c r="BK11670" s="25"/>
    </row>
    <row r="11671" spans="60:63" ht="14.25" x14ac:dyDescent="0.2">
      <c r="BH11671" s="25"/>
      <c r="BI11671" s="25"/>
      <c r="BJ11671" s="25"/>
      <c r="BK11671" s="25"/>
    </row>
    <row r="11672" spans="60:63" ht="14.25" x14ac:dyDescent="0.2">
      <c r="BH11672" s="25"/>
      <c r="BI11672" s="25"/>
      <c r="BJ11672" s="25"/>
      <c r="BK11672" s="25"/>
    </row>
    <row r="11673" spans="60:63" ht="14.25" x14ac:dyDescent="0.2">
      <c r="BH11673" s="25"/>
      <c r="BI11673" s="25"/>
      <c r="BJ11673" s="25"/>
      <c r="BK11673" s="25"/>
    </row>
    <row r="11674" spans="60:63" ht="14.25" x14ac:dyDescent="0.2">
      <c r="BH11674" s="25"/>
      <c r="BI11674" s="25"/>
      <c r="BJ11674" s="25"/>
      <c r="BK11674" s="25"/>
    </row>
    <row r="11675" spans="60:63" ht="14.25" x14ac:dyDescent="0.2">
      <c r="BH11675" s="25"/>
      <c r="BI11675" s="25"/>
      <c r="BJ11675" s="25"/>
      <c r="BK11675" s="25"/>
    </row>
    <row r="11676" spans="60:63" ht="14.25" x14ac:dyDescent="0.2">
      <c r="BH11676" s="25"/>
      <c r="BI11676" s="25"/>
      <c r="BJ11676" s="25"/>
      <c r="BK11676" s="25"/>
    </row>
    <row r="11677" spans="60:63" ht="14.25" x14ac:dyDescent="0.2">
      <c r="BH11677" s="25"/>
      <c r="BI11677" s="25"/>
      <c r="BJ11677" s="25"/>
      <c r="BK11677" s="25"/>
    </row>
    <row r="11678" spans="60:63" ht="14.25" x14ac:dyDescent="0.2">
      <c r="BH11678" s="25"/>
      <c r="BI11678" s="25"/>
      <c r="BJ11678" s="25"/>
      <c r="BK11678" s="25"/>
    </row>
    <row r="11679" spans="60:63" ht="14.25" x14ac:dyDescent="0.2">
      <c r="BH11679" s="25"/>
      <c r="BI11679" s="25"/>
      <c r="BJ11679" s="25"/>
      <c r="BK11679" s="25"/>
    </row>
    <row r="11680" spans="60:63" ht="14.25" x14ac:dyDescent="0.2">
      <c r="BH11680" s="25"/>
      <c r="BI11680" s="25"/>
      <c r="BJ11680" s="25"/>
      <c r="BK11680" s="25"/>
    </row>
    <row r="11681" spans="60:63" ht="14.25" x14ac:dyDescent="0.2">
      <c r="BH11681" s="25"/>
      <c r="BI11681" s="25"/>
      <c r="BJ11681" s="25"/>
      <c r="BK11681" s="25"/>
    </row>
    <row r="11682" spans="60:63" ht="14.25" x14ac:dyDescent="0.2">
      <c r="BH11682" s="25"/>
      <c r="BI11682" s="25"/>
      <c r="BJ11682" s="25"/>
      <c r="BK11682" s="25"/>
    </row>
    <row r="11683" spans="60:63" ht="14.25" x14ac:dyDescent="0.2">
      <c r="BH11683" s="25"/>
      <c r="BI11683" s="25"/>
      <c r="BJ11683" s="25"/>
      <c r="BK11683" s="25"/>
    </row>
    <row r="11684" spans="60:63" ht="14.25" x14ac:dyDescent="0.2">
      <c r="BH11684" s="25"/>
      <c r="BI11684" s="25"/>
      <c r="BJ11684" s="25"/>
      <c r="BK11684" s="25"/>
    </row>
    <row r="11685" spans="60:63" ht="14.25" x14ac:dyDescent="0.2">
      <c r="BH11685" s="25"/>
      <c r="BI11685" s="25"/>
      <c r="BJ11685" s="25"/>
      <c r="BK11685" s="25"/>
    </row>
    <row r="11686" spans="60:63" ht="14.25" x14ac:dyDescent="0.2">
      <c r="BH11686" s="25"/>
      <c r="BI11686" s="25"/>
      <c r="BJ11686" s="25"/>
      <c r="BK11686" s="25"/>
    </row>
    <row r="11687" spans="60:63" ht="14.25" x14ac:dyDescent="0.2">
      <c r="BH11687" s="25"/>
      <c r="BI11687" s="25"/>
      <c r="BJ11687" s="25"/>
      <c r="BK11687" s="25"/>
    </row>
    <row r="11688" spans="60:63" ht="14.25" x14ac:dyDescent="0.2">
      <c r="BH11688" s="25"/>
      <c r="BI11688" s="25"/>
      <c r="BJ11688" s="25"/>
      <c r="BK11688" s="25"/>
    </row>
    <row r="11689" spans="60:63" ht="14.25" x14ac:dyDescent="0.2">
      <c r="BH11689" s="25"/>
      <c r="BI11689" s="25"/>
      <c r="BJ11689" s="25"/>
      <c r="BK11689" s="25"/>
    </row>
    <row r="11690" spans="60:63" ht="14.25" x14ac:dyDescent="0.2">
      <c r="BH11690" s="25"/>
      <c r="BI11690" s="25"/>
      <c r="BJ11690" s="25"/>
      <c r="BK11690" s="25"/>
    </row>
    <row r="11691" spans="60:63" ht="14.25" x14ac:dyDescent="0.2">
      <c r="BH11691" s="25"/>
      <c r="BI11691" s="25"/>
      <c r="BJ11691" s="25"/>
      <c r="BK11691" s="25"/>
    </row>
    <row r="11692" spans="60:63" ht="14.25" x14ac:dyDescent="0.2">
      <c r="BH11692" s="25"/>
      <c r="BI11692" s="25"/>
      <c r="BJ11692" s="25"/>
      <c r="BK11692" s="25"/>
    </row>
    <row r="11693" spans="60:63" ht="14.25" x14ac:dyDescent="0.2">
      <c r="BH11693" s="25"/>
      <c r="BI11693" s="25"/>
      <c r="BJ11693" s="25"/>
      <c r="BK11693" s="25"/>
    </row>
    <row r="11694" spans="60:63" ht="14.25" x14ac:dyDescent="0.2">
      <c r="BH11694" s="25"/>
      <c r="BI11694" s="25"/>
      <c r="BJ11694" s="25"/>
      <c r="BK11694" s="25"/>
    </row>
    <row r="11695" spans="60:63" ht="14.25" x14ac:dyDescent="0.2">
      <c r="BH11695" s="25"/>
      <c r="BI11695" s="25"/>
      <c r="BJ11695" s="25"/>
      <c r="BK11695" s="25"/>
    </row>
    <row r="11696" spans="60:63" ht="14.25" x14ac:dyDescent="0.2">
      <c r="BH11696" s="25"/>
      <c r="BI11696" s="25"/>
      <c r="BJ11696" s="25"/>
      <c r="BK11696" s="25"/>
    </row>
    <row r="11697" spans="60:63" ht="14.25" x14ac:dyDescent="0.2">
      <c r="BH11697" s="25"/>
      <c r="BI11697" s="25"/>
      <c r="BJ11697" s="25"/>
      <c r="BK11697" s="25"/>
    </row>
    <row r="11698" spans="60:63" ht="14.25" x14ac:dyDescent="0.2">
      <c r="BH11698" s="25"/>
      <c r="BI11698" s="25"/>
      <c r="BJ11698" s="25"/>
      <c r="BK11698" s="25"/>
    </row>
    <row r="11699" spans="60:63" ht="14.25" x14ac:dyDescent="0.2">
      <c r="BH11699" s="25"/>
      <c r="BI11699" s="25"/>
      <c r="BJ11699" s="25"/>
      <c r="BK11699" s="25"/>
    </row>
    <row r="11700" spans="60:63" ht="14.25" x14ac:dyDescent="0.2">
      <c r="BH11700" s="25"/>
      <c r="BI11700" s="25"/>
      <c r="BJ11700" s="25"/>
      <c r="BK11700" s="25"/>
    </row>
    <row r="11701" spans="60:63" ht="14.25" x14ac:dyDescent="0.2">
      <c r="BH11701" s="25"/>
      <c r="BI11701" s="25"/>
      <c r="BJ11701" s="25"/>
      <c r="BK11701" s="25"/>
    </row>
    <row r="11702" spans="60:63" ht="14.25" x14ac:dyDescent="0.2">
      <c r="BH11702" s="25"/>
      <c r="BI11702" s="25"/>
      <c r="BJ11702" s="25"/>
      <c r="BK11702" s="25"/>
    </row>
    <row r="11703" spans="60:63" ht="14.25" x14ac:dyDescent="0.2">
      <c r="BH11703" s="25"/>
      <c r="BI11703" s="25"/>
      <c r="BJ11703" s="25"/>
      <c r="BK11703" s="25"/>
    </row>
    <row r="11704" spans="60:63" ht="14.25" x14ac:dyDescent="0.2">
      <c r="BH11704" s="25"/>
      <c r="BI11704" s="25"/>
      <c r="BJ11704" s="25"/>
      <c r="BK11704" s="25"/>
    </row>
    <row r="11705" spans="60:63" ht="14.25" x14ac:dyDescent="0.2">
      <c r="BH11705" s="25"/>
      <c r="BI11705" s="25"/>
      <c r="BJ11705" s="25"/>
      <c r="BK11705" s="25"/>
    </row>
    <row r="11706" spans="60:63" ht="14.25" x14ac:dyDescent="0.2">
      <c r="BH11706" s="25"/>
      <c r="BI11706" s="25"/>
      <c r="BJ11706" s="25"/>
      <c r="BK11706" s="25"/>
    </row>
    <row r="11707" spans="60:63" ht="14.25" x14ac:dyDescent="0.2">
      <c r="BH11707" s="25"/>
      <c r="BI11707" s="25"/>
      <c r="BJ11707" s="25"/>
      <c r="BK11707" s="25"/>
    </row>
    <row r="11708" spans="60:63" ht="14.25" x14ac:dyDescent="0.2">
      <c r="BH11708" s="25"/>
      <c r="BI11708" s="25"/>
      <c r="BJ11708" s="25"/>
      <c r="BK11708" s="25"/>
    </row>
    <row r="11709" spans="60:63" ht="14.25" x14ac:dyDescent="0.2">
      <c r="BH11709" s="25"/>
      <c r="BI11709" s="25"/>
      <c r="BJ11709" s="25"/>
      <c r="BK11709" s="25"/>
    </row>
    <row r="11710" spans="60:63" ht="14.25" x14ac:dyDescent="0.2">
      <c r="BH11710" s="25"/>
      <c r="BI11710" s="25"/>
      <c r="BJ11710" s="25"/>
      <c r="BK11710" s="25"/>
    </row>
    <row r="11711" spans="60:63" ht="14.25" x14ac:dyDescent="0.2">
      <c r="BH11711" s="25"/>
      <c r="BI11711" s="25"/>
      <c r="BJ11711" s="25"/>
      <c r="BK11711" s="25"/>
    </row>
    <row r="11712" spans="60:63" ht="14.25" x14ac:dyDescent="0.2">
      <c r="BH11712" s="25"/>
      <c r="BI11712" s="25"/>
      <c r="BJ11712" s="25"/>
      <c r="BK11712" s="25"/>
    </row>
    <row r="11713" spans="60:63" ht="14.25" x14ac:dyDescent="0.2">
      <c r="BH11713" s="25"/>
      <c r="BI11713" s="25"/>
      <c r="BJ11713" s="25"/>
      <c r="BK11713" s="25"/>
    </row>
    <row r="11714" spans="60:63" ht="14.25" x14ac:dyDescent="0.2">
      <c r="BH11714" s="25"/>
      <c r="BI11714" s="25"/>
      <c r="BJ11714" s="25"/>
      <c r="BK11714" s="25"/>
    </row>
    <row r="11715" spans="60:63" ht="14.25" x14ac:dyDescent="0.2">
      <c r="BH11715" s="25"/>
      <c r="BI11715" s="25"/>
      <c r="BJ11715" s="25"/>
      <c r="BK11715" s="25"/>
    </row>
    <row r="11716" spans="60:63" ht="14.25" x14ac:dyDescent="0.2">
      <c r="BH11716" s="25"/>
      <c r="BI11716" s="25"/>
      <c r="BJ11716" s="25"/>
      <c r="BK11716" s="25"/>
    </row>
    <row r="11717" spans="60:63" ht="14.25" x14ac:dyDescent="0.2">
      <c r="BH11717" s="25"/>
      <c r="BI11717" s="25"/>
      <c r="BJ11717" s="25"/>
      <c r="BK11717" s="25"/>
    </row>
    <row r="11718" spans="60:63" ht="14.25" x14ac:dyDescent="0.2">
      <c r="BH11718" s="25"/>
      <c r="BI11718" s="25"/>
      <c r="BJ11718" s="25"/>
      <c r="BK11718" s="25"/>
    </row>
    <row r="11719" spans="60:63" ht="14.25" x14ac:dyDescent="0.2">
      <c r="BH11719" s="25"/>
      <c r="BI11719" s="25"/>
      <c r="BJ11719" s="25"/>
      <c r="BK11719" s="25"/>
    </row>
    <row r="11720" spans="60:63" ht="14.25" x14ac:dyDescent="0.2">
      <c r="BH11720" s="25"/>
      <c r="BI11720" s="25"/>
      <c r="BJ11720" s="25"/>
      <c r="BK11720" s="25"/>
    </row>
    <row r="11721" spans="60:63" ht="14.25" x14ac:dyDescent="0.2">
      <c r="BH11721" s="25"/>
      <c r="BI11721" s="25"/>
      <c r="BJ11721" s="25"/>
      <c r="BK11721" s="25"/>
    </row>
    <row r="11722" spans="60:63" ht="14.25" x14ac:dyDescent="0.2">
      <c r="BH11722" s="25"/>
      <c r="BI11722" s="25"/>
      <c r="BJ11722" s="25"/>
      <c r="BK11722" s="25"/>
    </row>
    <row r="11723" spans="60:63" ht="14.25" x14ac:dyDescent="0.2">
      <c r="BH11723" s="25"/>
      <c r="BI11723" s="25"/>
      <c r="BJ11723" s="25"/>
      <c r="BK11723" s="25"/>
    </row>
    <row r="11724" spans="60:63" ht="14.25" x14ac:dyDescent="0.2">
      <c r="BH11724" s="25"/>
      <c r="BI11724" s="25"/>
      <c r="BJ11724" s="25"/>
      <c r="BK11724" s="25"/>
    </row>
    <row r="11725" spans="60:63" ht="14.25" x14ac:dyDescent="0.2">
      <c r="BH11725" s="25"/>
      <c r="BI11725" s="25"/>
      <c r="BJ11725" s="25"/>
      <c r="BK11725" s="25"/>
    </row>
    <row r="11726" spans="60:63" ht="14.25" x14ac:dyDescent="0.2">
      <c r="BH11726" s="25"/>
      <c r="BI11726" s="25"/>
      <c r="BJ11726" s="25"/>
      <c r="BK11726" s="25"/>
    </row>
    <row r="11727" spans="60:63" ht="14.25" x14ac:dyDescent="0.2">
      <c r="BH11727" s="25"/>
      <c r="BI11727" s="25"/>
      <c r="BJ11727" s="25"/>
      <c r="BK11727" s="25"/>
    </row>
    <row r="11728" spans="60:63" ht="14.25" x14ac:dyDescent="0.2">
      <c r="BH11728" s="25"/>
      <c r="BI11728" s="25"/>
      <c r="BJ11728" s="25"/>
      <c r="BK11728" s="25"/>
    </row>
    <row r="11729" spans="60:63" ht="14.25" x14ac:dyDescent="0.2">
      <c r="BH11729" s="25"/>
      <c r="BI11729" s="25"/>
      <c r="BJ11729" s="25"/>
      <c r="BK11729" s="25"/>
    </row>
    <row r="11730" spans="60:63" ht="14.25" x14ac:dyDescent="0.2">
      <c r="BH11730" s="25"/>
      <c r="BI11730" s="25"/>
      <c r="BJ11730" s="25"/>
      <c r="BK11730" s="25"/>
    </row>
    <row r="11731" spans="60:63" ht="14.25" x14ac:dyDescent="0.2">
      <c r="BH11731" s="25"/>
      <c r="BI11731" s="25"/>
      <c r="BJ11731" s="25"/>
      <c r="BK11731" s="25"/>
    </row>
    <row r="11732" spans="60:63" ht="14.25" x14ac:dyDescent="0.2">
      <c r="BH11732" s="25"/>
      <c r="BI11732" s="25"/>
      <c r="BJ11732" s="25"/>
      <c r="BK11732" s="25"/>
    </row>
    <row r="11733" spans="60:63" ht="14.25" x14ac:dyDescent="0.2">
      <c r="BH11733" s="25"/>
      <c r="BI11733" s="25"/>
      <c r="BJ11733" s="25"/>
      <c r="BK11733" s="25"/>
    </row>
    <row r="11734" spans="60:63" ht="14.25" x14ac:dyDescent="0.2">
      <c r="BH11734" s="25"/>
      <c r="BI11734" s="25"/>
      <c r="BJ11734" s="25"/>
      <c r="BK11734" s="25"/>
    </row>
    <row r="11735" spans="60:63" ht="14.25" x14ac:dyDescent="0.2">
      <c r="BH11735" s="25"/>
      <c r="BI11735" s="25"/>
      <c r="BJ11735" s="25"/>
      <c r="BK11735" s="25"/>
    </row>
    <row r="11736" spans="60:63" ht="14.25" x14ac:dyDescent="0.2">
      <c r="BH11736" s="25"/>
      <c r="BI11736" s="25"/>
      <c r="BJ11736" s="25"/>
      <c r="BK11736" s="25"/>
    </row>
    <row r="11737" spans="60:63" ht="14.25" x14ac:dyDescent="0.2">
      <c r="BH11737" s="25"/>
      <c r="BI11737" s="25"/>
      <c r="BJ11737" s="25"/>
      <c r="BK11737" s="25"/>
    </row>
    <row r="11738" spans="60:63" ht="14.25" x14ac:dyDescent="0.2">
      <c r="BH11738" s="25"/>
      <c r="BI11738" s="25"/>
      <c r="BJ11738" s="25"/>
      <c r="BK11738" s="25"/>
    </row>
    <row r="11739" spans="60:63" ht="14.25" x14ac:dyDescent="0.2">
      <c r="BH11739" s="25"/>
      <c r="BI11739" s="25"/>
      <c r="BJ11739" s="25"/>
      <c r="BK11739" s="25"/>
    </row>
    <row r="11740" spans="60:63" ht="14.25" x14ac:dyDescent="0.2">
      <c r="BH11740" s="25"/>
      <c r="BI11740" s="25"/>
      <c r="BJ11740" s="25"/>
      <c r="BK11740" s="25"/>
    </row>
    <row r="11741" spans="60:63" ht="14.25" x14ac:dyDescent="0.2">
      <c r="BH11741" s="25"/>
      <c r="BI11741" s="25"/>
      <c r="BJ11741" s="25"/>
      <c r="BK11741" s="25"/>
    </row>
    <row r="11742" spans="60:63" ht="14.25" x14ac:dyDescent="0.2">
      <c r="BH11742" s="25"/>
      <c r="BI11742" s="25"/>
      <c r="BJ11742" s="25"/>
      <c r="BK11742" s="25"/>
    </row>
    <row r="11743" spans="60:63" ht="14.25" x14ac:dyDescent="0.2">
      <c r="BH11743" s="25"/>
      <c r="BI11743" s="25"/>
      <c r="BJ11743" s="25"/>
      <c r="BK11743" s="25"/>
    </row>
    <row r="11744" spans="60:63" ht="14.25" x14ac:dyDescent="0.2">
      <c r="BH11744" s="25"/>
      <c r="BI11744" s="25"/>
      <c r="BJ11744" s="25"/>
      <c r="BK11744" s="25"/>
    </row>
    <row r="11745" spans="60:63" ht="14.25" x14ac:dyDescent="0.2">
      <c r="BH11745" s="25"/>
      <c r="BI11745" s="25"/>
      <c r="BJ11745" s="25"/>
      <c r="BK11745" s="25"/>
    </row>
    <row r="11746" spans="60:63" ht="14.25" x14ac:dyDescent="0.2">
      <c r="BH11746" s="25"/>
      <c r="BI11746" s="25"/>
      <c r="BJ11746" s="25"/>
      <c r="BK11746" s="25"/>
    </row>
    <row r="11747" spans="60:63" ht="14.25" x14ac:dyDescent="0.2">
      <c r="BH11747" s="25"/>
      <c r="BI11747" s="25"/>
      <c r="BJ11747" s="25"/>
      <c r="BK11747" s="25"/>
    </row>
    <row r="11748" spans="60:63" ht="14.25" x14ac:dyDescent="0.2">
      <c r="BH11748" s="25"/>
      <c r="BI11748" s="25"/>
      <c r="BJ11748" s="25"/>
      <c r="BK11748" s="25"/>
    </row>
    <row r="11749" spans="60:63" ht="14.25" x14ac:dyDescent="0.2">
      <c r="BH11749" s="25"/>
      <c r="BI11749" s="25"/>
      <c r="BJ11749" s="25"/>
      <c r="BK11749" s="25"/>
    </row>
    <row r="11750" spans="60:63" ht="14.25" x14ac:dyDescent="0.2">
      <c r="BH11750" s="25"/>
      <c r="BI11750" s="25"/>
      <c r="BJ11750" s="25"/>
      <c r="BK11750" s="25"/>
    </row>
    <row r="11751" spans="60:63" ht="14.25" x14ac:dyDescent="0.2">
      <c r="BH11751" s="25"/>
      <c r="BI11751" s="25"/>
      <c r="BJ11751" s="25"/>
      <c r="BK11751" s="25"/>
    </row>
    <row r="11752" spans="60:63" ht="14.25" x14ac:dyDescent="0.2">
      <c r="BH11752" s="25"/>
      <c r="BI11752" s="25"/>
      <c r="BJ11752" s="25"/>
      <c r="BK11752" s="25"/>
    </row>
    <row r="11753" spans="60:63" ht="14.25" x14ac:dyDescent="0.2">
      <c r="BH11753" s="25"/>
      <c r="BI11753" s="25"/>
      <c r="BJ11753" s="25"/>
      <c r="BK11753" s="25"/>
    </row>
    <row r="11754" spans="60:63" ht="14.25" x14ac:dyDescent="0.2">
      <c r="BH11754" s="25"/>
      <c r="BI11754" s="25"/>
      <c r="BJ11754" s="25"/>
      <c r="BK11754" s="25"/>
    </row>
    <row r="11755" spans="60:63" ht="14.25" x14ac:dyDescent="0.2">
      <c r="BH11755" s="25"/>
      <c r="BI11755" s="25"/>
      <c r="BJ11755" s="25"/>
      <c r="BK11755" s="25"/>
    </row>
    <row r="11756" spans="60:63" ht="14.25" x14ac:dyDescent="0.2">
      <c r="BH11756" s="25"/>
      <c r="BI11756" s="25"/>
      <c r="BJ11756" s="25"/>
      <c r="BK11756" s="25"/>
    </row>
    <row r="11757" spans="60:63" ht="14.25" x14ac:dyDescent="0.2">
      <c r="BH11757" s="25"/>
      <c r="BI11757" s="25"/>
      <c r="BJ11757" s="25"/>
      <c r="BK11757" s="25"/>
    </row>
    <row r="11758" spans="60:63" ht="14.25" x14ac:dyDescent="0.2">
      <c r="BH11758" s="25"/>
      <c r="BI11758" s="25"/>
      <c r="BJ11758" s="25"/>
      <c r="BK11758" s="25"/>
    </row>
    <row r="11759" spans="60:63" ht="14.25" x14ac:dyDescent="0.2">
      <c r="BH11759" s="25"/>
      <c r="BI11759" s="25"/>
      <c r="BJ11759" s="25"/>
      <c r="BK11759" s="25"/>
    </row>
    <row r="11760" spans="60:63" ht="14.25" x14ac:dyDescent="0.2">
      <c r="BH11760" s="25"/>
      <c r="BI11760" s="25"/>
      <c r="BJ11760" s="25"/>
      <c r="BK11760" s="25"/>
    </row>
    <row r="11761" spans="60:63" ht="14.25" x14ac:dyDescent="0.2">
      <c r="BH11761" s="25"/>
      <c r="BI11761" s="25"/>
      <c r="BJ11761" s="25"/>
      <c r="BK11761" s="25"/>
    </row>
    <row r="11762" spans="60:63" ht="14.25" x14ac:dyDescent="0.2">
      <c r="BH11762" s="25"/>
      <c r="BI11762" s="25"/>
      <c r="BJ11762" s="25"/>
      <c r="BK11762" s="25"/>
    </row>
    <row r="11763" spans="60:63" ht="14.25" x14ac:dyDescent="0.2">
      <c r="BH11763" s="25"/>
      <c r="BI11763" s="25"/>
      <c r="BJ11763" s="25"/>
      <c r="BK11763" s="25"/>
    </row>
    <row r="11764" spans="60:63" ht="14.25" x14ac:dyDescent="0.2">
      <c r="BH11764" s="25"/>
      <c r="BI11764" s="25"/>
      <c r="BJ11764" s="25"/>
      <c r="BK11764" s="25"/>
    </row>
    <row r="11765" spans="60:63" ht="14.25" x14ac:dyDescent="0.2">
      <c r="BH11765" s="25"/>
      <c r="BI11765" s="25"/>
      <c r="BJ11765" s="25"/>
      <c r="BK11765" s="25"/>
    </row>
    <row r="11766" spans="60:63" ht="14.25" x14ac:dyDescent="0.2">
      <c r="BH11766" s="25"/>
      <c r="BI11766" s="25"/>
      <c r="BJ11766" s="25"/>
      <c r="BK11766" s="25"/>
    </row>
    <row r="11767" spans="60:63" ht="14.25" x14ac:dyDescent="0.2">
      <c r="BH11767" s="25"/>
      <c r="BI11767" s="25"/>
      <c r="BJ11767" s="25"/>
      <c r="BK11767" s="25"/>
    </row>
    <row r="11768" spans="60:63" ht="14.25" x14ac:dyDescent="0.2">
      <c r="BH11768" s="25"/>
      <c r="BI11768" s="25"/>
      <c r="BJ11768" s="25"/>
      <c r="BK11768" s="25"/>
    </row>
    <row r="11769" spans="60:63" ht="14.25" x14ac:dyDescent="0.2">
      <c r="BH11769" s="25"/>
      <c r="BI11769" s="25"/>
      <c r="BJ11769" s="25"/>
      <c r="BK11769" s="25"/>
    </row>
    <row r="11770" spans="60:63" ht="14.25" x14ac:dyDescent="0.2">
      <c r="BH11770" s="25"/>
      <c r="BI11770" s="25"/>
      <c r="BJ11770" s="25"/>
      <c r="BK11770" s="25"/>
    </row>
    <row r="11771" spans="60:63" ht="14.25" x14ac:dyDescent="0.2">
      <c r="BH11771" s="25"/>
      <c r="BI11771" s="25"/>
      <c r="BJ11771" s="25"/>
      <c r="BK11771" s="25"/>
    </row>
    <row r="11772" spans="60:63" ht="14.25" x14ac:dyDescent="0.2">
      <c r="BH11772" s="25"/>
      <c r="BI11772" s="25"/>
      <c r="BJ11772" s="25"/>
      <c r="BK11772" s="25"/>
    </row>
    <row r="11773" spans="60:63" ht="14.25" x14ac:dyDescent="0.2">
      <c r="BH11773" s="25"/>
      <c r="BI11773" s="25"/>
      <c r="BJ11773" s="25"/>
      <c r="BK11773" s="25"/>
    </row>
    <row r="11774" spans="60:63" ht="14.25" x14ac:dyDescent="0.2">
      <c r="BH11774" s="25"/>
      <c r="BI11774" s="25"/>
      <c r="BJ11774" s="25"/>
      <c r="BK11774" s="25"/>
    </row>
    <row r="11775" spans="60:63" ht="14.25" x14ac:dyDescent="0.2">
      <c r="BH11775" s="25"/>
      <c r="BI11775" s="25"/>
      <c r="BJ11775" s="25"/>
      <c r="BK11775" s="25"/>
    </row>
    <row r="11776" spans="60:63" ht="14.25" x14ac:dyDescent="0.2">
      <c r="BH11776" s="25"/>
      <c r="BI11776" s="25"/>
      <c r="BJ11776" s="25"/>
      <c r="BK11776" s="25"/>
    </row>
    <row r="11777" spans="60:63" ht="14.25" x14ac:dyDescent="0.2">
      <c r="BH11777" s="25"/>
      <c r="BI11777" s="25"/>
      <c r="BJ11777" s="25"/>
      <c r="BK11777" s="25"/>
    </row>
    <row r="11778" spans="60:63" ht="14.25" x14ac:dyDescent="0.2">
      <c r="BH11778" s="25"/>
      <c r="BI11778" s="25"/>
      <c r="BJ11778" s="25"/>
      <c r="BK11778" s="25"/>
    </row>
    <row r="11779" spans="60:63" ht="14.25" x14ac:dyDescent="0.2">
      <c r="BH11779" s="25"/>
      <c r="BI11779" s="25"/>
      <c r="BJ11779" s="25"/>
      <c r="BK11779" s="25"/>
    </row>
    <row r="11780" spans="60:63" ht="14.25" x14ac:dyDescent="0.2">
      <c r="BH11780" s="25"/>
      <c r="BI11780" s="25"/>
      <c r="BJ11780" s="25"/>
      <c r="BK11780" s="25"/>
    </row>
    <row r="11781" spans="60:63" ht="14.25" x14ac:dyDescent="0.2">
      <c r="BH11781" s="25"/>
      <c r="BI11781" s="25"/>
      <c r="BJ11781" s="25"/>
      <c r="BK11781" s="25"/>
    </row>
    <row r="11782" spans="60:63" ht="14.25" x14ac:dyDescent="0.2">
      <c r="BH11782" s="25"/>
      <c r="BI11782" s="25"/>
      <c r="BJ11782" s="25"/>
      <c r="BK11782" s="25"/>
    </row>
    <row r="11783" spans="60:63" ht="14.25" x14ac:dyDescent="0.2">
      <c r="BH11783" s="25"/>
      <c r="BI11783" s="25"/>
      <c r="BJ11783" s="25"/>
      <c r="BK11783" s="25"/>
    </row>
    <row r="11784" spans="60:63" ht="14.25" x14ac:dyDescent="0.2">
      <c r="BH11784" s="25"/>
      <c r="BI11784" s="25"/>
      <c r="BJ11784" s="25"/>
      <c r="BK11784" s="25"/>
    </row>
    <row r="11785" spans="60:63" ht="14.25" x14ac:dyDescent="0.2">
      <c r="BH11785" s="25"/>
      <c r="BI11785" s="25"/>
      <c r="BJ11785" s="25"/>
      <c r="BK11785" s="25"/>
    </row>
    <row r="11786" spans="60:63" ht="14.25" x14ac:dyDescent="0.2">
      <c r="BH11786" s="25"/>
      <c r="BI11786" s="25"/>
      <c r="BJ11786" s="25"/>
      <c r="BK11786" s="25"/>
    </row>
    <row r="11787" spans="60:63" ht="14.25" x14ac:dyDescent="0.2">
      <c r="BH11787" s="25"/>
      <c r="BI11787" s="25"/>
      <c r="BJ11787" s="25"/>
      <c r="BK11787" s="25"/>
    </row>
    <row r="11788" spans="60:63" ht="14.25" x14ac:dyDescent="0.2">
      <c r="BH11788" s="25"/>
      <c r="BI11788" s="25"/>
      <c r="BJ11788" s="25"/>
      <c r="BK11788" s="25"/>
    </row>
    <row r="11789" spans="60:63" ht="14.25" x14ac:dyDescent="0.2">
      <c r="BH11789" s="25"/>
      <c r="BI11789" s="25"/>
      <c r="BJ11789" s="25"/>
      <c r="BK11789" s="25"/>
    </row>
    <row r="11790" spans="60:63" ht="14.25" x14ac:dyDescent="0.2">
      <c r="BH11790" s="25"/>
      <c r="BI11790" s="25"/>
      <c r="BJ11790" s="25"/>
      <c r="BK11790" s="25"/>
    </row>
    <row r="11791" spans="60:63" ht="14.25" x14ac:dyDescent="0.2">
      <c r="BH11791" s="25"/>
      <c r="BI11791" s="25"/>
      <c r="BJ11791" s="25"/>
      <c r="BK11791" s="25"/>
    </row>
    <row r="11792" spans="60:63" ht="14.25" x14ac:dyDescent="0.2">
      <c r="BH11792" s="25"/>
      <c r="BI11792" s="25"/>
      <c r="BJ11792" s="25"/>
      <c r="BK11792" s="25"/>
    </row>
    <row r="11793" spans="60:63" ht="14.25" x14ac:dyDescent="0.2">
      <c r="BH11793" s="25"/>
      <c r="BI11793" s="25"/>
      <c r="BJ11793" s="25"/>
      <c r="BK11793" s="25"/>
    </row>
    <row r="11794" spans="60:63" ht="14.25" x14ac:dyDescent="0.2">
      <c r="BH11794" s="25"/>
      <c r="BI11794" s="25"/>
      <c r="BJ11794" s="25"/>
      <c r="BK11794" s="25"/>
    </row>
    <row r="11795" spans="60:63" ht="14.25" x14ac:dyDescent="0.2">
      <c r="BH11795" s="25"/>
      <c r="BI11795" s="25"/>
      <c r="BJ11795" s="25"/>
      <c r="BK11795" s="25"/>
    </row>
    <row r="11796" spans="60:63" ht="14.25" x14ac:dyDescent="0.2">
      <c r="BH11796" s="25"/>
      <c r="BI11796" s="25"/>
      <c r="BJ11796" s="25"/>
      <c r="BK11796" s="25"/>
    </row>
    <row r="11797" spans="60:63" ht="14.25" x14ac:dyDescent="0.2">
      <c r="BH11797" s="25"/>
      <c r="BI11797" s="25"/>
      <c r="BJ11797" s="25"/>
      <c r="BK11797" s="25"/>
    </row>
    <row r="11798" spans="60:63" ht="14.25" x14ac:dyDescent="0.2">
      <c r="BH11798" s="25"/>
      <c r="BI11798" s="25"/>
      <c r="BJ11798" s="25"/>
      <c r="BK11798" s="25"/>
    </row>
    <row r="11799" spans="60:63" ht="14.25" x14ac:dyDescent="0.2">
      <c r="BH11799" s="25"/>
      <c r="BI11799" s="25"/>
      <c r="BJ11799" s="25"/>
      <c r="BK11799" s="25"/>
    </row>
    <row r="11800" spans="60:63" ht="14.25" x14ac:dyDescent="0.2">
      <c r="BH11800" s="25"/>
      <c r="BI11800" s="25"/>
      <c r="BJ11800" s="25"/>
      <c r="BK11800" s="25"/>
    </row>
    <row r="11801" spans="60:63" ht="14.25" x14ac:dyDescent="0.2">
      <c r="BH11801" s="25"/>
      <c r="BI11801" s="25"/>
      <c r="BJ11801" s="25"/>
      <c r="BK11801" s="25"/>
    </row>
    <row r="11802" spans="60:63" ht="14.25" x14ac:dyDescent="0.2">
      <c r="BH11802" s="25"/>
      <c r="BI11802" s="25"/>
      <c r="BJ11802" s="25"/>
      <c r="BK11802" s="25"/>
    </row>
    <row r="11803" spans="60:63" ht="14.25" x14ac:dyDescent="0.2">
      <c r="BH11803" s="25"/>
      <c r="BI11803" s="25"/>
      <c r="BJ11803" s="25"/>
      <c r="BK11803" s="25"/>
    </row>
    <row r="11804" spans="60:63" ht="14.25" x14ac:dyDescent="0.2">
      <c r="BH11804" s="25"/>
      <c r="BI11804" s="25"/>
      <c r="BJ11804" s="25"/>
      <c r="BK11804" s="25"/>
    </row>
    <row r="11805" spans="60:63" ht="14.25" x14ac:dyDescent="0.2">
      <c r="BH11805" s="25"/>
      <c r="BI11805" s="25"/>
      <c r="BJ11805" s="25"/>
      <c r="BK11805" s="25"/>
    </row>
    <row r="11806" spans="60:63" ht="14.25" x14ac:dyDescent="0.2">
      <c r="BH11806" s="25"/>
      <c r="BI11806" s="25"/>
      <c r="BJ11806" s="25"/>
      <c r="BK11806" s="25"/>
    </row>
    <row r="11807" spans="60:63" ht="14.25" x14ac:dyDescent="0.2">
      <c r="BH11807" s="25"/>
      <c r="BI11807" s="25"/>
      <c r="BJ11807" s="25"/>
      <c r="BK11807" s="25"/>
    </row>
    <row r="11808" spans="60:63" ht="14.25" x14ac:dyDescent="0.2">
      <c r="BH11808" s="25"/>
      <c r="BI11808" s="25"/>
      <c r="BJ11808" s="25"/>
      <c r="BK11808" s="25"/>
    </row>
    <row r="11809" spans="60:63" ht="14.25" x14ac:dyDescent="0.2">
      <c r="BH11809" s="25"/>
      <c r="BI11809" s="25"/>
      <c r="BJ11809" s="25"/>
      <c r="BK11809" s="25"/>
    </row>
    <row r="11810" spans="60:63" ht="14.25" x14ac:dyDescent="0.2">
      <c r="BH11810" s="25"/>
      <c r="BI11810" s="25"/>
      <c r="BJ11810" s="25"/>
      <c r="BK11810" s="25"/>
    </row>
    <row r="11811" spans="60:63" ht="14.25" x14ac:dyDescent="0.2">
      <c r="BH11811" s="25"/>
      <c r="BI11811" s="25"/>
      <c r="BJ11811" s="25"/>
      <c r="BK11811" s="25"/>
    </row>
    <row r="11812" spans="60:63" ht="14.25" x14ac:dyDescent="0.2">
      <c r="BH11812" s="25"/>
      <c r="BI11812" s="25"/>
      <c r="BJ11812" s="25"/>
      <c r="BK11812" s="25"/>
    </row>
    <row r="11813" spans="60:63" ht="14.25" x14ac:dyDescent="0.2">
      <c r="BH11813" s="25"/>
      <c r="BI11813" s="25"/>
      <c r="BJ11813" s="25"/>
      <c r="BK11813" s="25"/>
    </row>
    <row r="11814" spans="60:63" ht="14.25" x14ac:dyDescent="0.2">
      <c r="BH11814" s="25"/>
      <c r="BI11814" s="25"/>
      <c r="BJ11814" s="25"/>
      <c r="BK11814" s="25"/>
    </row>
    <row r="11815" spans="60:63" ht="14.25" x14ac:dyDescent="0.2">
      <c r="BH11815" s="25"/>
      <c r="BI11815" s="25"/>
      <c r="BJ11815" s="25"/>
      <c r="BK11815" s="25"/>
    </row>
    <row r="11816" spans="60:63" ht="14.25" x14ac:dyDescent="0.2">
      <c r="BH11816" s="25"/>
      <c r="BI11816" s="25"/>
      <c r="BJ11816" s="25"/>
      <c r="BK11816" s="25"/>
    </row>
    <row r="11817" spans="60:63" ht="14.25" x14ac:dyDescent="0.2">
      <c r="BH11817" s="25"/>
      <c r="BI11817" s="25"/>
      <c r="BJ11817" s="25"/>
      <c r="BK11817" s="25"/>
    </row>
    <row r="11818" spans="60:63" ht="14.25" x14ac:dyDescent="0.2">
      <c r="BH11818" s="25"/>
      <c r="BI11818" s="25"/>
      <c r="BJ11818" s="25"/>
      <c r="BK11818" s="25"/>
    </row>
    <row r="11819" spans="60:63" ht="14.25" x14ac:dyDescent="0.2">
      <c r="BH11819" s="25"/>
      <c r="BI11819" s="25"/>
      <c r="BJ11819" s="25"/>
      <c r="BK11819" s="25"/>
    </row>
    <row r="11820" spans="60:63" ht="14.25" x14ac:dyDescent="0.2">
      <c r="BH11820" s="25"/>
      <c r="BI11820" s="25"/>
      <c r="BJ11820" s="25"/>
      <c r="BK11820" s="25"/>
    </row>
    <row r="11821" spans="60:63" ht="14.25" x14ac:dyDescent="0.2">
      <c r="BH11821" s="25"/>
      <c r="BI11821" s="25"/>
      <c r="BJ11821" s="25"/>
      <c r="BK11821" s="25"/>
    </row>
    <row r="11822" spans="60:63" ht="14.25" x14ac:dyDescent="0.2">
      <c r="BH11822" s="25"/>
      <c r="BI11822" s="25"/>
      <c r="BJ11822" s="25"/>
      <c r="BK11822" s="25"/>
    </row>
    <row r="11823" spans="60:63" ht="14.25" x14ac:dyDescent="0.2">
      <c r="BH11823" s="25"/>
      <c r="BI11823" s="25"/>
      <c r="BJ11823" s="25"/>
      <c r="BK11823" s="25"/>
    </row>
    <row r="11824" spans="60:63" ht="14.25" x14ac:dyDescent="0.2">
      <c r="BH11824" s="25"/>
      <c r="BI11824" s="25"/>
      <c r="BJ11824" s="25"/>
      <c r="BK11824" s="25"/>
    </row>
    <row r="11825" spans="60:63" ht="14.25" x14ac:dyDescent="0.2">
      <c r="BH11825" s="25"/>
      <c r="BI11825" s="25"/>
      <c r="BJ11825" s="25"/>
      <c r="BK11825" s="25"/>
    </row>
    <row r="11826" spans="60:63" ht="14.25" x14ac:dyDescent="0.2">
      <c r="BH11826" s="25"/>
      <c r="BI11826" s="25"/>
      <c r="BJ11826" s="25"/>
      <c r="BK11826" s="25"/>
    </row>
    <row r="11827" spans="60:63" ht="14.25" x14ac:dyDescent="0.2">
      <c r="BH11827" s="25"/>
      <c r="BI11827" s="25"/>
      <c r="BJ11827" s="25"/>
      <c r="BK11827" s="25"/>
    </row>
    <row r="11828" spans="60:63" ht="14.25" x14ac:dyDescent="0.2">
      <c r="BH11828" s="25"/>
      <c r="BI11828" s="25"/>
      <c r="BJ11828" s="25"/>
      <c r="BK11828" s="25"/>
    </row>
    <row r="11829" spans="60:63" ht="14.25" x14ac:dyDescent="0.2">
      <c r="BH11829" s="25"/>
      <c r="BI11829" s="25"/>
      <c r="BJ11829" s="25"/>
      <c r="BK11829" s="25"/>
    </row>
    <row r="11830" spans="60:63" ht="14.25" x14ac:dyDescent="0.2">
      <c r="BH11830" s="25"/>
      <c r="BI11830" s="25"/>
      <c r="BJ11830" s="25"/>
      <c r="BK11830" s="25"/>
    </row>
    <row r="11831" spans="60:63" ht="14.25" x14ac:dyDescent="0.2">
      <c r="BH11831" s="25"/>
      <c r="BI11831" s="25"/>
      <c r="BJ11831" s="25"/>
      <c r="BK11831" s="25"/>
    </row>
    <row r="11832" spans="60:63" ht="14.25" x14ac:dyDescent="0.2">
      <c r="BH11832" s="25"/>
      <c r="BI11832" s="25"/>
      <c r="BJ11832" s="25"/>
      <c r="BK11832" s="25"/>
    </row>
    <row r="11833" spans="60:63" ht="14.25" x14ac:dyDescent="0.2">
      <c r="BH11833" s="25"/>
      <c r="BI11833" s="25"/>
      <c r="BJ11833" s="25"/>
      <c r="BK11833" s="25"/>
    </row>
    <row r="11834" spans="60:63" ht="14.25" x14ac:dyDescent="0.2">
      <c r="BH11834" s="25"/>
      <c r="BI11834" s="25"/>
      <c r="BJ11834" s="25"/>
      <c r="BK11834" s="25"/>
    </row>
    <row r="11835" spans="60:63" ht="14.25" x14ac:dyDescent="0.2">
      <c r="BH11835" s="25"/>
      <c r="BI11835" s="25"/>
      <c r="BJ11835" s="25"/>
      <c r="BK11835" s="25"/>
    </row>
    <row r="11836" spans="60:63" ht="14.25" x14ac:dyDescent="0.2">
      <c r="BH11836" s="25"/>
      <c r="BI11836" s="25"/>
      <c r="BJ11836" s="25"/>
      <c r="BK11836" s="25"/>
    </row>
    <row r="11837" spans="60:63" ht="14.25" x14ac:dyDescent="0.2">
      <c r="BH11837" s="25"/>
      <c r="BI11837" s="25"/>
      <c r="BJ11837" s="25"/>
      <c r="BK11837" s="25"/>
    </row>
    <row r="11838" spans="60:63" ht="14.25" x14ac:dyDescent="0.2">
      <c r="BH11838" s="25"/>
      <c r="BI11838" s="25"/>
      <c r="BJ11838" s="25"/>
      <c r="BK11838" s="25"/>
    </row>
    <row r="11839" spans="60:63" ht="14.25" x14ac:dyDescent="0.2">
      <c r="BH11839" s="25"/>
      <c r="BI11839" s="25"/>
      <c r="BJ11839" s="25"/>
      <c r="BK11839" s="25"/>
    </row>
    <row r="11840" spans="60:63" ht="14.25" x14ac:dyDescent="0.2">
      <c r="BH11840" s="25"/>
      <c r="BI11840" s="25"/>
      <c r="BJ11840" s="25"/>
      <c r="BK11840" s="25"/>
    </row>
    <row r="11841" spans="60:63" ht="14.25" x14ac:dyDescent="0.2">
      <c r="BH11841" s="25"/>
      <c r="BI11841" s="25"/>
      <c r="BJ11841" s="25"/>
      <c r="BK11841" s="25"/>
    </row>
    <row r="11842" spans="60:63" ht="14.25" x14ac:dyDescent="0.2">
      <c r="BH11842" s="25"/>
      <c r="BI11842" s="25"/>
      <c r="BJ11842" s="25"/>
      <c r="BK11842" s="25"/>
    </row>
    <row r="11843" spans="60:63" ht="14.25" x14ac:dyDescent="0.2">
      <c r="BH11843" s="25"/>
      <c r="BI11843" s="25"/>
      <c r="BJ11843" s="25"/>
      <c r="BK11843" s="25"/>
    </row>
    <row r="11844" spans="60:63" ht="14.25" x14ac:dyDescent="0.2">
      <c r="BH11844" s="25"/>
      <c r="BI11844" s="25"/>
      <c r="BJ11844" s="25"/>
      <c r="BK11844" s="25"/>
    </row>
    <row r="11845" spans="60:63" ht="14.25" x14ac:dyDescent="0.2">
      <c r="BH11845" s="25"/>
      <c r="BI11845" s="25"/>
      <c r="BJ11845" s="25"/>
      <c r="BK11845" s="25"/>
    </row>
    <row r="11846" spans="60:63" ht="14.25" x14ac:dyDescent="0.2">
      <c r="BH11846" s="25"/>
      <c r="BI11846" s="25"/>
      <c r="BJ11846" s="25"/>
      <c r="BK11846" s="25"/>
    </row>
    <row r="11847" spans="60:63" ht="14.25" x14ac:dyDescent="0.2">
      <c r="BH11847" s="25"/>
      <c r="BI11847" s="25"/>
      <c r="BJ11847" s="25"/>
      <c r="BK11847" s="25"/>
    </row>
    <row r="11848" spans="60:63" ht="14.25" x14ac:dyDescent="0.2">
      <c r="BH11848" s="25"/>
      <c r="BI11848" s="25"/>
      <c r="BJ11848" s="25"/>
      <c r="BK11848" s="25"/>
    </row>
    <row r="11849" spans="60:63" ht="14.25" x14ac:dyDescent="0.2">
      <c r="BH11849" s="25"/>
      <c r="BI11849" s="25"/>
      <c r="BJ11849" s="25"/>
      <c r="BK11849" s="25"/>
    </row>
    <row r="11850" spans="60:63" ht="14.25" x14ac:dyDescent="0.2">
      <c r="BH11850" s="25"/>
      <c r="BI11850" s="25"/>
      <c r="BJ11850" s="25"/>
      <c r="BK11850" s="25"/>
    </row>
    <row r="11851" spans="60:63" ht="14.25" x14ac:dyDescent="0.2">
      <c r="BH11851" s="25"/>
      <c r="BI11851" s="25"/>
      <c r="BJ11851" s="25"/>
      <c r="BK11851" s="25"/>
    </row>
    <row r="11852" spans="60:63" ht="14.25" x14ac:dyDescent="0.2">
      <c r="BH11852" s="25"/>
      <c r="BI11852" s="25"/>
      <c r="BJ11852" s="25"/>
      <c r="BK11852" s="25"/>
    </row>
    <row r="11853" spans="60:63" ht="14.25" x14ac:dyDescent="0.2">
      <c r="BH11853" s="25"/>
      <c r="BI11853" s="25"/>
      <c r="BJ11853" s="25"/>
      <c r="BK11853" s="25"/>
    </row>
    <row r="11854" spans="60:63" ht="14.25" x14ac:dyDescent="0.2">
      <c r="BH11854" s="25"/>
      <c r="BI11854" s="25"/>
      <c r="BJ11854" s="25"/>
      <c r="BK11854" s="25"/>
    </row>
    <row r="11855" spans="60:63" ht="14.25" x14ac:dyDescent="0.2">
      <c r="BH11855" s="25"/>
      <c r="BI11855" s="25"/>
      <c r="BJ11855" s="25"/>
      <c r="BK11855" s="25"/>
    </row>
    <row r="11856" spans="60:63" ht="14.25" x14ac:dyDescent="0.2">
      <c r="BH11856" s="25"/>
      <c r="BI11856" s="25"/>
      <c r="BJ11856" s="25"/>
      <c r="BK11856" s="25"/>
    </row>
    <row r="11857" spans="60:63" ht="14.25" x14ac:dyDescent="0.2">
      <c r="BH11857" s="25"/>
      <c r="BI11857" s="25"/>
      <c r="BJ11857" s="25"/>
      <c r="BK11857" s="25"/>
    </row>
    <row r="11858" spans="60:63" ht="14.25" x14ac:dyDescent="0.2">
      <c r="BH11858" s="25"/>
      <c r="BI11858" s="25"/>
      <c r="BJ11858" s="25"/>
      <c r="BK11858" s="25"/>
    </row>
    <row r="11859" spans="60:63" ht="14.25" x14ac:dyDescent="0.2">
      <c r="BH11859" s="25"/>
      <c r="BI11859" s="25"/>
      <c r="BJ11859" s="25"/>
      <c r="BK11859" s="25"/>
    </row>
    <row r="11860" spans="60:63" ht="14.25" x14ac:dyDescent="0.2">
      <c r="BH11860" s="25"/>
      <c r="BI11860" s="25"/>
      <c r="BJ11860" s="25"/>
      <c r="BK11860" s="25"/>
    </row>
    <row r="11861" spans="60:63" ht="14.25" x14ac:dyDescent="0.2">
      <c r="BH11861" s="25"/>
      <c r="BI11861" s="25"/>
      <c r="BJ11861" s="25"/>
      <c r="BK11861" s="25"/>
    </row>
    <row r="11862" spans="60:63" ht="14.25" x14ac:dyDescent="0.2">
      <c r="BH11862" s="25"/>
      <c r="BI11862" s="25"/>
      <c r="BJ11862" s="25"/>
      <c r="BK11862" s="25"/>
    </row>
    <row r="11863" spans="60:63" ht="14.25" x14ac:dyDescent="0.2">
      <c r="BH11863" s="25"/>
      <c r="BI11863" s="25"/>
      <c r="BJ11863" s="25"/>
      <c r="BK11863" s="25"/>
    </row>
    <row r="11864" spans="60:63" ht="14.25" x14ac:dyDescent="0.2">
      <c r="BH11864" s="25"/>
      <c r="BI11864" s="25"/>
      <c r="BJ11864" s="25"/>
      <c r="BK11864" s="25"/>
    </row>
    <row r="11865" spans="60:63" ht="14.25" x14ac:dyDescent="0.2">
      <c r="BH11865" s="25"/>
      <c r="BI11865" s="25"/>
      <c r="BJ11865" s="25"/>
      <c r="BK11865" s="25"/>
    </row>
    <row r="11866" spans="60:63" ht="14.25" x14ac:dyDescent="0.2">
      <c r="BH11866" s="25"/>
      <c r="BI11866" s="25"/>
      <c r="BJ11866" s="25"/>
      <c r="BK11866" s="25"/>
    </row>
    <row r="11867" spans="60:63" ht="14.25" x14ac:dyDescent="0.2">
      <c r="BH11867" s="25"/>
      <c r="BI11867" s="25"/>
      <c r="BJ11867" s="25"/>
      <c r="BK11867" s="25"/>
    </row>
    <row r="11868" spans="60:63" ht="14.25" x14ac:dyDescent="0.2">
      <c r="BH11868" s="25"/>
      <c r="BI11868" s="25"/>
      <c r="BJ11868" s="25"/>
      <c r="BK11868" s="25"/>
    </row>
    <row r="11869" spans="60:63" ht="14.25" x14ac:dyDescent="0.2">
      <c r="BH11869" s="25"/>
      <c r="BI11869" s="25"/>
      <c r="BJ11869" s="25"/>
      <c r="BK11869" s="25"/>
    </row>
    <row r="11870" spans="60:63" ht="14.25" x14ac:dyDescent="0.2">
      <c r="BH11870" s="25"/>
      <c r="BI11870" s="25"/>
      <c r="BJ11870" s="25"/>
      <c r="BK11870" s="25"/>
    </row>
    <row r="11871" spans="60:63" ht="14.25" x14ac:dyDescent="0.2">
      <c r="BH11871" s="25"/>
      <c r="BI11871" s="25"/>
      <c r="BJ11871" s="25"/>
      <c r="BK11871" s="25"/>
    </row>
    <row r="11872" spans="60:63" ht="14.25" x14ac:dyDescent="0.2">
      <c r="BH11872" s="25"/>
      <c r="BI11872" s="25"/>
      <c r="BJ11872" s="25"/>
      <c r="BK11872" s="25"/>
    </row>
    <row r="11873" spans="60:63" ht="14.25" x14ac:dyDescent="0.2">
      <c r="BH11873" s="25"/>
      <c r="BI11873" s="25"/>
      <c r="BJ11873" s="25"/>
      <c r="BK11873" s="25"/>
    </row>
    <row r="11874" spans="60:63" ht="14.25" x14ac:dyDescent="0.2">
      <c r="BH11874" s="25"/>
      <c r="BI11874" s="25"/>
      <c r="BJ11874" s="25"/>
      <c r="BK11874" s="25"/>
    </row>
    <row r="11875" spans="60:63" ht="14.25" x14ac:dyDescent="0.2">
      <c r="BH11875" s="25"/>
      <c r="BI11875" s="25"/>
      <c r="BJ11875" s="25"/>
      <c r="BK11875" s="25"/>
    </row>
    <row r="11876" spans="60:63" ht="14.25" x14ac:dyDescent="0.2">
      <c r="BH11876" s="25"/>
      <c r="BI11876" s="25"/>
      <c r="BJ11876" s="25"/>
      <c r="BK11876" s="25"/>
    </row>
    <row r="11877" spans="60:63" ht="14.25" x14ac:dyDescent="0.2">
      <c r="BH11877" s="25"/>
      <c r="BI11877" s="25"/>
      <c r="BJ11877" s="25"/>
      <c r="BK11877" s="25"/>
    </row>
    <row r="11878" spans="60:63" ht="14.25" x14ac:dyDescent="0.2">
      <c r="BH11878" s="25"/>
      <c r="BI11878" s="25"/>
      <c r="BJ11878" s="25"/>
      <c r="BK11878" s="25"/>
    </row>
    <row r="11879" spans="60:63" ht="14.25" x14ac:dyDescent="0.2">
      <c r="BH11879" s="25"/>
      <c r="BI11879" s="25"/>
      <c r="BJ11879" s="25"/>
      <c r="BK11879" s="25"/>
    </row>
    <row r="11880" spans="60:63" ht="14.25" x14ac:dyDescent="0.2">
      <c r="BH11880" s="25"/>
      <c r="BI11880" s="25"/>
      <c r="BJ11880" s="25"/>
      <c r="BK11880" s="25"/>
    </row>
    <row r="11881" spans="60:63" ht="14.25" x14ac:dyDescent="0.2">
      <c r="BH11881" s="25"/>
      <c r="BI11881" s="25"/>
      <c r="BJ11881" s="25"/>
      <c r="BK11881" s="25"/>
    </row>
    <row r="11882" spans="60:63" ht="14.25" x14ac:dyDescent="0.2">
      <c r="BH11882" s="25"/>
      <c r="BI11882" s="25"/>
      <c r="BJ11882" s="25"/>
      <c r="BK11882" s="25"/>
    </row>
    <row r="11883" spans="60:63" ht="14.25" x14ac:dyDescent="0.2">
      <c r="BH11883" s="25"/>
      <c r="BI11883" s="25"/>
      <c r="BJ11883" s="25"/>
      <c r="BK11883" s="25"/>
    </row>
    <row r="11884" spans="60:63" ht="14.25" x14ac:dyDescent="0.2">
      <c r="BH11884" s="25"/>
      <c r="BI11884" s="25"/>
      <c r="BJ11884" s="25"/>
      <c r="BK11884" s="25"/>
    </row>
    <row r="11885" spans="60:63" ht="14.25" x14ac:dyDescent="0.2">
      <c r="BH11885" s="25"/>
      <c r="BI11885" s="25"/>
      <c r="BJ11885" s="25"/>
      <c r="BK11885" s="25"/>
    </row>
    <row r="11886" spans="60:63" ht="14.25" x14ac:dyDescent="0.2">
      <c r="BH11886" s="25"/>
      <c r="BI11886" s="25"/>
      <c r="BJ11886" s="25"/>
      <c r="BK11886" s="25"/>
    </row>
    <row r="11887" spans="60:63" ht="14.25" x14ac:dyDescent="0.2">
      <c r="BH11887" s="25"/>
      <c r="BI11887" s="25"/>
      <c r="BJ11887" s="25"/>
      <c r="BK11887" s="25"/>
    </row>
    <row r="11888" spans="60:63" ht="14.25" x14ac:dyDescent="0.2">
      <c r="BH11888" s="25"/>
      <c r="BI11888" s="25"/>
      <c r="BJ11888" s="25"/>
      <c r="BK11888" s="25"/>
    </row>
    <row r="11889" spans="60:63" ht="14.25" x14ac:dyDescent="0.2">
      <c r="BH11889" s="25"/>
      <c r="BI11889" s="25"/>
      <c r="BJ11889" s="25"/>
      <c r="BK11889" s="25"/>
    </row>
    <row r="11890" spans="60:63" ht="14.25" x14ac:dyDescent="0.2">
      <c r="BH11890" s="25"/>
      <c r="BI11890" s="25"/>
      <c r="BJ11890" s="25"/>
      <c r="BK11890" s="25"/>
    </row>
    <row r="11891" spans="60:63" ht="14.25" x14ac:dyDescent="0.2">
      <c r="BH11891" s="25"/>
      <c r="BI11891" s="25"/>
      <c r="BJ11891" s="25"/>
      <c r="BK11891" s="25"/>
    </row>
    <row r="11892" spans="60:63" ht="14.25" x14ac:dyDescent="0.2">
      <c r="BH11892" s="25"/>
      <c r="BI11892" s="25"/>
      <c r="BJ11892" s="25"/>
      <c r="BK11892" s="25"/>
    </row>
    <row r="11893" spans="60:63" ht="14.25" x14ac:dyDescent="0.2">
      <c r="BH11893" s="25"/>
      <c r="BI11893" s="25"/>
      <c r="BJ11893" s="25"/>
      <c r="BK11893" s="25"/>
    </row>
    <row r="11894" spans="60:63" ht="14.25" x14ac:dyDescent="0.2">
      <c r="BH11894" s="25"/>
      <c r="BI11894" s="25"/>
      <c r="BJ11894" s="25"/>
      <c r="BK11894" s="25"/>
    </row>
    <row r="11895" spans="60:63" ht="14.25" x14ac:dyDescent="0.2">
      <c r="BH11895" s="25"/>
      <c r="BI11895" s="25"/>
      <c r="BJ11895" s="25"/>
      <c r="BK11895" s="25"/>
    </row>
    <row r="11896" spans="60:63" ht="14.25" x14ac:dyDescent="0.2">
      <c r="BH11896" s="25"/>
      <c r="BI11896" s="25"/>
      <c r="BJ11896" s="25"/>
      <c r="BK11896" s="25"/>
    </row>
    <row r="11897" spans="60:63" ht="14.25" x14ac:dyDescent="0.2">
      <c r="BH11897" s="25"/>
      <c r="BI11897" s="25"/>
      <c r="BJ11897" s="25"/>
      <c r="BK11897" s="25"/>
    </row>
    <row r="11898" spans="60:63" ht="14.25" x14ac:dyDescent="0.2">
      <c r="BH11898" s="25"/>
      <c r="BI11898" s="25"/>
      <c r="BJ11898" s="25"/>
      <c r="BK11898" s="25"/>
    </row>
    <row r="11899" spans="60:63" ht="14.25" x14ac:dyDescent="0.2">
      <c r="BH11899" s="25"/>
      <c r="BI11899" s="25"/>
      <c r="BJ11899" s="25"/>
      <c r="BK11899" s="25"/>
    </row>
    <row r="11900" spans="60:63" ht="14.25" x14ac:dyDescent="0.2">
      <c r="BH11900" s="25"/>
      <c r="BI11900" s="25"/>
      <c r="BJ11900" s="25"/>
      <c r="BK11900" s="25"/>
    </row>
    <row r="11901" spans="60:63" ht="14.25" x14ac:dyDescent="0.2">
      <c r="BH11901" s="25"/>
      <c r="BI11901" s="25"/>
      <c r="BJ11901" s="25"/>
      <c r="BK11901" s="25"/>
    </row>
    <row r="11902" spans="60:63" ht="14.25" x14ac:dyDescent="0.2">
      <c r="BH11902" s="25"/>
      <c r="BI11902" s="25"/>
      <c r="BJ11902" s="25"/>
      <c r="BK11902" s="25"/>
    </row>
    <row r="11903" spans="60:63" ht="14.25" x14ac:dyDescent="0.2">
      <c r="BH11903" s="25"/>
      <c r="BI11903" s="25"/>
      <c r="BJ11903" s="25"/>
      <c r="BK11903" s="25"/>
    </row>
    <row r="11904" spans="60:63" ht="14.25" x14ac:dyDescent="0.2">
      <c r="BH11904" s="25"/>
      <c r="BI11904" s="25"/>
      <c r="BJ11904" s="25"/>
      <c r="BK11904" s="25"/>
    </row>
    <row r="11905" spans="60:63" ht="14.25" x14ac:dyDescent="0.2">
      <c r="BH11905" s="25"/>
      <c r="BI11905" s="25"/>
      <c r="BJ11905" s="25"/>
      <c r="BK11905" s="25"/>
    </row>
    <row r="11906" spans="60:63" ht="14.25" x14ac:dyDescent="0.2">
      <c r="BH11906" s="25"/>
      <c r="BI11906" s="25"/>
      <c r="BJ11906" s="25"/>
      <c r="BK11906" s="25"/>
    </row>
    <row r="11907" spans="60:63" ht="14.25" x14ac:dyDescent="0.2">
      <c r="BH11907" s="25"/>
      <c r="BI11907" s="25"/>
      <c r="BJ11907" s="25"/>
      <c r="BK11907" s="25"/>
    </row>
    <row r="11908" spans="60:63" ht="14.25" x14ac:dyDescent="0.2">
      <c r="BH11908" s="25"/>
      <c r="BI11908" s="25"/>
      <c r="BJ11908" s="25"/>
      <c r="BK11908" s="25"/>
    </row>
    <row r="11909" spans="60:63" ht="14.25" x14ac:dyDescent="0.2">
      <c r="BH11909" s="25"/>
      <c r="BI11909" s="25"/>
      <c r="BJ11909" s="25"/>
      <c r="BK11909" s="25"/>
    </row>
    <row r="11910" spans="60:63" ht="14.25" x14ac:dyDescent="0.2">
      <c r="BH11910" s="25"/>
      <c r="BI11910" s="25"/>
      <c r="BJ11910" s="25"/>
      <c r="BK11910" s="25"/>
    </row>
    <row r="11911" spans="60:63" ht="14.25" x14ac:dyDescent="0.2">
      <c r="BH11911" s="25"/>
      <c r="BI11911" s="25"/>
      <c r="BJ11911" s="25"/>
      <c r="BK11911" s="25"/>
    </row>
    <row r="11912" spans="60:63" ht="14.25" x14ac:dyDescent="0.2">
      <c r="BH11912" s="25"/>
      <c r="BI11912" s="25"/>
      <c r="BJ11912" s="25"/>
      <c r="BK11912" s="25"/>
    </row>
    <row r="11913" spans="60:63" ht="14.25" x14ac:dyDescent="0.2">
      <c r="BH11913" s="25"/>
      <c r="BI11913" s="25"/>
      <c r="BJ11913" s="25"/>
      <c r="BK11913" s="25"/>
    </row>
    <row r="11914" spans="60:63" ht="14.25" x14ac:dyDescent="0.2">
      <c r="BH11914" s="25"/>
      <c r="BI11914" s="25"/>
      <c r="BJ11914" s="25"/>
      <c r="BK11914" s="25"/>
    </row>
    <row r="11915" spans="60:63" ht="14.25" x14ac:dyDescent="0.2">
      <c r="BH11915" s="25"/>
      <c r="BI11915" s="25"/>
      <c r="BJ11915" s="25"/>
      <c r="BK11915" s="25"/>
    </row>
    <row r="11916" spans="60:63" ht="14.25" x14ac:dyDescent="0.2">
      <c r="BH11916" s="25"/>
      <c r="BI11916" s="25"/>
      <c r="BJ11916" s="25"/>
      <c r="BK11916" s="25"/>
    </row>
    <row r="11917" spans="60:63" ht="14.25" x14ac:dyDescent="0.2">
      <c r="BH11917" s="25"/>
      <c r="BI11917" s="25"/>
      <c r="BJ11917" s="25"/>
      <c r="BK11917" s="25"/>
    </row>
    <row r="11918" spans="60:63" ht="14.25" x14ac:dyDescent="0.2">
      <c r="BH11918" s="25"/>
      <c r="BI11918" s="25"/>
      <c r="BJ11918" s="25"/>
      <c r="BK11918" s="25"/>
    </row>
    <row r="11919" spans="60:63" ht="14.25" x14ac:dyDescent="0.2">
      <c r="BH11919" s="25"/>
      <c r="BI11919" s="25"/>
      <c r="BJ11919" s="25"/>
      <c r="BK11919" s="25"/>
    </row>
    <row r="11920" spans="60:63" ht="14.25" x14ac:dyDescent="0.2">
      <c r="BH11920" s="25"/>
      <c r="BI11920" s="25"/>
      <c r="BJ11920" s="25"/>
      <c r="BK11920" s="25"/>
    </row>
    <row r="11921" spans="60:63" ht="14.25" x14ac:dyDescent="0.2">
      <c r="BH11921" s="25"/>
      <c r="BI11921" s="25"/>
      <c r="BJ11921" s="25"/>
      <c r="BK11921" s="25"/>
    </row>
    <row r="11922" spans="60:63" ht="14.25" x14ac:dyDescent="0.2">
      <c r="BH11922" s="25"/>
      <c r="BI11922" s="25"/>
      <c r="BJ11922" s="25"/>
      <c r="BK11922" s="25"/>
    </row>
    <row r="11923" spans="60:63" ht="14.25" x14ac:dyDescent="0.2">
      <c r="BH11923" s="25"/>
      <c r="BI11923" s="25"/>
      <c r="BJ11923" s="25"/>
      <c r="BK11923" s="25"/>
    </row>
    <row r="11924" spans="60:63" ht="14.25" x14ac:dyDescent="0.2">
      <c r="BH11924" s="25"/>
      <c r="BI11924" s="25"/>
      <c r="BJ11924" s="25"/>
      <c r="BK11924" s="25"/>
    </row>
    <row r="11925" spans="60:63" ht="14.25" x14ac:dyDescent="0.2">
      <c r="BH11925" s="25"/>
      <c r="BI11925" s="25"/>
      <c r="BJ11925" s="25"/>
      <c r="BK11925" s="25"/>
    </row>
    <row r="11926" spans="60:63" ht="14.25" x14ac:dyDescent="0.2">
      <c r="BH11926" s="25"/>
      <c r="BI11926" s="25"/>
      <c r="BJ11926" s="25"/>
      <c r="BK11926" s="25"/>
    </row>
    <row r="11927" spans="60:63" ht="14.25" x14ac:dyDescent="0.2">
      <c r="BH11927" s="25"/>
      <c r="BI11927" s="25"/>
      <c r="BJ11927" s="25"/>
      <c r="BK11927" s="25"/>
    </row>
    <row r="11928" spans="60:63" ht="14.25" x14ac:dyDescent="0.2">
      <c r="BH11928" s="25"/>
      <c r="BI11928" s="25"/>
      <c r="BJ11928" s="25"/>
      <c r="BK11928" s="25"/>
    </row>
    <row r="11929" spans="60:63" ht="14.25" x14ac:dyDescent="0.2">
      <c r="BH11929" s="25"/>
      <c r="BI11929" s="25"/>
      <c r="BJ11929" s="25"/>
      <c r="BK11929" s="25"/>
    </row>
    <row r="11930" spans="60:63" ht="14.25" x14ac:dyDescent="0.2">
      <c r="BH11930" s="25"/>
      <c r="BI11930" s="25"/>
      <c r="BJ11930" s="25"/>
      <c r="BK11930" s="25"/>
    </row>
    <row r="11931" spans="60:63" ht="14.25" x14ac:dyDescent="0.2">
      <c r="BH11931" s="25"/>
      <c r="BI11931" s="25"/>
      <c r="BJ11931" s="25"/>
      <c r="BK11931" s="25"/>
    </row>
    <row r="11932" spans="60:63" ht="14.25" x14ac:dyDescent="0.2">
      <c r="BH11932" s="25"/>
      <c r="BI11932" s="25"/>
      <c r="BJ11932" s="25"/>
      <c r="BK11932" s="25"/>
    </row>
    <row r="11933" spans="60:63" ht="14.25" x14ac:dyDescent="0.2">
      <c r="BH11933" s="25"/>
      <c r="BI11933" s="25"/>
      <c r="BJ11933" s="25"/>
      <c r="BK11933" s="25"/>
    </row>
    <row r="11934" spans="60:63" ht="14.25" x14ac:dyDescent="0.2">
      <c r="BH11934" s="25"/>
      <c r="BI11934" s="25"/>
      <c r="BJ11934" s="25"/>
      <c r="BK11934" s="25"/>
    </row>
    <row r="11935" spans="60:63" ht="14.25" x14ac:dyDescent="0.2">
      <c r="BH11935" s="25"/>
      <c r="BI11935" s="25"/>
      <c r="BJ11935" s="25"/>
      <c r="BK11935" s="25"/>
    </row>
    <row r="11936" spans="60:63" ht="14.25" x14ac:dyDescent="0.2">
      <c r="BH11936" s="25"/>
      <c r="BI11936" s="25"/>
      <c r="BJ11936" s="25"/>
      <c r="BK11936" s="25"/>
    </row>
    <row r="11937" spans="60:63" ht="14.25" x14ac:dyDescent="0.2">
      <c r="BH11937" s="25"/>
      <c r="BI11937" s="25"/>
      <c r="BJ11937" s="25"/>
      <c r="BK11937" s="25"/>
    </row>
    <row r="11938" spans="60:63" ht="14.25" x14ac:dyDescent="0.2">
      <c r="BH11938" s="25"/>
      <c r="BI11938" s="25"/>
      <c r="BJ11938" s="25"/>
      <c r="BK11938" s="25"/>
    </row>
    <row r="11939" spans="60:63" ht="14.25" x14ac:dyDescent="0.2">
      <c r="BH11939" s="25"/>
      <c r="BI11939" s="25"/>
      <c r="BJ11939" s="25"/>
      <c r="BK11939" s="25"/>
    </row>
    <row r="11940" spans="60:63" ht="14.25" x14ac:dyDescent="0.2">
      <c r="BH11940" s="25"/>
      <c r="BI11940" s="25"/>
      <c r="BJ11940" s="25"/>
      <c r="BK11940" s="25"/>
    </row>
    <row r="11941" spans="60:63" ht="14.25" x14ac:dyDescent="0.2">
      <c r="BH11941" s="25"/>
      <c r="BI11941" s="25"/>
      <c r="BJ11941" s="25"/>
      <c r="BK11941" s="25"/>
    </row>
    <row r="11942" spans="60:63" ht="14.25" x14ac:dyDescent="0.2">
      <c r="BH11942" s="25"/>
      <c r="BI11942" s="25"/>
      <c r="BJ11942" s="25"/>
      <c r="BK11942" s="25"/>
    </row>
    <row r="11943" spans="60:63" ht="14.25" x14ac:dyDescent="0.2">
      <c r="BH11943" s="25"/>
      <c r="BI11943" s="25"/>
      <c r="BJ11943" s="25"/>
      <c r="BK11943" s="25"/>
    </row>
    <row r="11944" spans="60:63" ht="14.25" x14ac:dyDescent="0.2">
      <c r="BH11944" s="25"/>
      <c r="BI11944" s="25"/>
      <c r="BJ11944" s="25"/>
      <c r="BK11944" s="25"/>
    </row>
    <row r="11945" spans="60:63" ht="14.25" x14ac:dyDescent="0.2">
      <c r="BH11945" s="25"/>
      <c r="BI11945" s="25"/>
      <c r="BJ11945" s="25"/>
      <c r="BK11945" s="25"/>
    </row>
    <row r="11946" spans="60:63" ht="14.25" x14ac:dyDescent="0.2">
      <c r="BH11946" s="25"/>
      <c r="BI11946" s="25"/>
      <c r="BJ11946" s="25"/>
      <c r="BK11946" s="25"/>
    </row>
    <row r="11947" spans="60:63" ht="14.25" x14ac:dyDescent="0.2">
      <c r="BH11947" s="25"/>
      <c r="BI11947" s="25"/>
      <c r="BJ11947" s="25"/>
      <c r="BK11947" s="25"/>
    </row>
    <row r="11948" spans="60:63" ht="14.25" x14ac:dyDescent="0.2">
      <c r="BH11948" s="25"/>
      <c r="BI11948" s="25"/>
      <c r="BJ11948" s="25"/>
      <c r="BK11948" s="25"/>
    </row>
    <row r="11949" spans="60:63" ht="14.25" x14ac:dyDescent="0.2">
      <c r="BH11949" s="25"/>
      <c r="BI11949" s="25"/>
      <c r="BJ11949" s="25"/>
      <c r="BK11949" s="25"/>
    </row>
    <row r="11950" spans="60:63" ht="14.25" x14ac:dyDescent="0.2">
      <c r="BH11950" s="25"/>
      <c r="BI11950" s="25"/>
      <c r="BJ11950" s="25"/>
      <c r="BK11950" s="25"/>
    </row>
    <row r="11951" spans="60:63" ht="14.25" x14ac:dyDescent="0.2">
      <c r="BH11951" s="25"/>
      <c r="BI11951" s="25"/>
      <c r="BJ11951" s="25"/>
      <c r="BK11951" s="25"/>
    </row>
    <row r="11952" spans="60:63" ht="14.25" x14ac:dyDescent="0.2">
      <c r="BH11952" s="25"/>
      <c r="BI11952" s="25"/>
      <c r="BJ11952" s="25"/>
      <c r="BK11952" s="25"/>
    </row>
    <row r="11953" spans="60:63" ht="14.25" x14ac:dyDescent="0.2">
      <c r="BH11953" s="25"/>
      <c r="BI11953" s="25"/>
      <c r="BJ11953" s="25"/>
      <c r="BK11953" s="25"/>
    </row>
    <row r="11954" spans="60:63" ht="14.25" x14ac:dyDescent="0.2">
      <c r="BH11954" s="25"/>
      <c r="BI11954" s="25"/>
      <c r="BJ11954" s="25"/>
      <c r="BK11954" s="25"/>
    </row>
    <row r="11955" spans="60:63" ht="14.25" x14ac:dyDescent="0.2">
      <c r="BH11955" s="25"/>
      <c r="BI11955" s="25"/>
      <c r="BJ11955" s="25"/>
      <c r="BK11955" s="25"/>
    </row>
    <row r="11956" spans="60:63" ht="14.25" x14ac:dyDescent="0.2">
      <c r="BH11956" s="25"/>
      <c r="BI11956" s="25"/>
      <c r="BJ11956" s="25"/>
      <c r="BK11956" s="25"/>
    </row>
    <row r="11957" spans="60:63" ht="14.25" x14ac:dyDescent="0.2">
      <c r="BH11957" s="25"/>
      <c r="BI11957" s="25"/>
      <c r="BJ11957" s="25"/>
      <c r="BK11957" s="25"/>
    </row>
    <row r="11958" spans="60:63" ht="14.25" x14ac:dyDescent="0.2">
      <c r="BH11958" s="25"/>
      <c r="BI11958" s="25"/>
      <c r="BJ11958" s="25"/>
      <c r="BK11958" s="25"/>
    </row>
    <row r="11959" spans="60:63" ht="14.25" x14ac:dyDescent="0.2">
      <c r="BH11959" s="25"/>
      <c r="BI11959" s="25"/>
      <c r="BJ11959" s="25"/>
      <c r="BK11959" s="25"/>
    </row>
    <row r="11960" spans="60:63" ht="14.25" x14ac:dyDescent="0.2">
      <c r="BH11960" s="25"/>
      <c r="BI11960" s="25"/>
      <c r="BJ11960" s="25"/>
      <c r="BK11960" s="25"/>
    </row>
    <row r="11961" spans="60:63" ht="14.25" x14ac:dyDescent="0.2">
      <c r="BH11961" s="25"/>
      <c r="BI11961" s="25"/>
      <c r="BJ11961" s="25"/>
      <c r="BK11961" s="25"/>
    </row>
    <row r="11962" spans="60:63" ht="14.25" x14ac:dyDescent="0.2">
      <c r="BH11962" s="25"/>
      <c r="BI11962" s="25"/>
      <c r="BJ11962" s="25"/>
      <c r="BK11962" s="25"/>
    </row>
    <row r="11963" spans="60:63" ht="14.25" x14ac:dyDescent="0.2">
      <c r="BH11963" s="25"/>
      <c r="BI11963" s="25"/>
      <c r="BJ11963" s="25"/>
      <c r="BK11963" s="25"/>
    </row>
    <row r="11964" spans="60:63" ht="14.25" x14ac:dyDescent="0.2">
      <c r="BH11964" s="25"/>
      <c r="BI11964" s="25"/>
      <c r="BJ11964" s="25"/>
      <c r="BK11964" s="25"/>
    </row>
    <row r="11965" spans="60:63" ht="14.25" x14ac:dyDescent="0.2">
      <c r="BH11965" s="25"/>
      <c r="BI11965" s="25"/>
      <c r="BJ11965" s="25"/>
      <c r="BK11965" s="25"/>
    </row>
    <row r="11966" spans="60:63" ht="14.25" x14ac:dyDescent="0.2">
      <c r="BH11966" s="25"/>
      <c r="BI11966" s="25"/>
      <c r="BJ11966" s="25"/>
      <c r="BK11966" s="25"/>
    </row>
    <row r="11967" spans="60:63" ht="14.25" x14ac:dyDescent="0.2">
      <c r="BH11967" s="25"/>
      <c r="BI11967" s="25"/>
      <c r="BJ11967" s="25"/>
      <c r="BK11967" s="25"/>
    </row>
    <row r="11968" spans="60:63" ht="14.25" x14ac:dyDescent="0.2">
      <c r="BH11968" s="25"/>
      <c r="BI11968" s="25"/>
      <c r="BJ11968" s="25"/>
      <c r="BK11968" s="25"/>
    </row>
    <row r="11969" spans="60:63" ht="14.25" x14ac:dyDescent="0.2">
      <c r="BH11969" s="25"/>
      <c r="BI11969" s="25"/>
      <c r="BJ11969" s="25"/>
      <c r="BK11969" s="25"/>
    </row>
    <row r="11970" spans="60:63" ht="14.25" x14ac:dyDescent="0.2">
      <c r="BH11970" s="25"/>
      <c r="BI11970" s="25"/>
      <c r="BJ11970" s="25"/>
      <c r="BK11970" s="25"/>
    </row>
    <row r="11971" spans="60:63" ht="14.25" x14ac:dyDescent="0.2">
      <c r="BH11971" s="25"/>
      <c r="BI11971" s="25"/>
      <c r="BJ11971" s="25"/>
      <c r="BK11971" s="25"/>
    </row>
    <row r="11972" spans="60:63" ht="14.25" x14ac:dyDescent="0.2">
      <c r="BH11972" s="25"/>
      <c r="BI11972" s="25"/>
      <c r="BJ11972" s="25"/>
      <c r="BK11972" s="25"/>
    </row>
    <row r="11973" spans="60:63" ht="14.25" x14ac:dyDescent="0.2">
      <c r="BH11973" s="25"/>
      <c r="BI11973" s="25"/>
      <c r="BJ11973" s="25"/>
      <c r="BK11973" s="25"/>
    </row>
    <row r="11974" spans="60:63" ht="14.25" x14ac:dyDescent="0.2">
      <c r="BH11974" s="25"/>
      <c r="BI11974" s="25"/>
      <c r="BJ11974" s="25"/>
      <c r="BK11974" s="25"/>
    </row>
    <row r="11975" spans="60:63" ht="14.25" x14ac:dyDescent="0.2">
      <c r="BH11975" s="25"/>
      <c r="BI11975" s="25"/>
      <c r="BJ11975" s="25"/>
      <c r="BK11975" s="25"/>
    </row>
    <row r="11976" spans="60:63" ht="14.25" x14ac:dyDescent="0.2">
      <c r="BH11976" s="25"/>
      <c r="BI11976" s="25"/>
      <c r="BJ11976" s="25"/>
      <c r="BK11976" s="25"/>
    </row>
    <row r="11977" spans="60:63" ht="14.25" x14ac:dyDescent="0.2">
      <c r="BH11977" s="25"/>
      <c r="BI11977" s="25"/>
      <c r="BJ11977" s="25"/>
      <c r="BK11977" s="25"/>
    </row>
    <row r="11978" spans="60:63" ht="14.25" x14ac:dyDescent="0.2">
      <c r="BH11978" s="25"/>
      <c r="BI11978" s="25"/>
      <c r="BJ11978" s="25"/>
      <c r="BK11978" s="25"/>
    </row>
    <row r="11979" spans="60:63" ht="14.25" x14ac:dyDescent="0.2">
      <c r="BH11979" s="25"/>
      <c r="BI11979" s="25"/>
      <c r="BJ11979" s="25"/>
      <c r="BK11979" s="25"/>
    </row>
    <row r="11980" spans="60:63" ht="14.25" x14ac:dyDescent="0.2">
      <c r="BH11980" s="25"/>
      <c r="BI11980" s="25"/>
      <c r="BJ11980" s="25"/>
      <c r="BK11980" s="25"/>
    </row>
    <row r="11981" spans="60:63" ht="14.25" x14ac:dyDescent="0.2">
      <c r="BH11981" s="25"/>
      <c r="BI11981" s="25"/>
      <c r="BJ11981" s="25"/>
      <c r="BK11981" s="25"/>
    </row>
    <row r="11982" spans="60:63" ht="14.25" x14ac:dyDescent="0.2">
      <c r="BH11982" s="25"/>
      <c r="BI11982" s="25"/>
      <c r="BJ11982" s="25"/>
      <c r="BK11982" s="25"/>
    </row>
    <row r="11983" spans="60:63" ht="14.25" x14ac:dyDescent="0.2">
      <c r="BH11983" s="25"/>
      <c r="BI11983" s="25"/>
      <c r="BJ11983" s="25"/>
      <c r="BK11983" s="25"/>
    </row>
    <row r="11984" spans="60:63" ht="14.25" x14ac:dyDescent="0.2">
      <c r="BH11984" s="25"/>
      <c r="BI11984" s="25"/>
      <c r="BJ11984" s="25"/>
      <c r="BK11984" s="25"/>
    </row>
    <row r="11985" spans="60:63" ht="14.25" x14ac:dyDescent="0.2">
      <c r="BH11985" s="25"/>
      <c r="BI11985" s="25"/>
      <c r="BJ11985" s="25"/>
      <c r="BK11985" s="25"/>
    </row>
    <row r="11986" spans="60:63" ht="14.25" x14ac:dyDescent="0.2">
      <c r="BH11986" s="25"/>
      <c r="BI11986" s="25"/>
      <c r="BJ11986" s="25"/>
      <c r="BK11986" s="25"/>
    </row>
    <row r="11987" spans="60:63" ht="14.25" x14ac:dyDescent="0.2">
      <c r="BH11987" s="25"/>
      <c r="BI11987" s="25"/>
      <c r="BJ11987" s="25"/>
      <c r="BK11987" s="25"/>
    </row>
    <row r="11988" spans="60:63" ht="14.25" x14ac:dyDescent="0.2">
      <c r="BH11988" s="25"/>
      <c r="BI11988" s="25"/>
      <c r="BJ11988" s="25"/>
      <c r="BK11988" s="25"/>
    </row>
    <row r="11989" spans="60:63" ht="14.25" x14ac:dyDescent="0.2">
      <c r="BH11989" s="25"/>
      <c r="BI11989" s="25"/>
      <c r="BJ11989" s="25"/>
      <c r="BK11989" s="25"/>
    </row>
    <row r="11990" spans="60:63" ht="14.25" x14ac:dyDescent="0.2">
      <c r="BH11990" s="25"/>
      <c r="BI11990" s="25"/>
      <c r="BJ11990" s="25"/>
      <c r="BK11990" s="25"/>
    </row>
    <row r="11991" spans="60:63" ht="14.25" x14ac:dyDescent="0.2">
      <c r="BH11991" s="25"/>
      <c r="BI11991" s="25"/>
      <c r="BJ11991" s="25"/>
      <c r="BK11991" s="25"/>
    </row>
    <row r="11992" spans="60:63" ht="14.25" x14ac:dyDescent="0.2">
      <c r="BH11992" s="25"/>
      <c r="BI11992" s="25"/>
      <c r="BJ11992" s="25"/>
      <c r="BK11992" s="25"/>
    </row>
    <row r="11993" spans="60:63" ht="14.25" x14ac:dyDescent="0.2">
      <c r="BH11993" s="25"/>
      <c r="BI11993" s="25"/>
      <c r="BJ11993" s="25"/>
      <c r="BK11993" s="25"/>
    </row>
    <row r="11994" spans="60:63" ht="14.25" x14ac:dyDescent="0.2">
      <c r="BH11994" s="25"/>
      <c r="BI11994" s="25"/>
      <c r="BJ11994" s="25"/>
      <c r="BK11994" s="25"/>
    </row>
    <row r="11995" spans="60:63" ht="14.25" x14ac:dyDescent="0.2">
      <c r="BH11995" s="25"/>
      <c r="BI11995" s="25"/>
      <c r="BJ11995" s="25"/>
      <c r="BK11995" s="25"/>
    </row>
    <row r="11996" spans="60:63" ht="14.25" x14ac:dyDescent="0.2">
      <c r="BH11996" s="25"/>
      <c r="BI11996" s="25"/>
      <c r="BJ11996" s="25"/>
      <c r="BK11996" s="25"/>
    </row>
    <row r="11997" spans="60:63" ht="14.25" x14ac:dyDescent="0.2">
      <c r="BH11997" s="25"/>
      <c r="BI11997" s="25"/>
      <c r="BJ11997" s="25"/>
      <c r="BK11997" s="25"/>
    </row>
    <row r="11998" spans="60:63" ht="14.25" x14ac:dyDescent="0.2">
      <c r="BH11998" s="25"/>
      <c r="BI11998" s="25"/>
      <c r="BJ11998" s="25"/>
      <c r="BK11998" s="25"/>
    </row>
    <row r="11999" spans="60:63" ht="14.25" x14ac:dyDescent="0.2">
      <c r="BH11999" s="25"/>
      <c r="BI11999" s="25"/>
      <c r="BJ11999" s="25"/>
      <c r="BK11999" s="25"/>
    </row>
    <row r="12000" spans="60:63" ht="14.25" x14ac:dyDescent="0.2">
      <c r="BH12000" s="25"/>
      <c r="BI12000" s="25"/>
      <c r="BJ12000" s="25"/>
      <c r="BK12000" s="25"/>
    </row>
    <row r="12001" spans="60:63" ht="14.25" x14ac:dyDescent="0.2">
      <c r="BH12001" s="25"/>
      <c r="BI12001" s="25"/>
      <c r="BJ12001" s="25"/>
      <c r="BK12001" s="25"/>
    </row>
    <row r="12002" spans="60:63" ht="14.25" x14ac:dyDescent="0.2">
      <c r="BH12002" s="25"/>
      <c r="BI12002" s="25"/>
      <c r="BJ12002" s="25"/>
      <c r="BK12002" s="25"/>
    </row>
    <row r="12003" spans="60:63" ht="14.25" x14ac:dyDescent="0.2">
      <c r="BH12003" s="25"/>
      <c r="BI12003" s="25"/>
      <c r="BJ12003" s="25"/>
      <c r="BK12003" s="25"/>
    </row>
    <row r="12004" spans="60:63" ht="14.25" x14ac:dyDescent="0.2">
      <c r="BH12004" s="25"/>
      <c r="BI12004" s="25"/>
      <c r="BJ12004" s="25"/>
      <c r="BK12004" s="25"/>
    </row>
    <row r="12005" spans="60:63" ht="14.25" x14ac:dyDescent="0.2">
      <c r="BH12005" s="25"/>
      <c r="BI12005" s="25"/>
      <c r="BJ12005" s="25"/>
      <c r="BK12005" s="25"/>
    </row>
    <row r="12006" spans="60:63" ht="14.25" x14ac:dyDescent="0.2">
      <c r="BH12006" s="25"/>
      <c r="BI12006" s="25"/>
      <c r="BJ12006" s="25"/>
      <c r="BK12006" s="25"/>
    </row>
    <row r="12007" spans="60:63" ht="14.25" x14ac:dyDescent="0.2">
      <c r="BH12007" s="25"/>
      <c r="BI12007" s="25"/>
      <c r="BJ12007" s="25"/>
      <c r="BK12007" s="25"/>
    </row>
    <row r="12008" spans="60:63" ht="14.25" x14ac:dyDescent="0.2">
      <c r="BH12008" s="25"/>
      <c r="BI12008" s="25"/>
      <c r="BJ12008" s="25"/>
      <c r="BK12008" s="25"/>
    </row>
    <row r="12009" spans="60:63" ht="14.25" x14ac:dyDescent="0.2">
      <c r="BH12009" s="25"/>
      <c r="BI12009" s="25"/>
      <c r="BJ12009" s="25"/>
      <c r="BK12009" s="25"/>
    </row>
    <row r="12010" spans="60:63" ht="14.25" x14ac:dyDescent="0.2">
      <c r="BH12010" s="25"/>
      <c r="BI12010" s="25"/>
      <c r="BJ12010" s="25"/>
      <c r="BK12010" s="25"/>
    </row>
    <row r="12011" spans="60:63" ht="14.25" x14ac:dyDescent="0.2">
      <c r="BH12011" s="25"/>
      <c r="BI12011" s="25"/>
      <c r="BJ12011" s="25"/>
      <c r="BK12011" s="25"/>
    </row>
    <row r="12012" spans="60:63" ht="14.25" x14ac:dyDescent="0.2">
      <c r="BH12012" s="25"/>
      <c r="BI12012" s="25"/>
      <c r="BJ12012" s="25"/>
      <c r="BK12012" s="25"/>
    </row>
    <row r="12013" spans="60:63" ht="14.25" x14ac:dyDescent="0.2">
      <c r="BH12013" s="25"/>
      <c r="BI12013" s="25"/>
      <c r="BJ12013" s="25"/>
      <c r="BK12013" s="25"/>
    </row>
    <row r="12014" spans="60:63" ht="14.25" x14ac:dyDescent="0.2">
      <c r="BH12014" s="25"/>
      <c r="BI12014" s="25"/>
      <c r="BJ12014" s="25"/>
      <c r="BK12014" s="25"/>
    </row>
    <row r="12015" spans="60:63" ht="14.25" x14ac:dyDescent="0.2">
      <c r="BH12015" s="25"/>
      <c r="BI12015" s="25"/>
      <c r="BJ12015" s="25"/>
      <c r="BK12015" s="25"/>
    </row>
    <row r="12016" spans="60:63" ht="14.25" x14ac:dyDescent="0.2">
      <c r="BH12016" s="25"/>
      <c r="BI12016" s="25"/>
      <c r="BJ12016" s="25"/>
      <c r="BK12016" s="25"/>
    </row>
    <row r="12017" spans="60:63" ht="14.25" x14ac:dyDescent="0.2">
      <c r="BH12017" s="25"/>
      <c r="BI12017" s="25"/>
      <c r="BJ12017" s="25"/>
      <c r="BK12017" s="25"/>
    </row>
    <row r="12018" spans="60:63" ht="14.25" x14ac:dyDescent="0.2">
      <c r="BH12018" s="25"/>
      <c r="BI12018" s="25"/>
      <c r="BJ12018" s="25"/>
      <c r="BK12018" s="25"/>
    </row>
    <row r="12019" spans="60:63" ht="14.25" x14ac:dyDescent="0.2">
      <c r="BH12019" s="25"/>
      <c r="BI12019" s="25"/>
      <c r="BJ12019" s="25"/>
      <c r="BK12019" s="25"/>
    </row>
    <row r="12020" spans="60:63" ht="14.25" x14ac:dyDescent="0.2">
      <c r="BH12020" s="25"/>
      <c r="BI12020" s="25"/>
      <c r="BJ12020" s="25"/>
      <c r="BK12020" s="25"/>
    </row>
    <row r="12021" spans="60:63" ht="14.25" x14ac:dyDescent="0.2">
      <c r="BH12021" s="25"/>
      <c r="BI12021" s="25"/>
      <c r="BJ12021" s="25"/>
      <c r="BK12021" s="25"/>
    </row>
    <row r="12022" spans="60:63" ht="14.25" x14ac:dyDescent="0.2">
      <c r="BH12022" s="25"/>
      <c r="BI12022" s="25"/>
      <c r="BJ12022" s="25"/>
      <c r="BK12022" s="25"/>
    </row>
    <row r="12023" spans="60:63" ht="14.25" x14ac:dyDescent="0.2">
      <c r="BH12023" s="25"/>
      <c r="BI12023" s="25"/>
      <c r="BJ12023" s="25"/>
      <c r="BK12023" s="25"/>
    </row>
    <row r="12024" spans="60:63" ht="14.25" x14ac:dyDescent="0.2">
      <c r="BH12024" s="25"/>
      <c r="BI12024" s="25"/>
      <c r="BJ12024" s="25"/>
      <c r="BK12024" s="25"/>
    </row>
    <row r="12025" spans="60:63" ht="14.25" x14ac:dyDescent="0.2">
      <c r="BH12025" s="25"/>
      <c r="BI12025" s="25"/>
      <c r="BJ12025" s="25"/>
      <c r="BK12025" s="25"/>
    </row>
    <row r="12026" spans="60:63" ht="14.25" x14ac:dyDescent="0.2">
      <c r="BH12026" s="25"/>
      <c r="BI12026" s="25"/>
      <c r="BJ12026" s="25"/>
      <c r="BK12026" s="25"/>
    </row>
    <row r="12027" spans="60:63" ht="14.25" x14ac:dyDescent="0.2">
      <c r="BH12027" s="25"/>
      <c r="BI12027" s="25"/>
      <c r="BJ12027" s="25"/>
      <c r="BK12027" s="25"/>
    </row>
    <row r="12028" spans="60:63" ht="14.25" x14ac:dyDescent="0.2">
      <c r="BH12028" s="25"/>
      <c r="BI12028" s="25"/>
      <c r="BJ12028" s="25"/>
      <c r="BK12028" s="25"/>
    </row>
    <row r="12029" spans="60:63" ht="14.25" x14ac:dyDescent="0.2">
      <c r="BH12029" s="25"/>
      <c r="BI12029" s="25"/>
      <c r="BJ12029" s="25"/>
      <c r="BK12029" s="25"/>
    </row>
    <row r="12030" spans="60:63" ht="14.25" x14ac:dyDescent="0.2">
      <c r="BH12030" s="25"/>
      <c r="BI12030" s="25"/>
      <c r="BJ12030" s="25"/>
      <c r="BK12030" s="25"/>
    </row>
    <row r="12031" spans="60:63" ht="14.25" x14ac:dyDescent="0.2">
      <c r="BH12031" s="25"/>
      <c r="BI12031" s="25"/>
      <c r="BJ12031" s="25"/>
      <c r="BK12031" s="25"/>
    </row>
    <row r="12032" spans="60:63" ht="14.25" x14ac:dyDescent="0.2">
      <c r="BH12032" s="25"/>
      <c r="BI12032" s="25"/>
      <c r="BJ12032" s="25"/>
      <c r="BK12032" s="25"/>
    </row>
    <row r="12033" spans="60:63" ht="14.25" x14ac:dyDescent="0.2">
      <c r="BH12033" s="25"/>
      <c r="BI12033" s="25"/>
      <c r="BJ12033" s="25"/>
      <c r="BK12033" s="25"/>
    </row>
    <row r="12034" spans="60:63" ht="14.25" x14ac:dyDescent="0.2">
      <c r="BH12034" s="25"/>
      <c r="BI12034" s="25"/>
      <c r="BJ12034" s="25"/>
      <c r="BK12034" s="25"/>
    </row>
    <row r="12035" spans="60:63" ht="14.25" x14ac:dyDescent="0.2">
      <c r="BH12035" s="25"/>
      <c r="BI12035" s="25"/>
      <c r="BJ12035" s="25"/>
      <c r="BK12035" s="25"/>
    </row>
    <row r="12036" spans="60:63" ht="14.25" x14ac:dyDescent="0.2">
      <c r="BH12036" s="25"/>
      <c r="BI12036" s="25"/>
      <c r="BJ12036" s="25"/>
      <c r="BK12036" s="25"/>
    </row>
    <row r="12037" spans="60:63" ht="14.25" x14ac:dyDescent="0.2">
      <c r="BH12037" s="25"/>
      <c r="BI12037" s="25"/>
      <c r="BJ12037" s="25"/>
      <c r="BK12037" s="25"/>
    </row>
    <row r="12038" spans="60:63" ht="14.25" x14ac:dyDescent="0.2">
      <c r="BH12038" s="25"/>
      <c r="BI12038" s="25"/>
      <c r="BJ12038" s="25"/>
      <c r="BK12038" s="25"/>
    </row>
    <row r="12039" spans="60:63" ht="14.25" x14ac:dyDescent="0.2">
      <c r="BH12039" s="25"/>
      <c r="BI12039" s="25"/>
      <c r="BJ12039" s="25"/>
      <c r="BK12039" s="25"/>
    </row>
    <row r="12040" spans="60:63" ht="14.25" x14ac:dyDescent="0.2">
      <c r="BH12040" s="25"/>
      <c r="BI12040" s="25"/>
      <c r="BJ12040" s="25"/>
      <c r="BK12040" s="25"/>
    </row>
    <row r="12041" spans="60:63" ht="14.25" x14ac:dyDescent="0.2">
      <c r="BH12041" s="25"/>
      <c r="BI12041" s="25"/>
      <c r="BJ12041" s="25"/>
      <c r="BK12041" s="25"/>
    </row>
    <row r="12042" spans="60:63" ht="14.25" x14ac:dyDescent="0.2">
      <c r="BH12042" s="25"/>
      <c r="BI12042" s="25"/>
      <c r="BJ12042" s="25"/>
      <c r="BK12042" s="25"/>
    </row>
    <row r="12043" spans="60:63" ht="14.25" x14ac:dyDescent="0.2">
      <c r="BH12043" s="25"/>
      <c r="BI12043" s="25"/>
      <c r="BJ12043" s="25"/>
      <c r="BK12043" s="25"/>
    </row>
    <row r="12044" spans="60:63" ht="14.25" x14ac:dyDescent="0.2">
      <c r="BH12044" s="25"/>
      <c r="BI12044" s="25"/>
      <c r="BJ12044" s="25"/>
      <c r="BK12044" s="25"/>
    </row>
    <row r="12045" spans="60:63" ht="14.25" x14ac:dyDescent="0.2">
      <c r="BH12045" s="25"/>
      <c r="BI12045" s="25"/>
      <c r="BJ12045" s="25"/>
      <c r="BK12045" s="25"/>
    </row>
    <row r="12046" spans="60:63" ht="14.25" x14ac:dyDescent="0.2">
      <c r="BH12046" s="25"/>
      <c r="BI12046" s="25"/>
      <c r="BJ12046" s="25"/>
      <c r="BK12046" s="25"/>
    </row>
    <row r="12047" spans="60:63" ht="14.25" x14ac:dyDescent="0.2">
      <c r="BH12047" s="25"/>
      <c r="BI12047" s="25"/>
      <c r="BJ12047" s="25"/>
      <c r="BK12047" s="25"/>
    </row>
    <row r="12048" spans="60:63" ht="14.25" x14ac:dyDescent="0.2">
      <c r="BH12048" s="25"/>
      <c r="BI12048" s="25"/>
      <c r="BJ12048" s="25"/>
      <c r="BK12048" s="25"/>
    </row>
    <row r="12049" spans="60:63" ht="14.25" x14ac:dyDescent="0.2">
      <c r="BH12049" s="25"/>
      <c r="BI12049" s="25"/>
      <c r="BJ12049" s="25"/>
      <c r="BK12049" s="25"/>
    </row>
    <row r="12050" spans="60:63" ht="14.25" x14ac:dyDescent="0.2">
      <c r="BH12050" s="25"/>
      <c r="BI12050" s="25"/>
      <c r="BJ12050" s="25"/>
      <c r="BK12050" s="25"/>
    </row>
    <row r="12051" spans="60:63" ht="14.25" x14ac:dyDescent="0.2">
      <c r="BH12051" s="25"/>
      <c r="BI12051" s="25"/>
      <c r="BJ12051" s="25"/>
      <c r="BK12051" s="25"/>
    </row>
    <row r="12052" spans="60:63" ht="14.25" x14ac:dyDescent="0.2">
      <c r="BH12052" s="25"/>
      <c r="BI12052" s="25"/>
      <c r="BJ12052" s="25"/>
      <c r="BK12052" s="25"/>
    </row>
    <row r="12053" spans="60:63" ht="14.25" x14ac:dyDescent="0.2">
      <c r="BH12053" s="25"/>
      <c r="BI12053" s="25"/>
      <c r="BJ12053" s="25"/>
      <c r="BK12053" s="25"/>
    </row>
    <row r="12054" spans="60:63" ht="14.25" x14ac:dyDescent="0.2">
      <c r="BH12054" s="25"/>
      <c r="BI12054" s="25"/>
      <c r="BJ12054" s="25"/>
      <c r="BK12054" s="25"/>
    </row>
    <row r="12055" spans="60:63" ht="14.25" x14ac:dyDescent="0.2">
      <c r="BH12055" s="25"/>
      <c r="BI12055" s="25"/>
      <c r="BJ12055" s="25"/>
      <c r="BK12055" s="25"/>
    </row>
    <row r="12056" spans="60:63" ht="14.25" x14ac:dyDescent="0.2">
      <c r="BH12056" s="25"/>
      <c r="BI12056" s="25"/>
      <c r="BJ12056" s="25"/>
      <c r="BK12056" s="25"/>
    </row>
    <row r="12057" spans="60:63" ht="14.25" x14ac:dyDescent="0.2">
      <c r="BH12057" s="25"/>
      <c r="BI12057" s="25"/>
      <c r="BJ12057" s="25"/>
      <c r="BK12057" s="25"/>
    </row>
    <row r="12058" spans="60:63" ht="14.25" x14ac:dyDescent="0.2">
      <c r="BH12058" s="25"/>
      <c r="BI12058" s="25"/>
      <c r="BJ12058" s="25"/>
      <c r="BK12058" s="25"/>
    </row>
    <row r="12059" spans="60:63" ht="14.25" x14ac:dyDescent="0.2">
      <c r="BH12059" s="25"/>
      <c r="BI12059" s="25"/>
      <c r="BJ12059" s="25"/>
      <c r="BK12059" s="25"/>
    </row>
    <row r="12060" spans="60:63" ht="14.25" x14ac:dyDescent="0.2">
      <c r="BH12060" s="25"/>
      <c r="BI12060" s="25"/>
      <c r="BJ12060" s="25"/>
      <c r="BK12060" s="25"/>
    </row>
    <row r="12061" spans="60:63" ht="14.25" x14ac:dyDescent="0.2">
      <c r="BH12061" s="25"/>
      <c r="BI12061" s="25"/>
      <c r="BJ12061" s="25"/>
      <c r="BK12061" s="25"/>
    </row>
    <row r="12062" spans="60:63" ht="14.25" x14ac:dyDescent="0.2">
      <c r="BH12062" s="25"/>
      <c r="BI12062" s="25"/>
      <c r="BJ12062" s="25"/>
      <c r="BK12062" s="25"/>
    </row>
    <row r="12063" spans="60:63" ht="14.25" x14ac:dyDescent="0.2">
      <c r="BH12063" s="25"/>
      <c r="BI12063" s="25"/>
      <c r="BJ12063" s="25"/>
      <c r="BK12063" s="25"/>
    </row>
    <row r="12064" spans="60:63" ht="14.25" x14ac:dyDescent="0.2">
      <c r="BH12064" s="25"/>
      <c r="BI12064" s="25"/>
      <c r="BJ12064" s="25"/>
      <c r="BK12064" s="25"/>
    </row>
    <row r="12065" spans="60:63" ht="14.25" x14ac:dyDescent="0.2">
      <c r="BH12065" s="25"/>
      <c r="BI12065" s="25"/>
      <c r="BJ12065" s="25"/>
      <c r="BK12065" s="25"/>
    </row>
    <row r="12066" spans="60:63" ht="14.25" x14ac:dyDescent="0.2">
      <c r="BH12066" s="25"/>
      <c r="BI12066" s="25"/>
      <c r="BJ12066" s="25"/>
      <c r="BK12066" s="25"/>
    </row>
    <row r="12067" spans="60:63" ht="14.25" x14ac:dyDescent="0.2">
      <c r="BH12067" s="25"/>
      <c r="BI12067" s="25"/>
      <c r="BJ12067" s="25"/>
      <c r="BK12067" s="25"/>
    </row>
    <row r="12068" spans="60:63" ht="14.25" x14ac:dyDescent="0.2">
      <c r="BH12068" s="25"/>
      <c r="BI12068" s="25"/>
      <c r="BJ12068" s="25"/>
      <c r="BK12068" s="25"/>
    </row>
    <row r="12069" spans="60:63" ht="14.25" x14ac:dyDescent="0.2">
      <c r="BH12069" s="25"/>
      <c r="BI12069" s="25"/>
      <c r="BJ12069" s="25"/>
      <c r="BK12069" s="25"/>
    </row>
    <row r="12070" spans="60:63" ht="14.25" x14ac:dyDescent="0.2">
      <c r="BH12070" s="25"/>
      <c r="BI12070" s="25"/>
      <c r="BJ12070" s="25"/>
      <c r="BK12070" s="25"/>
    </row>
    <row r="12071" spans="60:63" ht="14.25" x14ac:dyDescent="0.2">
      <c r="BH12071" s="25"/>
      <c r="BI12071" s="25"/>
      <c r="BJ12071" s="25"/>
      <c r="BK12071" s="25"/>
    </row>
    <row r="12072" spans="60:63" ht="14.25" x14ac:dyDescent="0.2">
      <c r="BH12072" s="25"/>
      <c r="BI12072" s="25"/>
      <c r="BJ12072" s="25"/>
      <c r="BK12072" s="25"/>
    </row>
    <row r="12073" spans="60:63" ht="14.25" x14ac:dyDescent="0.2">
      <c r="BH12073" s="25"/>
      <c r="BI12073" s="25"/>
      <c r="BJ12073" s="25"/>
      <c r="BK12073" s="25"/>
    </row>
    <row r="12074" spans="60:63" ht="14.25" x14ac:dyDescent="0.2">
      <c r="BH12074" s="25"/>
      <c r="BI12074" s="25"/>
      <c r="BJ12074" s="25"/>
      <c r="BK12074" s="25"/>
    </row>
    <row r="12075" spans="60:63" ht="14.25" x14ac:dyDescent="0.2">
      <c r="BH12075" s="25"/>
      <c r="BI12075" s="25"/>
      <c r="BJ12075" s="25"/>
      <c r="BK12075" s="25"/>
    </row>
    <row r="12076" spans="60:63" ht="14.25" x14ac:dyDescent="0.2">
      <c r="BH12076" s="25"/>
      <c r="BI12076" s="25"/>
      <c r="BJ12076" s="25"/>
      <c r="BK12076" s="25"/>
    </row>
    <row r="12077" spans="60:63" ht="14.25" x14ac:dyDescent="0.2">
      <c r="BH12077" s="25"/>
      <c r="BI12077" s="25"/>
      <c r="BJ12077" s="25"/>
      <c r="BK12077" s="25"/>
    </row>
    <row r="12078" spans="60:63" ht="14.25" x14ac:dyDescent="0.2">
      <c r="BH12078" s="25"/>
      <c r="BI12078" s="25"/>
      <c r="BJ12078" s="25"/>
      <c r="BK12078" s="25"/>
    </row>
    <row r="12079" spans="60:63" ht="14.25" x14ac:dyDescent="0.2">
      <c r="BH12079" s="25"/>
      <c r="BI12079" s="25"/>
      <c r="BJ12079" s="25"/>
      <c r="BK12079" s="25"/>
    </row>
    <row r="12080" spans="60:63" ht="14.25" x14ac:dyDescent="0.2">
      <c r="BH12080" s="25"/>
      <c r="BI12080" s="25"/>
      <c r="BJ12080" s="25"/>
      <c r="BK12080" s="25"/>
    </row>
    <row r="12081" spans="60:63" ht="14.25" x14ac:dyDescent="0.2">
      <c r="BH12081" s="25"/>
      <c r="BI12081" s="25"/>
      <c r="BJ12081" s="25"/>
      <c r="BK12081" s="25"/>
    </row>
    <row r="12082" spans="60:63" ht="14.25" x14ac:dyDescent="0.2">
      <c r="BH12082" s="25"/>
      <c r="BI12082" s="25"/>
      <c r="BJ12082" s="25"/>
      <c r="BK12082" s="25"/>
    </row>
    <row r="12083" spans="60:63" ht="14.25" x14ac:dyDescent="0.2">
      <c r="BH12083" s="25"/>
      <c r="BI12083" s="25"/>
      <c r="BJ12083" s="25"/>
      <c r="BK12083" s="25"/>
    </row>
    <row r="12084" spans="60:63" ht="14.25" x14ac:dyDescent="0.2">
      <c r="BH12084" s="25"/>
      <c r="BI12084" s="25"/>
      <c r="BJ12084" s="25"/>
      <c r="BK12084" s="25"/>
    </row>
    <row r="12085" spans="60:63" ht="14.25" x14ac:dyDescent="0.2">
      <c r="BH12085" s="25"/>
      <c r="BI12085" s="25"/>
      <c r="BJ12085" s="25"/>
      <c r="BK12085" s="25"/>
    </row>
    <row r="12086" spans="60:63" ht="14.25" x14ac:dyDescent="0.2">
      <c r="BH12086" s="25"/>
      <c r="BI12086" s="25"/>
      <c r="BJ12086" s="25"/>
      <c r="BK12086" s="25"/>
    </row>
    <row r="12087" spans="60:63" ht="14.25" x14ac:dyDescent="0.2">
      <c r="BH12087" s="25"/>
      <c r="BI12087" s="25"/>
      <c r="BJ12087" s="25"/>
      <c r="BK12087" s="25"/>
    </row>
    <row r="12088" spans="60:63" ht="14.25" x14ac:dyDescent="0.2">
      <c r="BH12088" s="25"/>
      <c r="BI12088" s="25"/>
      <c r="BJ12088" s="25"/>
      <c r="BK12088" s="25"/>
    </row>
    <row r="12089" spans="60:63" ht="14.25" x14ac:dyDescent="0.2">
      <c r="BH12089" s="25"/>
      <c r="BI12089" s="25"/>
      <c r="BJ12089" s="25"/>
      <c r="BK12089" s="25"/>
    </row>
    <row r="12090" spans="60:63" ht="14.25" x14ac:dyDescent="0.2">
      <c r="BH12090" s="25"/>
      <c r="BI12090" s="25"/>
      <c r="BJ12090" s="25"/>
      <c r="BK12090" s="25"/>
    </row>
    <row r="12091" spans="60:63" ht="14.25" x14ac:dyDescent="0.2">
      <c r="BH12091" s="25"/>
      <c r="BI12091" s="25"/>
      <c r="BJ12091" s="25"/>
      <c r="BK12091" s="25"/>
    </row>
    <row r="12092" spans="60:63" ht="14.25" x14ac:dyDescent="0.2">
      <c r="BH12092" s="25"/>
      <c r="BI12092" s="25"/>
      <c r="BJ12092" s="25"/>
      <c r="BK12092" s="25"/>
    </row>
    <row r="12093" spans="60:63" ht="14.25" x14ac:dyDescent="0.2">
      <c r="BH12093" s="25"/>
      <c r="BI12093" s="25"/>
      <c r="BJ12093" s="25"/>
      <c r="BK12093" s="25"/>
    </row>
    <row r="12094" spans="60:63" ht="14.25" x14ac:dyDescent="0.2">
      <c r="BH12094" s="25"/>
      <c r="BI12094" s="25"/>
      <c r="BJ12094" s="25"/>
      <c r="BK12094" s="25"/>
    </row>
    <row r="12095" spans="60:63" ht="14.25" x14ac:dyDescent="0.2">
      <c r="BH12095" s="25"/>
      <c r="BI12095" s="25"/>
      <c r="BJ12095" s="25"/>
      <c r="BK12095" s="25"/>
    </row>
    <row r="12096" spans="60:63" ht="14.25" x14ac:dyDescent="0.2">
      <c r="BH12096" s="25"/>
      <c r="BI12096" s="25"/>
      <c r="BJ12096" s="25"/>
      <c r="BK12096" s="25"/>
    </row>
    <row r="12097" spans="60:63" ht="14.25" x14ac:dyDescent="0.2">
      <c r="BH12097" s="25"/>
      <c r="BI12097" s="25"/>
      <c r="BJ12097" s="25"/>
      <c r="BK12097" s="25"/>
    </row>
    <row r="12098" spans="60:63" ht="14.25" x14ac:dyDescent="0.2">
      <c r="BH12098" s="25"/>
      <c r="BI12098" s="25"/>
      <c r="BJ12098" s="25"/>
      <c r="BK12098" s="25"/>
    </row>
    <row r="12099" spans="60:63" ht="14.25" x14ac:dyDescent="0.2">
      <c r="BH12099" s="25"/>
      <c r="BI12099" s="25"/>
      <c r="BJ12099" s="25"/>
      <c r="BK12099" s="25"/>
    </row>
    <row r="12100" spans="60:63" ht="14.25" x14ac:dyDescent="0.2">
      <c r="BH12100" s="25"/>
      <c r="BI12100" s="25"/>
      <c r="BJ12100" s="25"/>
      <c r="BK12100" s="25"/>
    </row>
    <row r="12101" spans="60:63" ht="14.25" x14ac:dyDescent="0.2">
      <c r="BH12101" s="25"/>
      <c r="BI12101" s="25"/>
      <c r="BJ12101" s="25"/>
      <c r="BK12101" s="25"/>
    </row>
    <row r="12102" spans="60:63" ht="14.25" x14ac:dyDescent="0.2">
      <c r="BH12102" s="25"/>
      <c r="BI12102" s="25"/>
      <c r="BJ12102" s="25"/>
      <c r="BK12102" s="25"/>
    </row>
    <row r="12103" spans="60:63" ht="14.25" x14ac:dyDescent="0.2">
      <c r="BH12103" s="25"/>
      <c r="BI12103" s="25"/>
      <c r="BJ12103" s="25"/>
      <c r="BK12103" s="25"/>
    </row>
    <row r="12104" spans="60:63" ht="14.25" x14ac:dyDescent="0.2">
      <c r="BH12104" s="25"/>
      <c r="BI12104" s="25"/>
      <c r="BJ12104" s="25"/>
      <c r="BK12104" s="25"/>
    </row>
    <row r="12105" spans="60:63" ht="14.25" x14ac:dyDescent="0.2">
      <c r="BH12105" s="25"/>
      <c r="BI12105" s="25"/>
      <c r="BJ12105" s="25"/>
      <c r="BK12105" s="25"/>
    </row>
    <row r="12106" spans="60:63" ht="14.25" x14ac:dyDescent="0.2">
      <c r="BH12106" s="25"/>
      <c r="BI12106" s="25"/>
      <c r="BJ12106" s="25"/>
      <c r="BK12106" s="25"/>
    </row>
    <row r="12107" spans="60:63" ht="14.25" x14ac:dyDescent="0.2">
      <c r="BH12107" s="25"/>
      <c r="BI12107" s="25"/>
      <c r="BJ12107" s="25"/>
      <c r="BK12107" s="25"/>
    </row>
    <row r="12108" spans="60:63" ht="14.25" x14ac:dyDescent="0.2">
      <c r="BH12108" s="25"/>
      <c r="BI12108" s="25"/>
      <c r="BJ12108" s="25"/>
      <c r="BK12108" s="25"/>
    </row>
    <row r="12109" spans="60:63" ht="14.25" x14ac:dyDescent="0.2">
      <c r="BH12109" s="25"/>
      <c r="BI12109" s="25"/>
      <c r="BJ12109" s="25"/>
      <c r="BK12109" s="25"/>
    </row>
    <row r="12110" spans="60:63" ht="14.25" x14ac:dyDescent="0.2">
      <c r="BH12110" s="25"/>
      <c r="BI12110" s="25"/>
      <c r="BJ12110" s="25"/>
      <c r="BK12110" s="25"/>
    </row>
    <row r="12111" spans="60:63" ht="14.25" x14ac:dyDescent="0.2">
      <c r="BH12111" s="25"/>
      <c r="BI12111" s="25"/>
      <c r="BJ12111" s="25"/>
      <c r="BK12111" s="25"/>
    </row>
    <row r="12112" spans="60:63" ht="14.25" x14ac:dyDescent="0.2">
      <c r="BH12112" s="25"/>
      <c r="BI12112" s="25"/>
      <c r="BJ12112" s="25"/>
      <c r="BK12112" s="25"/>
    </row>
    <row r="12113" spans="60:63" ht="14.25" x14ac:dyDescent="0.2">
      <c r="BH12113" s="25"/>
      <c r="BI12113" s="25"/>
      <c r="BJ12113" s="25"/>
      <c r="BK12113" s="25"/>
    </row>
    <row r="12114" spans="60:63" ht="14.25" x14ac:dyDescent="0.2">
      <c r="BH12114" s="25"/>
      <c r="BI12114" s="25"/>
      <c r="BJ12114" s="25"/>
      <c r="BK12114" s="25"/>
    </row>
    <row r="12115" spans="60:63" ht="14.25" x14ac:dyDescent="0.2">
      <c r="BH12115" s="25"/>
      <c r="BI12115" s="25"/>
      <c r="BJ12115" s="25"/>
      <c r="BK12115" s="25"/>
    </row>
    <row r="12116" spans="60:63" ht="14.25" x14ac:dyDescent="0.2">
      <c r="BH12116" s="25"/>
      <c r="BI12116" s="25"/>
      <c r="BJ12116" s="25"/>
      <c r="BK12116" s="25"/>
    </row>
    <row r="12117" spans="60:63" ht="14.25" x14ac:dyDescent="0.2">
      <c r="BH12117" s="25"/>
      <c r="BI12117" s="25"/>
      <c r="BJ12117" s="25"/>
      <c r="BK12117" s="25"/>
    </row>
    <row r="12118" spans="60:63" ht="14.25" x14ac:dyDescent="0.2">
      <c r="BH12118" s="25"/>
      <c r="BI12118" s="25"/>
      <c r="BJ12118" s="25"/>
      <c r="BK12118" s="25"/>
    </row>
    <row r="12119" spans="60:63" ht="14.25" x14ac:dyDescent="0.2">
      <c r="BH12119" s="25"/>
      <c r="BI12119" s="25"/>
      <c r="BJ12119" s="25"/>
      <c r="BK12119" s="25"/>
    </row>
    <row r="12120" spans="60:63" ht="14.25" x14ac:dyDescent="0.2">
      <c r="BH12120" s="25"/>
      <c r="BI12120" s="25"/>
      <c r="BJ12120" s="25"/>
      <c r="BK12120" s="25"/>
    </row>
    <row r="12121" spans="60:63" ht="14.25" x14ac:dyDescent="0.2">
      <c r="BH12121" s="25"/>
      <c r="BI12121" s="25"/>
      <c r="BJ12121" s="25"/>
      <c r="BK12121" s="25"/>
    </row>
    <row r="12122" spans="60:63" ht="14.25" x14ac:dyDescent="0.2">
      <c r="BH12122" s="25"/>
      <c r="BI12122" s="25"/>
      <c r="BJ12122" s="25"/>
      <c r="BK12122" s="25"/>
    </row>
    <row r="12123" spans="60:63" ht="14.25" x14ac:dyDescent="0.2">
      <c r="BH12123" s="25"/>
      <c r="BI12123" s="25"/>
      <c r="BJ12123" s="25"/>
      <c r="BK12123" s="25"/>
    </row>
    <row r="12124" spans="60:63" ht="14.25" x14ac:dyDescent="0.2">
      <c r="BH12124" s="25"/>
      <c r="BI12124" s="25"/>
      <c r="BJ12124" s="25"/>
      <c r="BK12124" s="25"/>
    </row>
    <row r="12125" spans="60:63" ht="14.25" x14ac:dyDescent="0.2">
      <c r="BH12125" s="25"/>
      <c r="BI12125" s="25"/>
      <c r="BJ12125" s="25"/>
      <c r="BK12125" s="25"/>
    </row>
    <row r="12126" spans="60:63" ht="14.25" x14ac:dyDescent="0.2">
      <c r="BH12126" s="25"/>
      <c r="BI12126" s="25"/>
      <c r="BJ12126" s="25"/>
      <c r="BK12126" s="25"/>
    </row>
    <row r="12127" spans="60:63" ht="14.25" x14ac:dyDescent="0.2">
      <c r="BH12127" s="25"/>
      <c r="BI12127" s="25"/>
      <c r="BJ12127" s="25"/>
      <c r="BK12127" s="25"/>
    </row>
    <row r="12128" spans="60:63" ht="14.25" x14ac:dyDescent="0.2">
      <c r="BH12128" s="25"/>
      <c r="BI12128" s="25"/>
      <c r="BJ12128" s="25"/>
      <c r="BK12128" s="25"/>
    </row>
    <row r="12129" spans="60:63" ht="14.25" x14ac:dyDescent="0.2">
      <c r="BH12129" s="25"/>
      <c r="BI12129" s="25"/>
      <c r="BJ12129" s="25"/>
      <c r="BK12129" s="25"/>
    </row>
    <row r="12130" spans="60:63" ht="14.25" x14ac:dyDescent="0.2">
      <c r="BH12130" s="25"/>
      <c r="BI12130" s="25"/>
      <c r="BJ12130" s="25"/>
      <c r="BK12130" s="25"/>
    </row>
    <row r="12131" spans="60:63" ht="14.25" x14ac:dyDescent="0.2">
      <c r="BH12131" s="25"/>
      <c r="BI12131" s="25"/>
      <c r="BJ12131" s="25"/>
      <c r="BK12131" s="25"/>
    </row>
    <row r="12132" spans="60:63" ht="14.25" x14ac:dyDescent="0.2">
      <c r="BH12132" s="25"/>
      <c r="BI12132" s="25"/>
      <c r="BJ12132" s="25"/>
      <c r="BK12132" s="25"/>
    </row>
    <row r="12133" spans="60:63" ht="14.25" x14ac:dyDescent="0.2">
      <c r="BH12133" s="25"/>
      <c r="BI12133" s="25"/>
      <c r="BJ12133" s="25"/>
      <c r="BK12133" s="25"/>
    </row>
    <row r="12134" spans="60:63" ht="14.25" x14ac:dyDescent="0.2">
      <c r="BH12134" s="25"/>
      <c r="BI12134" s="25"/>
      <c r="BJ12134" s="25"/>
      <c r="BK12134" s="25"/>
    </row>
    <row r="12135" spans="60:63" ht="14.25" x14ac:dyDescent="0.2">
      <c r="BH12135" s="25"/>
      <c r="BI12135" s="25"/>
      <c r="BJ12135" s="25"/>
      <c r="BK12135" s="25"/>
    </row>
    <row r="12136" spans="60:63" ht="14.25" x14ac:dyDescent="0.2">
      <c r="BH12136" s="25"/>
      <c r="BI12136" s="25"/>
      <c r="BJ12136" s="25"/>
      <c r="BK12136" s="25"/>
    </row>
    <row r="12137" spans="60:63" ht="14.25" x14ac:dyDescent="0.2">
      <c r="BH12137" s="25"/>
      <c r="BI12137" s="25"/>
      <c r="BJ12137" s="25"/>
      <c r="BK12137" s="25"/>
    </row>
    <row r="12138" spans="60:63" ht="14.25" x14ac:dyDescent="0.2">
      <c r="BH12138" s="25"/>
      <c r="BI12138" s="25"/>
      <c r="BJ12138" s="25"/>
      <c r="BK12138" s="25"/>
    </row>
    <row r="12139" spans="60:63" ht="14.25" x14ac:dyDescent="0.2">
      <c r="BH12139" s="25"/>
      <c r="BI12139" s="25"/>
      <c r="BJ12139" s="25"/>
      <c r="BK12139" s="25"/>
    </row>
    <row r="12140" spans="60:63" ht="14.25" x14ac:dyDescent="0.2">
      <c r="BH12140" s="25"/>
      <c r="BI12140" s="25"/>
      <c r="BJ12140" s="25"/>
      <c r="BK12140" s="25"/>
    </row>
    <row r="12141" spans="60:63" ht="14.25" x14ac:dyDescent="0.2">
      <c r="BH12141" s="25"/>
      <c r="BI12141" s="25"/>
      <c r="BJ12141" s="25"/>
      <c r="BK12141" s="25"/>
    </row>
    <row r="12142" spans="60:63" ht="14.25" x14ac:dyDescent="0.2">
      <c r="BH12142" s="25"/>
      <c r="BI12142" s="25"/>
      <c r="BJ12142" s="25"/>
      <c r="BK12142" s="25"/>
    </row>
    <row r="12143" spans="60:63" ht="14.25" x14ac:dyDescent="0.2">
      <c r="BH12143" s="25"/>
      <c r="BI12143" s="25"/>
      <c r="BJ12143" s="25"/>
      <c r="BK12143" s="25"/>
    </row>
    <row r="12144" spans="60:63" ht="14.25" x14ac:dyDescent="0.2">
      <c r="BH12144" s="25"/>
      <c r="BI12144" s="25"/>
      <c r="BJ12144" s="25"/>
      <c r="BK12144" s="25"/>
    </row>
    <row r="12145" spans="60:63" ht="14.25" x14ac:dyDescent="0.2">
      <c r="BH12145" s="25"/>
      <c r="BI12145" s="25"/>
      <c r="BJ12145" s="25"/>
      <c r="BK12145" s="25"/>
    </row>
    <row r="12146" spans="60:63" ht="14.25" x14ac:dyDescent="0.2">
      <c r="BH12146" s="25"/>
      <c r="BI12146" s="25"/>
      <c r="BJ12146" s="25"/>
      <c r="BK12146" s="25"/>
    </row>
    <row r="12147" spans="60:63" ht="14.25" x14ac:dyDescent="0.2">
      <c r="BH12147" s="25"/>
      <c r="BI12147" s="25"/>
      <c r="BJ12147" s="25"/>
      <c r="BK12147" s="25"/>
    </row>
    <row r="12148" spans="60:63" ht="14.25" x14ac:dyDescent="0.2">
      <c r="BH12148" s="25"/>
      <c r="BI12148" s="25"/>
      <c r="BJ12148" s="25"/>
      <c r="BK12148" s="25"/>
    </row>
    <row r="12149" spans="60:63" ht="14.25" x14ac:dyDescent="0.2">
      <c r="BH12149" s="25"/>
      <c r="BI12149" s="25"/>
      <c r="BJ12149" s="25"/>
      <c r="BK12149" s="25"/>
    </row>
    <row r="12150" spans="60:63" ht="14.25" x14ac:dyDescent="0.2">
      <c r="BH12150" s="25"/>
      <c r="BI12150" s="25"/>
      <c r="BJ12150" s="25"/>
      <c r="BK12150" s="25"/>
    </row>
    <row r="12151" spans="60:63" ht="14.25" x14ac:dyDescent="0.2">
      <c r="BH12151" s="25"/>
      <c r="BI12151" s="25"/>
      <c r="BJ12151" s="25"/>
      <c r="BK12151" s="25"/>
    </row>
    <row r="12152" spans="60:63" ht="14.25" x14ac:dyDescent="0.2">
      <c r="BH12152" s="25"/>
      <c r="BI12152" s="25"/>
      <c r="BJ12152" s="25"/>
      <c r="BK12152" s="25"/>
    </row>
    <row r="12153" spans="60:63" ht="14.25" x14ac:dyDescent="0.2">
      <c r="BH12153" s="25"/>
      <c r="BI12153" s="25"/>
      <c r="BJ12153" s="25"/>
      <c r="BK12153" s="25"/>
    </row>
    <row r="12154" spans="60:63" ht="14.25" x14ac:dyDescent="0.2">
      <c r="BH12154" s="25"/>
      <c r="BI12154" s="25"/>
      <c r="BJ12154" s="25"/>
      <c r="BK12154" s="25"/>
    </row>
    <row r="12155" spans="60:63" ht="14.25" x14ac:dyDescent="0.2">
      <c r="BH12155" s="25"/>
      <c r="BI12155" s="25"/>
      <c r="BJ12155" s="25"/>
      <c r="BK12155" s="25"/>
    </row>
    <row r="12156" spans="60:63" ht="14.25" x14ac:dyDescent="0.2">
      <c r="BH12156" s="25"/>
      <c r="BI12156" s="25"/>
      <c r="BJ12156" s="25"/>
      <c r="BK12156" s="25"/>
    </row>
    <row r="12157" spans="60:63" ht="14.25" x14ac:dyDescent="0.2">
      <c r="BH12157" s="25"/>
      <c r="BI12157" s="25"/>
      <c r="BJ12157" s="25"/>
      <c r="BK12157" s="25"/>
    </row>
    <row r="12158" spans="60:63" ht="14.25" x14ac:dyDescent="0.2">
      <c r="BH12158" s="25"/>
      <c r="BI12158" s="25"/>
      <c r="BJ12158" s="25"/>
      <c r="BK12158" s="25"/>
    </row>
    <row r="12159" spans="60:63" ht="14.25" x14ac:dyDescent="0.2">
      <c r="BH12159" s="25"/>
      <c r="BI12159" s="25"/>
      <c r="BJ12159" s="25"/>
      <c r="BK12159" s="25"/>
    </row>
    <row r="12160" spans="60:63" ht="14.25" x14ac:dyDescent="0.2">
      <c r="BH12160" s="25"/>
      <c r="BI12160" s="25"/>
      <c r="BJ12160" s="25"/>
      <c r="BK12160" s="25"/>
    </row>
    <row r="12161" spans="60:63" ht="14.25" x14ac:dyDescent="0.2">
      <c r="BH12161" s="25"/>
      <c r="BI12161" s="25"/>
      <c r="BJ12161" s="25"/>
      <c r="BK12161" s="25"/>
    </row>
    <row r="12162" spans="60:63" ht="14.25" x14ac:dyDescent="0.2">
      <c r="BH12162" s="25"/>
      <c r="BI12162" s="25"/>
      <c r="BJ12162" s="25"/>
      <c r="BK12162" s="25"/>
    </row>
    <row r="12163" spans="60:63" ht="14.25" x14ac:dyDescent="0.2">
      <c r="BH12163" s="25"/>
      <c r="BI12163" s="25"/>
      <c r="BJ12163" s="25"/>
      <c r="BK12163" s="25"/>
    </row>
    <row r="12164" spans="60:63" ht="14.25" x14ac:dyDescent="0.2">
      <c r="BH12164" s="25"/>
      <c r="BI12164" s="25"/>
      <c r="BJ12164" s="25"/>
      <c r="BK12164" s="25"/>
    </row>
    <row r="12165" spans="60:63" ht="14.25" x14ac:dyDescent="0.2">
      <c r="BH12165" s="25"/>
      <c r="BI12165" s="25"/>
      <c r="BJ12165" s="25"/>
      <c r="BK12165" s="25"/>
    </row>
    <row r="12166" spans="60:63" ht="14.25" x14ac:dyDescent="0.2">
      <c r="BH12166" s="25"/>
      <c r="BI12166" s="25"/>
      <c r="BJ12166" s="25"/>
      <c r="BK12166" s="25"/>
    </row>
    <row r="12167" spans="60:63" ht="14.25" x14ac:dyDescent="0.2">
      <c r="BH12167" s="25"/>
      <c r="BI12167" s="25"/>
      <c r="BJ12167" s="25"/>
      <c r="BK12167" s="25"/>
    </row>
    <row r="12168" spans="60:63" ht="14.25" x14ac:dyDescent="0.2">
      <c r="BH12168" s="25"/>
      <c r="BI12168" s="25"/>
      <c r="BJ12168" s="25"/>
      <c r="BK12168" s="25"/>
    </row>
    <row r="12169" spans="60:63" ht="14.25" x14ac:dyDescent="0.2">
      <c r="BH12169" s="25"/>
      <c r="BI12169" s="25"/>
      <c r="BJ12169" s="25"/>
      <c r="BK12169" s="25"/>
    </row>
    <row r="12170" spans="60:63" ht="14.25" x14ac:dyDescent="0.2">
      <c r="BH12170" s="25"/>
      <c r="BI12170" s="25"/>
      <c r="BJ12170" s="25"/>
      <c r="BK12170" s="25"/>
    </row>
    <row r="12171" spans="60:63" ht="14.25" x14ac:dyDescent="0.2">
      <c r="BH12171" s="25"/>
      <c r="BI12171" s="25"/>
      <c r="BJ12171" s="25"/>
      <c r="BK12171" s="25"/>
    </row>
    <row r="12172" spans="60:63" ht="14.25" x14ac:dyDescent="0.2">
      <c r="BH12172" s="25"/>
      <c r="BI12172" s="25"/>
      <c r="BJ12172" s="25"/>
      <c r="BK12172" s="25"/>
    </row>
    <row r="12173" spans="60:63" ht="14.25" x14ac:dyDescent="0.2">
      <c r="BH12173" s="25"/>
      <c r="BI12173" s="25"/>
      <c r="BJ12173" s="25"/>
      <c r="BK12173" s="25"/>
    </row>
    <row r="12174" spans="60:63" ht="14.25" x14ac:dyDescent="0.2">
      <c r="BH12174" s="25"/>
      <c r="BI12174" s="25"/>
      <c r="BJ12174" s="25"/>
      <c r="BK12174" s="25"/>
    </row>
    <row r="12175" spans="60:63" ht="14.25" x14ac:dyDescent="0.2">
      <c r="BH12175" s="25"/>
      <c r="BI12175" s="25"/>
      <c r="BJ12175" s="25"/>
      <c r="BK12175" s="25"/>
    </row>
    <row r="12176" spans="60:63" ht="14.25" x14ac:dyDescent="0.2">
      <c r="BH12176" s="25"/>
      <c r="BI12176" s="25"/>
      <c r="BJ12176" s="25"/>
      <c r="BK12176" s="25"/>
    </row>
    <row r="12177" spans="60:63" ht="14.25" x14ac:dyDescent="0.2">
      <c r="BH12177" s="25"/>
      <c r="BI12177" s="25"/>
      <c r="BJ12177" s="25"/>
      <c r="BK12177" s="25"/>
    </row>
    <row r="12178" spans="60:63" ht="14.25" x14ac:dyDescent="0.2">
      <c r="BH12178" s="25"/>
      <c r="BI12178" s="25"/>
      <c r="BJ12178" s="25"/>
      <c r="BK12178" s="25"/>
    </row>
    <row r="12179" spans="60:63" ht="14.25" x14ac:dyDescent="0.2">
      <c r="BH12179" s="25"/>
      <c r="BI12179" s="25"/>
      <c r="BJ12179" s="25"/>
      <c r="BK12179" s="25"/>
    </row>
    <row r="12180" spans="60:63" ht="14.25" x14ac:dyDescent="0.2">
      <c r="BH12180" s="25"/>
      <c r="BI12180" s="25"/>
      <c r="BJ12180" s="25"/>
      <c r="BK12180" s="25"/>
    </row>
    <row r="12181" spans="60:63" ht="14.25" x14ac:dyDescent="0.2">
      <c r="BH12181" s="25"/>
      <c r="BI12181" s="25"/>
      <c r="BJ12181" s="25"/>
      <c r="BK12181" s="25"/>
    </row>
    <row r="12182" spans="60:63" ht="14.25" x14ac:dyDescent="0.2">
      <c r="BH12182" s="25"/>
      <c r="BI12182" s="25"/>
      <c r="BJ12182" s="25"/>
      <c r="BK12182" s="25"/>
    </row>
    <row r="12183" spans="60:63" ht="14.25" x14ac:dyDescent="0.2">
      <c r="BH12183" s="25"/>
      <c r="BI12183" s="25"/>
      <c r="BJ12183" s="25"/>
      <c r="BK12183" s="25"/>
    </row>
    <row r="12184" spans="60:63" ht="14.25" x14ac:dyDescent="0.2">
      <c r="BH12184" s="25"/>
      <c r="BI12184" s="25"/>
      <c r="BJ12184" s="25"/>
      <c r="BK12184" s="25"/>
    </row>
    <row r="12185" spans="60:63" ht="14.25" x14ac:dyDescent="0.2">
      <c r="BH12185" s="25"/>
      <c r="BI12185" s="25"/>
      <c r="BJ12185" s="25"/>
      <c r="BK12185" s="25"/>
    </row>
    <row r="12186" spans="60:63" ht="14.25" x14ac:dyDescent="0.2">
      <c r="BH12186" s="25"/>
      <c r="BI12186" s="25"/>
      <c r="BJ12186" s="25"/>
      <c r="BK12186" s="25"/>
    </row>
    <row r="12187" spans="60:63" ht="14.25" x14ac:dyDescent="0.2">
      <c r="BH12187" s="25"/>
      <c r="BI12187" s="25"/>
      <c r="BJ12187" s="25"/>
      <c r="BK12187" s="25"/>
    </row>
    <row r="12188" spans="60:63" ht="14.25" x14ac:dyDescent="0.2">
      <c r="BH12188" s="25"/>
      <c r="BI12188" s="25"/>
      <c r="BJ12188" s="25"/>
      <c r="BK12188" s="25"/>
    </row>
    <row r="12189" spans="60:63" ht="14.25" x14ac:dyDescent="0.2">
      <c r="BH12189" s="25"/>
      <c r="BI12189" s="25"/>
      <c r="BJ12189" s="25"/>
      <c r="BK12189" s="25"/>
    </row>
    <row r="12190" spans="60:63" ht="14.25" x14ac:dyDescent="0.2">
      <c r="BH12190" s="25"/>
      <c r="BI12190" s="25"/>
      <c r="BJ12190" s="25"/>
      <c r="BK12190" s="25"/>
    </row>
    <row r="12191" spans="60:63" ht="14.25" x14ac:dyDescent="0.2">
      <c r="BH12191" s="25"/>
      <c r="BI12191" s="25"/>
      <c r="BJ12191" s="25"/>
      <c r="BK12191" s="25"/>
    </row>
    <row r="12192" spans="60:63" ht="14.25" x14ac:dyDescent="0.2">
      <c r="BH12192" s="25"/>
      <c r="BI12192" s="25"/>
      <c r="BJ12192" s="25"/>
      <c r="BK12192" s="25"/>
    </row>
    <row r="12193" spans="60:63" ht="14.25" x14ac:dyDescent="0.2">
      <c r="BH12193" s="25"/>
      <c r="BI12193" s="25"/>
      <c r="BJ12193" s="25"/>
      <c r="BK12193" s="25"/>
    </row>
    <row r="12194" spans="60:63" ht="14.25" x14ac:dyDescent="0.2">
      <c r="BH12194" s="25"/>
      <c r="BI12194" s="25"/>
      <c r="BJ12194" s="25"/>
      <c r="BK12194" s="25"/>
    </row>
    <row r="12195" spans="60:63" ht="14.25" x14ac:dyDescent="0.2">
      <c r="BH12195" s="25"/>
      <c r="BI12195" s="25"/>
      <c r="BJ12195" s="25"/>
      <c r="BK12195" s="25"/>
    </row>
    <row r="12196" spans="60:63" ht="14.25" x14ac:dyDescent="0.2">
      <c r="BH12196" s="25"/>
      <c r="BI12196" s="25"/>
      <c r="BJ12196" s="25"/>
      <c r="BK12196" s="25"/>
    </row>
    <row r="12197" spans="60:63" ht="14.25" x14ac:dyDescent="0.2">
      <c r="BH12197" s="25"/>
      <c r="BI12197" s="25"/>
      <c r="BJ12197" s="25"/>
      <c r="BK12197" s="25"/>
    </row>
    <row r="12198" spans="60:63" ht="14.25" x14ac:dyDescent="0.2">
      <c r="BH12198" s="25"/>
      <c r="BI12198" s="25"/>
      <c r="BJ12198" s="25"/>
      <c r="BK12198" s="25"/>
    </row>
    <row r="12199" spans="60:63" ht="14.25" x14ac:dyDescent="0.2">
      <c r="BH12199" s="25"/>
      <c r="BI12199" s="25"/>
      <c r="BJ12199" s="25"/>
      <c r="BK12199" s="25"/>
    </row>
    <row r="12200" spans="60:63" ht="14.25" x14ac:dyDescent="0.2">
      <c r="BH12200" s="25"/>
      <c r="BI12200" s="25"/>
      <c r="BJ12200" s="25"/>
      <c r="BK12200" s="25"/>
    </row>
    <row r="12201" spans="60:63" ht="14.25" x14ac:dyDescent="0.2">
      <c r="BH12201" s="25"/>
      <c r="BI12201" s="25"/>
      <c r="BJ12201" s="25"/>
      <c r="BK12201" s="25"/>
    </row>
    <row r="12202" spans="60:63" ht="14.25" x14ac:dyDescent="0.2">
      <c r="BH12202" s="25"/>
      <c r="BI12202" s="25"/>
      <c r="BJ12202" s="25"/>
      <c r="BK12202" s="25"/>
    </row>
    <row r="12203" spans="60:63" ht="14.25" x14ac:dyDescent="0.2">
      <c r="BH12203" s="25"/>
      <c r="BI12203" s="25"/>
      <c r="BJ12203" s="25"/>
      <c r="BK12203" s="25"/>
    </row>
    <row r="12204" spans="60:63" ht="14.25" x14ac:dyDescent="0.2">
      <c r="BH12204" s="25"/>
      <c r="BI12204" s="25"/>
      <c r="BJ12204" s="25"/>
      <c r="BK12204" s="25"/>
    </row>
    <row r="12205" spans="60:63" ht="14.25" x14ac:dyDescent="0.2">
      <c r="BH12205" s="25"/>
      <c r="BI12205" s="25"/>
      <c r="BJ12205" s="25"/>
      <c r="BK12205" s="25"/>
    </row>
    <row r="12206" spans="60:63" ht="14.25" x14ac:dyDescent="0.2">
      <c r="BH12206" s="25"/>
      <c r="BI12206" s="25"/>
      <c r="BJ12206" s="25"/>
      <c r="BK12206" s="25"/>
    </row>
    <row r="12207" spans="60:63" ht="14.25" x14ac:dyDescent="0.2">
      <c r="BH12207" s="25"/>
      <c r="BI12207" s="25"/>
      <c r="BJ12207" s="25"/>
      <c r="BK12207" s="25"/>
    </row>
    <row r="12208" spans="60:63" ht="14.25" x14ac:dyDescent="0.2">
      <c r="BH12208" s="25"/>
      <c r="BI12208" s="25"/>
      <c r="BJ12208" s="25"/>
      <c r="BK12208" s="25"/>
    </row>
    <row r="12209" spans="60:63" ht="14.25" x14ac:dyDescent="0.2">
      <c r="BH12209" s="25"/>
      <c r="BI12209" s="25"/>
      <c r="BJ12209" s="25"/>
      <c r="BK12209" s="25"/>
    </row>
    <row r="12210" spans="60:63" ht="14.25" x14ac:dyDescent="0.2">
      <c r="BH12210" s="25"/>
      <c r="BI12210" s="25"/>
      <c r="BJ12210" s="25"/>
      <c r="BK12210" s="25"/>
    </row>
    <row r="12211" spans="60:63" ht="14.25" x14ac:dyDescent="0.2">
      <c r="BH12211" s="25"/>
      <c r="BI12211" s="25"/>
      <c r="BJ12211" s="25"/>
      <c r="BK12211" s="25"/>
    </row>
    <row r="12212" spans="60:63" ht="14.25" x14ac:dyDescent="0.2">
      <c r="BH12212" s="25"/>
      <c r="BI12212" s="25"/>
      <c r="BJ12212" s="25"/>
      <c r="BK12212" s="25"/>
    </row>
    <row r="12213" spans="60:63" ht="14.25" x14ac:dyDescent="0.2">
      <c r="BH12213" s="25"/>
      <c r="BI12213" s="25"/>
      <c r="BJ12213" s="25"/>
      <c r="BK12213" s="25"/>
    </row>
    <row r="12214" spans="60:63" ht="14.25" x14ac:dyDescent="0.2">
      <c r="BH12214" s="25"/>
      <c r="BI12214" s="25"/>
      <c r="BJ12214" s="25"/>
      <c r="BK12214" s="25"/>
    </row>
    <row r="12215" spans="60:63" ht="14.25" x14ac:dyDescent="0.2">
      <c r="BH12215" s="25"/>
      <c r="BI12215" s="25"/>
      <c r="BJ12215" s="25"/>
      <c r="BK12215" s="25"/>
    </row>
    <row r="12216" spans="60:63" ht="14.25" x14ac:dyDescent="0.2">
      <c r="BH12216" s="25"/>
      <c r="BI12216" s="25"/>
      <c r="BJ12216" s="25"/>
      <c r="BK12216" s="25"/>
    </row>
    <row r="12217" spans="60:63" ht="14.25" x14ac:dyDescent="0.2">
      <c r="BH12217" s="25"/>
      <c r="BI12217" s="25"/>
      <c r="BJ12217" s="25"/>
      <c r="BK12217" s="25"/>
    </row>
    <row r="12218" spans="60:63" ht="14.25" x14ac:dyDescent="0.2">
      <c r="BH12218" s="25"/>
      <c r="BI12218" s="25"/>
      <c r="BJ12218" s="25"/>
      <c r="BK12218" s="25"/>
    </row>
    <row r="12219" spans="60:63" ht="14.25" x14ac:dyDescent="0.2">
      <c r="BH12219" s="25"/>
      <c r="BI12219" s="25"/>
      <c r="BJ12219" s="25"/>
      <c r="BK12219" s="25"/>
    </row>
    <row r="12220" spans="60:63" ht="14.25" x14ac:dyDescent="0.2">
      <c r="BH12220" s="25"/>
      <c r="BI12220" s="25"/>
      <c r="BJ12220" s="25"/>
      <c r="BK12220" s="25"/>
    </row>
    <row r="12221" spans="60:63" ht="14.25" x14ac:dyDescent="0.2">
      <c r="BH12221" s="25"/>
      <c r="BI12221" s="25"/>
      <c r="BJ12221" s="25"/>
      <c r="BK12221" s="25"/>
    </row>
    <row r="12222" spans="60:63" ht="14.25" x14ac:dyDescent="0.2">
      <c r="BH12222" s="25"/>
      <c r="BI12222" s="25"/>
      <c r="BJ12222" s="25"/>
      <c r="BK12222" s="25"/>
    </row>
    <row r="12223" spans="60:63" ht="14.25" x14ac:dyDescent="0.2">
      <c r="BH12223" s="25"/>
      <c r="BI12223" s="25"/>
      <c r="BJ12223" s="25"/>
      <c r="BK12223" s="25"/>
    </row>
    <row r="12224" spans="60:63" ht="14.25" x14ac:dyDescent="0.2">
      <c r="BH12224" s="25"/>
      <c r="BI12224" s="25"/>
      <c r="BJ12224" s="25"/>
      <c r="BK12224" s="25"/>
    </row>
    <row r="12225" spans="60:63" ht="14.25" x14ac:dyDescent="0.2">
      <c r="BH12225" s="25"/>
      <c r="BI12225" s="25"/>
      <c r="BJ12225" s="25"/>
      <c r="BK12225" s="25"/>
    </row>
    <row r="12226" spans="60:63" ht="14.25" x14ac:dyDescent="0.2">
      <c r="BH12226" s="25"/>
      <c r="BI12226" s="25"/>
      <c r="BJ12226" s="25"/>
      <c r="BK12226" s="25"/>
    </row>
    <row r="12227" spans="60:63" ht="14.25" x14ac:dyDescent="0.2">
      <c r="BH12227" s="25"/>
      <c r="BI12227" s="25"/>
      <c r="BJ12227" s="25"/>
      <c r="BK12227" s="25"/>
    </row>
    <row r="12228" spans="60:63" ht="14.25" x14ac:dyDescent="0.2">
      <c r="BH12228" s="25"/>
      <c r="BI12228" s="25"/>
      <c r="BJ12228" s="25"/>
      <c r="BK12228" s="25"/>
    </row>
    <row r="12229" spans="60:63" ht="14.25" x14ac:dyDescent="0.2">
      <c r="BH12229" s="25"/>
      <c r="BI12229" s="25"/>
      <c r="BJ12229" s="25"/>
      <c r="BK12229" s="25"/>
    </row>
    <row r="12230" spans="60:63" ht="14.25" x14ac:dyDescent="0.2">
      <c r="BH12230" s="25"/>
      <c r="BI12230" s="25"/>
      <c r="BJ12230" s="25"/>
      <c r="BK12230" s="25"/>
    </row>
    <row r="12231" spans="60:63" ht="14.25" x14ac:dyDescent="0.2">
      <c r="BH12231" s="25"/>
      <c r="BI12231" s="25"/>
      <c r="BJ12231" s="25"/>
      <c r="BK12231" s="25"/>
    </row>
    <row r="12232" spans="60:63" ht="14.25" x14ac:dyDescent="0.2">
      <c r="BH12232" s="25"/>
      <c r="BI12232" s="25"/>
      <c r="BJ12232" s="25"/>
      <c r="BK12232" s="25"/>
    </row>
    <row r="12233" spans="60:63" ht="14.25" x14ac:dyDescent="0.2">
      <c r="BH12233" s="25"/>
      <c r="BI12233" s="25"/>
      <c r="BJ12233" s="25"/>
      <c r="BK12233" s="25"/>
    </row>
    <row r="12234" spans="60:63" ht="14.25" x14ac:dyDescent="0.2">
      <c r="BH12234" s="25"/>
      <c r="BI12234" s="25"/>
      <c r="BJ12234" s="25"/>
      <c r="BK12234" s="25"/>
    </row>
    <row r="12235" spans="60:63" ht="14.25" x14ac:dyDescent="0.2">
      <c r="BH12235" s="25"/>
      <c r="BI12235" s="25"/>
      <c r="BJ12235" s="25"/>
      <c r="BK12235" s="25"/>
    </row>
    <row r="12236" spans="60:63" ht="14.25" x14ac:dyDescent="0.2">
      <c r="BH12236" s="25"/>
      <c r="BI12236" s="25"/>
      <c r="BJ12236" s="25"/>
      <c r="BK12236" s="25"/>
    </row>
    <row r="12237" spans="60:63" ht="14.25" x14ac:dyDescent="0.2">
      <c r="BH12237" s="25"/>
      <c r="BI12237" s="25"/>
      <c r="BJ12237" s="25"/>
      <c r="BK12237" s="25"/>
    </row>
    <row r="12238" spans="60:63" ht="14.25" x14ac:dyDescent="0.2">
      <c r="BH12238" s="25"/>
      <c r="BI12238" s="25"/>
      <c r="BJ12238" s="25"/>
      <c r="BK12238" s="25"/>
    </row>
    <row r="12239" spans="60:63" ht="14.25" x14ac:dyDescent="0.2">
      <c r="BH12239" s="25"/>
      <c r="BI12239" s="25"/>
      <c r="BJ12239" s="25"/>
      <c r="BK12239" s="25"/>
    </row>
    <row r="12240" spans="60:63" ht="14.25" x14ac:dyDescent="0.2">
      <c r="BH12240" s="25"/>
      <c r="BI12240" s="25"/>
      <c r="BJ12240" s="25"/>
      <c r="BK12240" s="25"/>
    </row>
    <row r="12241" spans="60:63" ht="14.25" x14ac:dyDescent="0.2">
      <c r="BH12241" s="25"/>
      <c r="BI12241" s="25"/>
      <c r="BJ12241" s="25"/>
      <c r="BK12241" s="25"/>
    </row>
    <row r="12242" spans="60:63" ht="14.25" x14ac:dyDescent="0.2">
      <c r="BH12242" s="25"/>
      <c r="BI12242" s="25"/>
      <c r="BJ12242" s="25"/>
      <c r="BK12242" s="25"/>
    </row>
    <row r="12243" spans="60:63" ht="14.25" x14ac:dyDescent="0.2">
      <c r="BH12243" s="25"/>
      <c r="BI12243" s="25"/>
      <c r="BJ12243" s="25"/>
      <c r="BK12243" s="25"/>
    </row>
    <row r="12244" spans="60:63" ht="14.25" x14ac:dyDescent="0.2">
      <c r="BH12244" s="25"/>
      <c r="BI12244" s="25"/>
      <c r="BJ12244" s="25"/>
      <c r="BK12244" s="25"/>
    </row>
    <row r="12245" spans="60:63" ht="14.25" x14ac:dyDescent="0.2">
      <c r="BH12245" s="25"/>
      <c r="BI12245" s="25"/>
      <c r="BJ12245" s="25"/>
      <c r="BK12245" s="25"/>
    </row>
    <row r="12246" spans="60:63" ht="14.25" x14ac:dyDescent="0.2">
      <c r="BH12246" s="25"/>
      <c r="BI12246" s="25"/>
      <c r="BJ12246" s="25"/>
      <c r="BK12246" s="25"/>
    </row>
    <row r="12247" spans="60:63" ht="14.25" x14ac:dyDescent="0.2">
      <c r="BH12247" s="25"/>
      <c r="BI12247" s="25"/>
      <c r="BJ12247" s="25"/>
      <c r="BK12247" s="25"/>
    </row>
    <row r="12248" spans="60:63" ht="14.25" x14ac:dyDescent="0.2">
      <c r="BH12248" s="25"/>
      <c r="BI12248" s="25"/>
      <c r="BJ12248" s="25"/>
      <c r="BK12248" s="25"/>
    </row>
    <row r="12249" spans="60:63" ht="14.25" x14ac:dyDescent="0.2">
      <c r="BH12249" s="25"/>
      <c r="BI12249" s="25"/>
      <c r="BJ12249" s="25"/>
      <c r="BK12249" s="25"/>
    </row>
    <row r="12250" spans="60:63" ht="14.25" x14ac:dyDescent="0.2">
      <c r="BH12250" s="25"/>
      <c r="BI12250" s="25"/>
      <c r="BJ12250" s="25"/>
      <c r="BK12250" s="25"/>
    </row>
    <row r="12251" spans="60:63" ht="14.25" x14ac:dyDescent="0.2">
      <c r="BH12251" s="25"/>
      <c r="BI12251" s="25"/>
      <c r="BJ12251" s="25"/>
      <c r="BK12251" s="25"/>
    </row>
    <row r="12252" spans="60:63" ht="14.25" x14ac:dyDescent="0.2">
      <c r="BH12252" s="25"/>
      <c r="BI12252" s="25"/>
      <c r="BJ12252" s="25"/>
      <c r="BK12252" s="25"/>
    </row>
    <row r="12253" spans="60:63" ht="14.25" x14ac:dyDescent="0.2">
      <c r="BH12253" s="25"/>
      <c r="BI12253" s="25"/>
      <c r="BJ12253" s="25"/>
      <c r="BK12253" s="25"/>
    </row>
    <row r="12254" spans="60:63" ht="14.25" x14ac:dyDescent="0.2">
      <c r="BH12254" s="25"/>
      <c r="BI12254" s="25"/>
      <c r="BJ12254" s="25"/>
      <c r="BK12254" s="25"/>
    </row>
    <row r="12255" spans="60:63" ht="14.25" x14ac:dyDescent="0.2">
      <c r="BH12255" s="25"/>
      <c r="BI12255" s="25"/>
      <c r="BJ12255" s="25"/>
      <c r="BK12255" s="25"/>
    </row>
    <row r="12256" spans="60:63" ht="14.25" x14ac:dyDescent="0.2">
      <c r="BH12256" s="25"/>
      <c r="BI12256" s="25"/>
      <c r="BJ12256" s="25"/>
      <c r="BK12256" s="25"/>
    </row>
    <row r="12257" spans="60:63" ht="14.25" x14ac:dyDescent="0.2">
      <c r="BH12257" s="25"/>
      <c r="BI12257" s="25"/>
      <c r="BJ12257" s="25"/>
      <c r="BK12257" s="25"/>
    </row>
    <row r="12258" spans="60:63" ht="14.25" x14ac:dyDescent="0.2">
      <c r="BH12258" s="25"/>
      <c r="BI12258" s="25"/>
      <c r="BJ12258" s="25"/>
      <c r="BK12258" s="25"/>
    </row>
    <row r="12259" spans="60:63" ht="14.25" x14ac:dyDescent="0.2">
      <c r="BH12259" s="25"/>
      <c r="BI12259" s="25"/>
      <c r="BJ12259" s="25"/>
      <c r="BK12259" s="25"/>
    </row>
    <row r="12260" spans="60:63" ht="14.25" x14ac:dyDescent="0.2">
      <c r="BH12260" s="25"/>
      <c r="BI12260" s="25"/>
      <c r="BJ12260" s="25"/>
      <c r="BK12260" s="25"/>
    </row>
    <row r="12261" spans="60:63" ht="14.25" x14ac:dyDescent="0.2">
      <c r="BH12261" s="25"/>
      <c r="BI12261" s="25"/>
      <c r="BJ12261" s="25"/>
      <c r="BK12261" s="25"/>
    </row>
    <row r="12262" spans="60:63" ht="14.25" x14ac:dyDescent="0.2">
      <c r="BH12262" s="25"/>
      <c r="BI12262" s="25"/>
      <c r="BJ12262" s="25"/>
      <c r="BK12262" s="25"/>
    </row>
    <row r="12263" spans="60:63" ht="14.25" x14ac:dyDescent="0.2">
      <c r="BH12263" s="25"/>
      <c r="BI12263" s="25"/>
      <c r="BJ12263" s="25"/>
      <c r="BK12263" s="25"/>
    </row>
    <row r="12264" spans="60:63" ht="14.25" x14ac:dyDescent="0.2">
      <c r="BH12264" s="25"/>
      <c r="BI12264" s="25"/>
      <c r="BJ12264" s="25"/>
      <c r="BK12264" s="25"/>
    </row>
    <row r="12265" spans="60:63" ht="14.25" x14ac:dyDescent="0.2">
      <c r="BH12265" s="25"/>
      <c r="BI12265" s="25"/>
      <c r="BJ12265" s="25"/>
      <c r="BK12265" s="25"/>
    </row>
    <row r="12266" spans="60:63" ht="14.25" x14ac:dyDescent="0.2">
      <c r="BH12266" s="25"/>
      <c r="BI12266" s="25"/>
      <c r="BJ12266" s="25"/>
      <c r="BK12266" s="25"/>
    </row>
    <row r="12267" spans="60:63" ht="14.25" x14ac:dyDescent="0.2">
      <c r="BH12267" s="25"/>
      <c r="BI12267" s="25"/>
      <c r="BJ12267" s="25"/>
      <c r="BK12267" s="25"/>
    </row>
    <row r="12268" spans="60:63" ht="14.25" x14ac:dyDescent="0.2">
      <c r="BH12268" s="25"/>
      <c r="BI12268" s="25"/>
      <c r="BJ12268" s="25"/>
      <c r="BK12268" s="25"/>
    </row>
    <row r="12269" spans="60:63" ht="14.25" x14ac:dyDescent="0.2">
      <c r="BH12269" s="25"/>
      <c r="BI12269" s="25"/>
      <c r="BJ12269" s="25"/>
      <c r="BK12269" s="25"/>
    </row>
    <row r="12270" spans="60:63" ht="14.25" x14ac:dyDescent="0.2">
      <c r="BH12270" s="25"/>
      <c r="BI12270" s="25"/>
      <c r="BJ12270" s="25"/>
      <c r="BK12270" s="25"/>
    </row>
    <row r="12271" spans="60:63" ht="14.25" x14ac:dyDescent="0.2">
      <c r="BH12271" s="25"/>
      <c r="BI12271" s="25"/>
      <c r="BJ12271" s="25"/>
      <c r="BK12271" s="25"/>
    </row>
    <row r="12272" spans="60:63" ht="14.25" x14ac:dyDescent="0.2">
      <c r="BH12272" s="25"/>
      <c r="BI12272" s="25"/>
      <c r="BJ12272" s="25"/>
      <c r="BK12272" s="25"/>
    </row>
    <row r="12273" spans="60:63" ht="14.25" x14ac:dyDescent="0.2">
      <c r="BH12273" s="25"/>
      <c r="BI12273" s="25"/>
      <c r="BJ12273" s="25"/>
      <c r="BK12273" s="25"/>
    </row>
    <row r="12274" spans="60:63" ht="14.25" x14ac:dyDescent="0.2">
      <c r="BH12274" s="25"/>
      <c r="BI12274" s="25"/>
      <c r="BJ12274" s="25"/>
      <c r="BK12274" s="25"/>
    </row>
    <row r="12275" spans="60:63" ht="14.25" x14ac:dyDescent="0.2">
      <c r="BH12275" s="25"/>
      <c r="BI12275" s="25"/>
      <c r="BJ12275" s="25"/>
      <c r="BK12275" s="25"/>
    </row>
    <row r="12276" spans="60:63" ht="14.25" x14ac:dyDescent="0.2">
      <c r="BH12276" s="25"/>
      <c r="BI12276" s="25"/>
      <c r="BJ12276" s="25"/>
      <c r="BK12276" s="25"/>
    </row>
    <row r="12277" spans="60:63" ht="14.25" x14ac:dyDescent="0.2">
      <c r="BH12277" s="25"/>
      <c r="BI12277" s="25"/>
      <c r="BJ12277" s="25"/>
      <c r="BK12277" s="25"/>
    </row>
    <row r="12278" spans="60:63" ht="14.25" x14ac:dyDescent="0.2">
      <c r="BH12278" s="25"/>
      <c r="BI12278" s="25"/>
      <c r="BJ12278" s="25"/>
      <c r="BK12278" s="25"/>
    </row>
    <row r="12279" spans="60:63" ht="14.25" x14ac:dyDescent="0.2">
      <c r="BH12279" s="25"/>
      <c r="BI12279" s="25"/>
      <c r="BJ12279" s="25"/>
      <c r="BK12279" s="25"/>
    </row>
    <row r="12280" spans="60:63" ht="14.25" x14ac:dyDescent="0.2">
      <c r="BH12280" s="25"/>
      <c r="BI12280" s="25"/>
      <c r="BJ12280" s="25"/>
      <c r="BK12280" s="25"/>
    </row>
    <row r="12281" spans="60:63" ht="14.25" x14ac:dyDescent="0.2">
      <c r="BH12281" s="25"/>
      <c r="BI12281" s="25"/>
      <c r="BJ12281" s="25"/>
      <c r="BK12281" s="25"/>
    </row>
    <row r="12282" spans="60:63" ht="14.25" x14ac:dyDescent="0.2">
      <c r="BH12282" s="25"/>
      <c r="BI12282" s="25"/>
      <c r="BJ12282" s="25"/>
      <c r="BK12282" s="25"/>
    </row>
    <row r="12283" spans="60:63" ht="14.25" x14ac:dyDescent="0.2">
      <c r="BH12283" s="25"/>
      <c r="BI12283" s="25"/>
      <c r="BJ12283" s="25"/>
      <c r="BK12283" s="25"/>
    </row>
    <row r="12284" spans="60:63" ht="14.25" x14ac:dyDescent="0.2">
      <c r="BH12284" s="25"/>
      <c r="BI12284" s="25"/>
      <c r="BJ12284" s="25"/>
      <c r="BK12284" s="25"/>
    </row>
    <row r="12285" spans="60:63" ht="14.25" x14ac:dyDescent="0.2">
      <c r="BH12285" s="25"/>
      <c r="BI12285" s="25"/>
      <c r="BJ12285" s="25"/>
      <c r="BK12285" s="25"/>
    </row>
    <row r="12286" spans="60:63" ht="14.25" x14ac:dyDescent="0.2">
      <c r="BH12286" s="25"/>
      <c r="BI12286" s="25"/>
      <c r="BJ12286" s="25"/>
      <c r="BK12286" s="25"/>
    </row>
    <row r="12287" spans="60:63" ht="14.25" x14ac:dyDescent="0.2">
      <c r="BH12287" s="25"/>
      <c r="BI12287" s="25"/>
      <c r="BJ12287" s="25"/>
      <c r="BK12287" s="25"/>
    </row>
    <row r="12288" spans="60:63" ht="14.25" x14ac:dyDescent="0.2">
      <c r="BH12288" s="25"/>
      <c r="BI12288" s="25"/>
      <c r="BJ12288" s="25"/>
      <c r="BK12288" s="25"/>
    </row>
    <row r="12289" spans="60:63" ht="14.25" x14ac:dyDescent="0.2">
      <c r="BH12289" s="25"/>
      <c r="BI12289" s="25"/>
      <c r="BJ12289" s="25"/>
      <c r="BK12289" s="25"/>
    </row>
    <row r="12290" spans="60:63" ht="14.25" x14ac:dyDescent="0.2">
      <c r="BH12290" s="25"/>
      <c r="BI12290" s="25"/>
      <c r="BJ12290" s="25"/>
      <c r="BK12290" s="25"/>
    </row>
    <row r="12291" spans="60:63" ht="14.25" x14ac:dyDescent="0.2">
      <c r="BH12291" s="25"/>
      <c r="BI12291" s="25"/>
      <c r="BJ12291" s="25"/>
      <c r="BK12291" s="25"/>
    </row>
    <row r="12292" spans="60:63" ht="14.25" x14ac:dyDescent="0.2">
      <c r="BH12292" s="25"/>
      <c r="BI12292" s="25"/>
      <c r="BJ12292" s="25"/>
      <c r="BK12292" s="25"/>
    </row>
    <row r="12293" spans="60:63" ht="14.25" x14ac:dyDescent="0.2">
      <c r="BH12293" s="25"/>
      <c r="BI12293" s="25"/>
      <c r="BJ12293" s="25"/>
      <c r="BK12293" s="25"/>
    </row>
    <row r="12294" spans="60:63" ht="14.25" x14ac:dyDescent="0.2">
      <c r="BH12294" s="25"/>
      <c r="BI12294" s="25"/>
      <c r="BJ12294" s="25"/>
      <c r="BK12294" s="25"/>
    </row>
    <row r="12295" spans="60:63" ht="14.25" x14ac:dyDescent="0.2">
      <c r="BH12295" s="25"/>
      <c r="BI12295" s="25"/>
      <c r="BJ12295" s="25"/>
      <c r="BK12295" s="25"/>
    </row>
    <row r="12296" spans="60:63" ht="14.25" x14ac:dyDescent="0.2">
      <c r="BH12296" s="25"/>
      <c r="BI12296" s="25"/>
      <c r="BJ12296" s="25"/>
      <c r="BK12296" s="25"/>
    </row>
    <row r="12297" spans="60:63" ht="14.25" x14ac:dyDescent="0.2">
      <c r="BH12297" s="25"/>
      <c r="BI12297" s="25"/>
      <c r="BJ12297" s="25"/>
      <c r="BK12297" s="25"/>
    </row>
    <row r="12298" spans="60:63" ht="14.25" x14ac:dyDescent="0.2">
      <c r="BH12298" s="25"/>
      <c r="BI12298" s="25"/>
      <c r="BJ12298" s="25"/>
      <c r="BK12298" s="25"/>
    </row>
    <row r="12299" spans="60:63" ht="14.25" x14ac:dyDescent="0.2">
      <c r="BH12299" s="25"/>
      <c r="BI12299" s="25"/>
      <c r="BJ12299" s="25"/>
      <c r="BK12299" s="25"/>
    </row>
    <row r="12300" spans="60:63" ht="14.25" x14ac:dyDescent="0.2">
      <c r="BH12300" s="25"/>
      <c r="BI12300" s="25"/>
      <c r="BJ12300" s="25"/>
      <c r="BK12300" s="25"/>
    </row>
    <row r="12301" spans="60:63" ht="14.25" x14ac:dyDescent="0.2">
      <c r="BH12301" s="25"/>
      <c r="BI12301" s="25"/>
      <c r="BJ12301" s="25"/>
      <c r="BK12301" s="25"/>
    </row>
    <row r="12302" spans="60:63" ht="14.25" x14ac:dyDescent="0.2">
      <c r="BH12302" s="25"/>
      <c r="BI12302" s="25"/>
      <c r="BJ12302" s="25"/>
      <c r="BK12302" s="25"/>
    </row>
    <row r="12303" spans="60:63" ht="14.25" x14ac:dyDescent="0.2">
      <c r="BH12303" s="25"/>
      <c r="BI12303" s="25"/>
      <c r="BJ12303" s="25"/>
      <c r="BK12303" s="25"/>
    </row>
    <row r="12304" spans="60:63" ht="14.25" x14ac:dyDescent="0.2">
      <c r="BH12304" s="25"/>
      <c r="BI12304" s="25"/>
      <c r="BJ12304" s="25"/>
      <c r="BK12304" s="25"/>
    </row>
    <row r="12305" spans="60:63" ht="14.25" x14ac:dyDescent="0.2">
      <c r="BH12305" s="25"/>
      <c r="BI12305" s="25"/>
      <c r="BJ12305" s="25"/>
      <c r="BK12305" s="25"/>
    </row>
    <row r="12306" spans="60:63" ht="14.25" x14ac:dyDescent="0.2">
      <c r="BH12306" s="25"/>
      <c r="BI12306" s="25"/>
      <c r="BJ12306" s="25"/>
      <c r="BK12306" s="25"/>
    </row>
    <row r="12307" spans="60:63" ht="14.25" x14ac:dyDescent="0.2">
      <c r="BH12307" s="25"/>
      <c r="BI12307" s="25"/>
      <c r="BJ12307" s="25"/>
      <c r="BK12307" s="25"/>
    </row>
    <row r="12308" spans="60:63" ht="14.25" x14ac:dyDescent="0.2">
      <c r="BH12308" s="25"/>
      <c r="BI12308" s="25"/>
      <c r="BJ12308" s="25"/>
      <c r="BK12308" s="25"/>
    </row>
    <row r="12309" spans="60:63" ht="14.25" x14ac:dyDescent="0.2">
      <c r="BH12309" s="25"/>
      <c r="BI12309" s="25"/>
      <c r="BJ12309" s="25"/>
      <c r="BK12309" s="25"/>
    </row>
    <row r="12310" spans="60:63" ht="14.25" x14ac:dyDescent="0.2">
      <c r="BH12310" s="25"/>
      <c r="BI12310" s="25"/>
      <c r="BJ12310" s="25"/>
      <c r="BK12310" s="25"/>
    </row>
    <row r="12311" spans="60:63" ht="14.25" x14ac:dyDescent="0.2">
      <c r="BH12311" s="25"/>
      <c r="BI12311" s="25"/>
      <c r="BJ12311" s="25"/>
      <c r="BK12311" s="25"/>
    </row>
    <row r="12312" spans="60:63" ht="14.25" x14ac:dyDescent="0.2">
      <c r="BH12312" s="25"/>
      <c r="BI12312" s="25"/>
      <c r="BJ12312" s="25"/>
      <c r="BK12312" s="25"/>
    </row>
    <row r="12313" spans="60:63" ht="14.25" x14ac:dyDescent="0.2">
      <c r="BH12313" s="25"/>
      <c r="BI12313" s="25"/>
      <c r="BJ12313" s="25"/>
      <c r="BK12313" s="25"/>
    </row>
    <row r="12314" spans="60:63" ht="14.25" x14ac:dyDescent="0.2">
      <c r="BH12314" s="25"/>
      <c r="BI12314" s="25"/>
      <c r="BJ12314" s="25"/>
      <c r="BK12314" s="25"/>
    </row>
    <row r="12315" spans="60:63" ht="14.25" x14ac:dyDescent="0.2">
      <c r="BH12315" s="25"/>
      <c r="BI12315" s="25"/>
      <c r="BJ12315" s="25"/>
      <c r="BK12315" s="25"/>
    </row>
    <row r="12316" spans="60:63" ht="14.25" x14ac:dyDescent="0.2">
      <c r="BH12316" s="25"/>
      <c r="BI12316" s="25"/>
      <c r="BJ12316" s="25"/>
      <c r="BK12316" s="25"/>
    </row>
    <row r="12317" spans="60:63" ht="14.25" x14ac:dyDescent="0.2">
      <c r="BH12317" s="25"/>
      <c r="BI12317" s="25"/>
      <c r="BJ12317" s="25"/>
      <c r="BK12317" s="25"/>
    </row>
    <row r="12318" spans="60:63" ht="14.25" x14ac:dyDescent="0.2">
      <c r="BH12318" s="25"/>
      <c r="BI12318" s="25"/>
      <c r="BJ12318" s="25"/>
      <c r="BK12318" s="25"/>
    </row>
    <row r="12319" spans="60:63" ht="14.25" x14ac:dyDescent="0.2">
      <c r="BH12319" s="25"/>
      <c r="BI12319" s="25"/>
      <c r="BJ12319" s="25"/>
      <c r="BK12319" s="25"/>
    </row>
    <row r="12320" spans="60:63" ht="14.25" x14ac:dyDescent="0.2">
      <c r="BH12320" s="25"/>
      <c r="BI12320" s="25"/>
      <c r="BJ12320" s="25"/>
      <c r="BK12320" s="25"/>
    </row>
    <row r="12321" spans="60:63" ht="14.25" x14ac:dyDescent="0.2">
      <c r="BH12321" s="25"/>
      <c r="BI12321" s="25"/>
      <c r="BJ12321" s="25"/>
      <c r="BK12321" s="25"/>
    </row>
    <row r="12322" spans="60:63" ht="14.25" x14ac:dyDescent="0.2">
      <c r="BH12322" s="25"/>
      <c r="BI12322" s="25"/>
      <c r="BJ12322" s="25"/>
      <c r="BK12322" s="25"/>
    </row>
    <row r="12323" spans="60:63" ht="14.25" x14ac:dyDescent="0.2">
      <c r="BH12323" s="25"/>
      <c r="BI12323" s="25"/>
      <c r="BJ12323" s="25"/>
      <c r="BK12323" s="25"/>
    </row>
    <row r="12324" spans="60:63" ht="14.25" x14ac:dyDescent="0.2">
      <c r="BH12324" s="25"/>
      <c r="BI12324" s="25"/>
      <c r="BJ12324" s="25"/>
      <c r="BK12324" s="25"/>
    </row>
    <row r="12325" spans="60:63" ht="14.25" x14ac:dyDescent="0.2">
      <c r="BH12325" s="25"/>
      <c r="BI12325" s="25"/>
      <c r="BJ12325" s="25"/>
      <c r="BK12325" s="25"/>
    </row>
    <row r="12326" spans="60:63" ht="14.25" x14ac:dyDescent="0.2">
      <c r="BH12326" s="25"/>
      <c r="BI12326" s="25"/>
      <c r="BJ12326" s="25"/>
      <c r="BK12326" s="25"/>
    </row>
    <row r="12327" spans="60:63" ht="14.25" x14ac:dyDescent="0.2">
      <c r="BH12327" s="25"/>
      <c r="BI12327" s="25"/>
      <c r="BJ12327" s="25"/>
      <c r="BK12327" s="25"/>
    </row>
    <row r="12328" spans="60:63" ht="14.25" x14ac:dyDescent="0.2">
      <c r="BH12328" s="25"/>
      <c r="BI12328" s="25"/>
      <c r="BJ12328" s="25"/>
      <c r="BK12328" s="25"/>
    </row>
    <row r="12329" spans="60:63" ht="14.25" x14ac:dyDescent="0.2">
      <c r="BH12329" s="25"/>
      <c r="BI12329" s="25"/>
      <c r="BJ12329" s="25"/>
      <c r="BK12329" s="25"/>
    </row>
    <row r="12330" spans="60:63" ht="14.25" x14ac:dyDescent="0.2">
      <c r="BH12330" s="25"/>
      <c r="BI12330" s="25"/>
      <c r="BJ12330" s="25"/>
      <c r="BK12330" s="25"/>
    </row>
    <row r="12331" spans="60:63" ht="14.25" x14ac:dyDescent="0.2">
      <c r="BH12331" s="25"/>
      <c r="BI12331" s="25"/>
      <c r="BJ12331" s="25"/>
      <c r="BK12331" s="25"/>
    </row>
    <row r="12332" spans="60:63" ht="14.25" x14ac:dyDescent="0.2">
      <c r="BH12332" s="25"/>
      <c r="BI12332" s="25"/>
      <c r="BJ12332" s="25"/>
      <c r="BK12332" s="25"/>
    </row>
    <row r="12333" spans="60:63" ht="14.25" x14ac:dyDescent="0.2">
      <c r="BH12333" s="25"/>
      <c r="BI12333" s="25"/>
      <c r="BJ12333" s="25"/>
      <c r="BK12333" s="25"/>
    </row>
    <row r="12334" spans="60:63" ht="14.25" x14ac:dyDescent="0.2">
      <c r="BH12334" s="25"/>
      <c r="BI12334" s="25"/>
      <c r="BJ12334" s="25"/>
      <c r="BK12334" s="25"/>
    </row>
    <row r="12335" spans="60:63" ht="14.25" x14ac:dyDescent="0.2">
      <c r="BH12335" s="25"/>
      <c r="BI12335" s="25"/>
      <c r="BJ12335" s="25"/>
      <c r="BK12335" s="25"/>
    </row>
    <row r="12336" spans="60:63" ht="14.25" x14ac:dyDescent="0.2">
      <c r="BH12336" s="25"/>
      <c r="BI12336" s="25"/>
      <c r="BJ12336" s="25"/>
      <c r="BK12336" s="25"/>
    </row>
    <row r="12337" spans="60:63" ht="14.25" x14ac:dyDescent="0.2">
      <c r="BH12337" s="25"/>
      <c r="BI12337" s="25"/>
      <c r="BJ12337" s="25"/>
      <c r="BK12337" s="25"/>
    </row>
    <row r="12338" spans="60:63" ht="14.25" x14ac:dyDescent="0.2">
      <c r="BH12338" s="25"/>
      <c r="BI12338" s="25"/>
      <c r="BJ12338" s="25"/>
      <c r="BK12338" s="25"/>
    </row>
    <row r="12339" spans="60:63" ht="14.25" x14ac:dyDescent="0.2">
      <c r="BH12339" s="25"/>
      <c r="BI12339" s="25"/>
      <c r="BJ12339" s="25"/>
      <c r="BK12339" s="25"/>
    </row>
    <row r="12340" spans="60:63" ht="14.25" x14ac:dyDescent="0.2">
      <c r="BH12340" s="25"/>
      <c r="BI12340" s="25"/>
      <c r="BJ12340" s="25"/>
      <c r="BK12340" s="25"/>
    </row>
    <row r="12341" spans="60:63" ht="14.25" x14ac:dyDescent="0.2">
      <c r="BH12341" s="25"/>
      <c r="BI12341" s="25"/>
      <c r="BJ12341" s="25"/>
      <c r="BK12341" s="25"/>
    </row>
    <row r="12342" spans="60:63" ht="14.25" x14ac:dyDescent="0.2">
      <c r="BH12342" s="25"/>
      <c r="BI12342" s="25"/>
      <c r="BJ12342" s="25"/>
      <c r="BK12342" s="25"/>
    </row>
    <row r="12343" spans="60:63" ht="14.25" x14ac:dyDescent="0.2">
      <c r="BH12343" s="25"/>
      <c r="BI12343" s="25"/>
      <c r="BJ12343" s="25"/>
      <c r="BK12343" s="25"/>
    </row>
    <row r="12344" spans="60:63" ht="14.25" x14ac:dyDescent="0.2">
      <c r="BH12344" s="25"/>
      <c r="BI12344" s="25"/>
      <c r="BJ12344" s="25"/>
      <c r="BK12344" s="25"/>
    </row>
    <row r="12345" spans="60:63" ht="14.25" x14ac:dyDescent="0.2">
      <c r="BH12345" s="25"/>
      <c r="BI12345" s="25"/>
      <c r="BJ12345" s="25"/>
      <c r="BK12345" s="25"/>
    </row>
    <row r="12346" spans="60:63" ht="14.25" x14ac:dyDescent="0.2">
      <c r="BH12346" s="25"/>
      <c r="BI12346" s="25"/>
      <c r="BJ12346" s="25"/>
      <c r="BK12346" s="25"/>
    </row>
    <row r="12347" spans="60:63" ht="14.25" x14ac:dyDescent="0.2">
      <c r="BH12347" s="25"/>
      <c r="BI12347" s="25"/>
      <c r="BJ12347" s="25"/>
      <c r="BK12347" s="25"/>
    </row>
    <row r="12348" spans="60:63" ht="14.25" x14ac:dyDescent="0.2">
      <c r="BH12348" s="25"/>
      <c r="BI12348" s="25"/>
      <c r="BJ12348" s="25"/>
      <c r="BK12348" s="25"/>
    </row>
    <row r="12349" spans="60:63" ht="14.25" x14ac:dyDescent="0.2">
      <c r="BH12349" s="25"/>
      <c r="BI12349" s="25"/>
      <c r="BJ12349" s="25"/>
      <c r="BK12349" s="25"/>
    </row>
    <row r="12350" spans="60:63" ht="14.25" x14ac:dyDescent="0.2">
      <c r="BH12350" s="25"/>
      <c r="BI12350" s="25"/>
      <c r="BJ12350" s="25"/>
      <c r="BK12350" s="25"/>
    </row>
    <row r="12351" spans="60:63" ht="14.25" x14ac:dyDescent="0.2">
      <c r="BH12351" s="25"/>
      <c r="BI12351" s="25"/>
      <c r="BJ12351" s="25"/>
      <c r="BK12351" s="25"/>
    </row>
    <row r="12352" spans="60:63" ht="14.25" x14ac:dyDescent="0.2">
      <c r="BH12352" s="25"/>
      <c r="BI12352" s="25"/>
      <c r="BJ12352" s="25"/>
      <c r="BK12352" s="25"/>
    </row>
    <row r="12353" spans="60:63" ht="14.25" x14ac:dyDescent="0.2">
      <c r="BH12353" s="25"/>
      <c r="BI12353" s="25"/>
      <c r="BJ12353" s="25"/>
      <c r="BK12353" s="25"/>
    </row>
    <row r="12354" spans="60:63" ht="14.25" x14ac:dyDescent="0.2">
      <c r="BH12354" s="25"/>
      <c r="BI12354" s="25"/>
      <c r="BJ12354" s="25"/>
      <c r="BK12354" s="25"/>
    </row>
    <row r="12355" spans="60:63" ht="14.25" x14ac:dyDescent="0.2">
      <c r="BH12355" s="25"/>
      <c r="BI12355" s="25"/>
      <c r="BJ12355" s="25"/>
      <c r="BK12355" s="25"/>
    </row>
    <row r="12356" spans="60:63" ht="14.25" x14ac:dyDescent="0.2">
      <c r="BH12356" s="25"/>
      <c r="BI12356" s="25"/>
      <c r="BJ12356" s="25"/>
      <c r="BK12356" s="25"/>
    </row>
    <row r="12357" spans="60:63" ht="14.25" x14ac:dyDescent="0.2">
      <c r="BH12357" s="25"/>
      <c r="BI12357" s="25"/>
      <c r="BJ12357" s="25"/>
      <c r="BK12357" s="25"/>
    </row>
    <row r="12358" spans="60:63" ht="14.25" x14ac:dyDescent="0.2">
      <c r="BH12358" s="25"/>
      <c r="BI12358" s="25"/>
      <c r="BJ12358" s="25"/>
      <c r="BK12358" s="25"/>
    </row>
    <row r="12359" spans="60:63" ht="14.25" x14ac:dyDescent="0.2">
      <c r="BH12359" s="25"/>
      <c r="BI12359" s="25"/>
      <c r="BJ12359" s="25"/>
      <c r="BK12359" s="25"/>
    </row>
    <row r="12360" spans="60:63" ht="14.25" x14ac:dyDescent="0.2">
      <c r="BH12360" s="25"/>
      <c r="BI12360" s="25"/>
      <c r="BJ12360" s="25"/>
      <c r="BK12360" s="25"/>
    </row>
    <row r="12361" spans="60:63" ht="14.25" x14ac:dyDescent="0.2">
      <c r="BH12361" s="25"/>
      <c r="BI12361" s="25"/>
      <c r="BJ12361" s="25"/>
      <c r="BK12361" s="25"/>
    </row>
    <row r="12362" spans="60:63" ht="14.25" x14ac:dyDescent="0.2">
      <c r="BH12362" s="25"/>
      <c r="BI12362" s="25"/>
      <c r="BJ12362" s="25"/>
      <c r="BK12362" s="25"/>
    </row>
    <row r="12363" spans="60:63" ht="14.25" x14ac:dyDescent="0.2">
      <c r="BH12363" s="25"/>
      <c r="BI12363" s="25"/>
      <c r="BJ12363" s="25"/>
      <c r="BK12363" s="25"/>
    </row>
    <row r="12364" spans="60:63" ht="14.25" x14ac:dyDescent="0.2">
      <c r="BH12364" s="25"/>
      <c r="BI12364" s="25"/>
      <c r="BJ12364" s="25"/>
      <c r="BK12364" s="25"/>
    </row>
    <row r="12365" spans="60:63" ht="14.25" x14ac:dyDescent="0.2">
      <c r="BH12365" s="25"/>
      <c r="BI12365" s="25"/>
      <c r="BJ12365" s="25"/>
      <c r="BK12365" s="25"/>
    </row>
    <row r="12366" spans="60:63" ht="14.25" x14ac:dyDescent="0.2">
      <c r="BH12366" s="25"/>
      <c r="BI12366" s="25"/>
      <c r="BJ12366" s="25"/>
      <c r="BK12366" s="25"/>
    </row>
    <row r="12367" spans="60:63" ht="14.25" x14ac:dyDescent="0.2">
      <c r="BH12367" s="25"/>
      <c r="BI12367" s="25"/>
      <c r="BJ12367" s="25"/>
      <c r="BK12367" s="25"/>
    </row>
    <row r="12368" spans="60:63" ht="14.25" x14ac:dyDescent="0.2">
      <c r="BH12368" s="25"/>
      <c r="BI12368" s="25"/>
      <c r="BJ12368" s="25"/>
      <c r="BK12368" s="25"/>
    </row>
    <row r="12369" spans="60:63" ht="14.25" x14ac:dyDescent="0.2">
      <c r="BH12369" s="25"/>
      <c r="BI12369" s="25"/>
      <c r="BJ12369" s="25"/>
      <c r="BK12369" s="25"/>
    </row>
    <row r="12370" spans="60:63" ht="14.25" x14ac:dyDescent="0.2">
      <c r="BH12370" s="25"/>
      <c r="BI12370" s="25"/>
      <c r="BJ12370" s="25"/>
      <c r="BK12370" s="25"/>
    </row>
    <row r="12371" spans="60:63" ht="14.25" x14ac:dyDescent="0.2">
      <c r="BH12371" s="25"/>
      <c r="BI12371" s="25"/>
      <c r="BJ12371" s="25"/>
      <c r="BK12371" s="25"/>
    </row>
    <row r="12372" spans="60:63" ht="14.25" x14ac:dyDescent="0.2">
      <c r="BH12372" s="25"/>
      <c r="BI12372" s="25"/>
      <c r="BJ12372" s="25"/>
      <c r="BK12372" s="25"/>
    </row>
    <row r="12373" spans="60:63" ht="14.25" x14ac:dyDescent="0.2">
      <c r="BH12373" s="25"/>
      <c r="BI12373" s="25"/>
      <c r="BJ12373" s="25"/>
      <c r="BK12373" s="25"/>
    </row>
    <row r="12374" spans="60:63" ht="14.25" x14ac:dyDescent="0.2">
      <c r="BH12374" s="25"/>
      <c r="BI12374" s="25"/>
      <c r="BJ12374" s="25"/>
      <c r="BK12374" s="25"/>
    </row>
    <row r="12375" spans="60:63" ht="14.25" x14ac:dyDescent="0.2">
      <c r="BH12375" s="25"/>
      <c r="BI12375" s="25"/>
      <c r="BJ12375" s="25"/>
      <c r="BK12375" s="25"/>
    </row>
    <row r="12376" spans="60:63" ht="14.25" x14ac:dyDescent="0.2">
      <c r="BH12376" s="25"/>
      <c r="BI12376" s="25"/>
      <c r="BJ12376" s="25"/>
      <c r="BK12376" s="25"/>
    </row>
    <row r="12377" spans="60:63" ht="14.25" x14ac:dyDescent="0.2">
      <c r="BH12377" s="25"/>
      <c r="BI12377" s="25"/>
      <c r="BJ12377" s="25"/>
      <c r="BK12377" s="25"/>
    </row>
    <row r="12378" spans="60:63" ht="14.25" x14ac:dyDescent="0.2">
      <c r="BH12378" s="25"/>
      <c r="BI12378" s="25"/>
      <c r="BJ12378" s="25"/>
      <c r="BK12378" s="25"/>
    </row>
    <row r="12379" spans="60:63" ht="14.25" x14ac:dyDescent="0.2">
      <c r="BH12379" s="25"/>
      <c r="BI12379" s="25"/>
      <c r="BJ12379" s="25"/>
      <c r="BK12379" s="25"/>
    </row>
    <row r="12380" spans="60:63" ht="14.25" x14ac:dyDescent="0.2">
      <c r="BH12380" s="25"/>
      <c r="BI12380" s="25"/>
      <c r="BJ12380" s="25"/>
      <c r="BK12380" s="25"/>
    </row>
    <row r="12381" spans="60:63" ht="14.25" x14ac:dyDescent="0.2">
      <c r="BH12381" s="25"/>
      <c r="BI12381" s="25"/>
      <c r="BJ12381" s="25"/>
      <c r="BK12381" s="25"/>
    </row>
    <row r="12382" spans="60:63" ht="14.25" x14ac:dyDescent="0.2">
      <c r="BH12382" s="25"/>
      <c r="BI12382" s="25"/>
      <c r="BJ12382" s="25"/>
      <c r="BK12382" s="25"/>
    </row>
    <row r="12383" spans="60:63" ht="14.25" x14ac:dyDescent="0.2">
      <c r="BH12383" s="25"/>
      <c r="BI12383" s="25"/>
      <c r="BJ12383" s="25"/>
      <c r="BK12383" s="25"/>
    </row>
    <row r="12384" spans="60:63" ht="14.25" x14ac:dyDescent="0.2">
      <c r="BH12384" s="25"/>
      <c r="BI12384" s="25"/>
      <c r="BJ12384" s="25"/>
      <c r="BK12384" s="25"/>
    </row>
    <row r="12385" spans="60:63" ht="14.25" x14ac:dyDescent="0.2">
      <c r="BH12385" s="25"/>
      <c r="BI12385" s="25"/>
      <c r="BJ12385" s="25"/>
      <c r="BK12385" s="25"/>
    </row>
    <row r="12386" spans="60:63" ht="14.25" x14ac:dyDescent="0.2">
      <c r="BH12386" s="25"/>
      <c r="BI12386" s="25"/>
      <c r="BJ12386" s="25"/>
      <c r="BK12386" s="25"/>
    </row>
    <row r="12387" spans="60:63" ht="14.25" x14ac:dyDescent="0.2">
      <c r="BH12387" s="25"/>
      <c r="BI12387" s="25"/>
      <c r="BJ12387" s="25"/>
      <c r="BK12387" s="25"/>
    </row>
    <row r="12388" spans="60:63" ht="14.25" x14ac:dyDescent="0.2">
      <c r="BH12388" s="25"/>
      <c r="BI12388" s="25"/>
      <c r="BJ12388" s="25"/>
      <c r="BK12388" s="25"/>
    </row>
    <row r="12389" spans="60:63" ht="14.25" x14ac:dyDescent="0.2">
      <c r="BH12389" s="25"/>
      <c r="BI12389" s="25"/>
      <c r="BJ12389" s="25"/>
      <c r="BK12389" s="25"/>
    </row>
    <row r="12390" spans="60:63" ht="14.25" x14ac:dyDescent="0.2">
      <c r="BH12390" s="25"/>
      <c r="BI12390" s="25"/>
      <c r="BJ12390" s="25"/>
      <c r="BK12390" s="25"/>
    </row>
    <row r="12391" spans="60:63" ht="14.25" x14ac:dyDescent="0.2">
      <c r="BH12391" s="25"/>
      <c r="BI12391" s="25"/>
      <c r="BJ12391" s="25"/>
      <c r="BK12391" s="25"/>
    </row>
    <row r="12392" spans="60:63" ht="14.25" x14ac:dyDescent="0.2">
      <c r="BH12392" s="25"/>
      <c r="BI12392" s="25"/>
      <c r="BJ12392" s="25"/>
      <c r="BK12392" s="25"/>
    </row>
    <row r="12393" spans="60:63" ht="14.25" x14ac:dyDescent="0.2">
      <c r="BH12393" s="25"/>
      <c r="BI12393" s="25"/>
      <c r="BJ12393" s="25"/>
      <c r="BK12393" s="25"/>
    </row>
    <row r="12394" spans="60:63" ht="14.25" x14ac:dyDescent="0.2">
      <c r="BH12394" s="25"/>
      <c r="BI12394" s="25"/>
      <c r="BJ12394" s="25"/>
      <c r="BK12394" s="25"/>
    </row>
    <row r="12395" spans="60:63" ht="14.25" x14ac:dyDescent="0.2">
      <c r="BH12395" s="25"/>
      <c r="BI12395" s="25"/>
      <c r="BJ12395" s="25"/>
      <c r="BK12395" s="25"/>
    </row>
    <row r="12396" spans="60:63" ht="14.25" x14ac:dyDescent="0.2">
      <c r="BH12396" s="25"/>
      <c r="BI12396" s="25"/>
      <c r="BJ12396" s="25"/>
      <c r="BK12396" s="25"/>
    </row>
    <row r="12397" spans="60:63" ht="14.25" x14ac:dyDescent="0.2">
      <c r="BH12397" s="25"/>
      <c r="BI12397" s="25"/>
      <c r="BJ12397" s="25"/>
      <c r="BK12397" s="25"/>
    </row>
    <row r="12398" spans="60:63" ht="14.25" x14ac:dyDescent="0.2">
      <c r="BH12398" s="25"/>
      <c r="BI12398" s="25"/>
      <c r="BJ12398" s="25"/>
      <c r="BK12398" s="25"/>
    </row>
    <row r="12399" spans="60:63" ht="14.25" x14ac:dyDescent="0.2">
      <c r="BH12399" s="25"/>
      <c r="BI12399" s="25"/>
      <c r="BJ12399" s="25"/>
      <c r="BK12399" s="25"/>
    </row>
    <row r="12400" spans="60:63" ht="14.25" x14ac:dyDescent="0.2">
      <c r="BH12400" s="25"/>
      <c r="BI12400" s="25"/>
      <c r="BJ12400" s="25"/>
      <c r="BK12400" s="25"/>
    </row>
    <row r="12401" spans="60:63" ht="14.25" x14ac:dyDescent="0.2">
      <c r="BH12401" s="25"/>
      <c r="BI12401" s="25"/>
      <c r="BJ12401" s="25"/>
      <c r="BK12401" s="25"/>
    </row>
    <row r="12402" spans="60:63" ht="14.25" x14ac:dyDescent="0.2">
      <c r="BH12402" s="25"/>
      <c r="BI12402" s="25"/>
      <c r="BJ12402" s="25"/>
      <c r="BK12402" s="25"/>
    </row>
    <row r="12403" spans="60:63" ht="14.25" x14ac:dyDescent="0.2">
      <c r="BH12403" s="25"/>
      <c r="BI12403" s="25"/>
      <c r="BJ12403" s="25"/>
      <c r="BK12403" s="25"/>
    </row>
    <row r="12404" spans="60:63" ht="14.25" x14ac:dyDescent="0.2">
      <c r="BH12404" s="25"/>
      <c r="BI12404" s="25"/>
      <c r="BJ12404" s="25"/>
      <c r="BK12404" s="25"/>
    </row>
    <row r="12405" spans="60:63" ht="14.25" x14ac:dyDescent="0.2">
      <c r="BH12405" s="25"/>
      <c r="BI12405" s="25"/>
      <c r="BJ12405" s="25"/>
      <c r="BK12405" s="25"/>
    </row>
    <row r="12406" spans="60:63" ht="14.25" x14ac:dyDescent="0.2">
      <c r="BH12406" s="25"/>
      <c r="BI12406" s="25"/>
      <c r="BJ12406" s="25"/>
      <c r="BK12406" s="25"/>
    </row>
    <row r="12407" spans="60:63" ht="14.25" x14ac:dyDescent="0.2">
      <c r="BH12407" s="25"/>
      <c r="BI12407" s="25"/>
      <c r="BJ12407" s="25"/>
      <c r="BK12407" s="25"/>
    </row>
    <row r="12408" spans="60:63" ht="14.25" x14ac:dyDescent="0.2">
      <c r="BH12408" s="25"/>
      <c r="BI12408" s="25"/>
      <c r="BJ12408" s="25"/>
      <c r="BK12408" s="25"/>
    </row>
    <row r="12409" spans="60:63" ht="14.25" x14ac:dyDescent="0.2">
      <c r="BH12409" s="25"/>
      <c r="BI12409" s="25"/>
      <c r="BJ12409" s="25"/>
      <c r="BK12409" s="25"/>
    </row>
    <row r="12410" spans="60:63" ht="14.25" x14ac:dyDescent="0.2">
      <c r="BH12410" s="25"/>
      <c r="BI12410" s="25"/>
      <c r="BJ12410" s="25"/>
      <c r="BK12410" s="25"/>
    </row>
    <row r="12411" spans="60:63" ht="14.25" x14ac:dyDescent="0.2">
      <c r="BH12411" s="25"/>
      <c r="BI12411" s="25"/>
      <c r="BJ12411" s="25"/>
      <c r="BK12411" s="25"/>
    </row>
    <row r="12412" spans="60:63" ht="14.25" x14ac:dyDescent="0.2">
      <c r="BH12412" s="25"/>
      <c r="BI12412" s="25"/>
      <c r="BJ12412" s="25"/>
      <c r="BK12412" s="25"/>
    </row>
    <row r="12413" spans="60:63" ht="14.25" x14ac:dyDescent="0.2">
      <c r="BH12413" s="25"/>
      <c r="BI12413" s="25"/>
      <c r="BJ12413" s="25"/>
      <c r="BK12413" s="25"/>
    </row>
    <row r="12414" spans="60:63" ht="14.25" x14ac:dyDescent="0.2">
      <c r="BH12414" s="25"/>
      <c r="BI12414" s="25"/>
      <c r="BJ12414" s="25"/>
      <c r="BK12414" s="25"/>
    </row>
    <row r="12415" spans="60:63" ht="14.25" x14ac:dyDescent="0.2">
      <c r="BH12415" s="25"/>
      <c r="BI12415" s="25"/>
      <c r="BJ12415" s="25"/>
      <c r="BK12415" s="25"/>
    </row>
    <row r="12416" spans="60:63" ht="14.25" x14ac:dyDescent="0.2">
      <c r="BH12416" s="25"/>
      <c r="BI12416" s="25"/>
      <c r="BJ12416" s="25"/>
      <c r="BK12416" s="25"/>
    </row>
    <row r="12417" spans="60:63" ht="14.25" x14ac:dyDescent="0.2">
      <c r="BH12417" s="25"/>
      <c r="BI12417" s="25"/>
      <c r="BJ12417" s="25"/>
      <c r="BK12417" s="25"/>
    </row>
    <row r="12418" spans="60:63" ht="14.25" x14ac:dyDescent="0.2">
      <c r="BH12418" s="25"/>
      <c r="BI12418" s="25"/>
      <c r="BJ12418" s="25"/>
      <c r="BK12418" s="25"/>
    </row>
    <row r="12419" spans="60:63" ht="14.25" x14ac:dyDescent="0.2">
      <c r="BH12419" s="25"/>
      <c r="BI12419" s="25"/>
      <c r="BJ12419" s="25"/>
      <c r="BK12419" s="25"/>
    </row>
    <row r="12420" spans="60:63" ht="14.25" x14ac:dyDescent="0.2">
      <c r="BH12420" s="25"/>
      <c r="BI12420" s="25"/>
      <c r="BJ12420" s="25"/>
      <c r="BK12420" s="25"/>
    </row>
    <row r="12421" spans="60:63" ht="14.25" x14ac:dyDescent="0.2">
      <c r="BH12421" s="25"/>
      <c r="BI12421" s="25"/>
      <c r="BJ12421" s="25"/>
      <c r="BK12421" s="25"/>
    </row>
    <row r="12422" spans="60:63" ht="14.25" x14ac:dyDescent="0.2">
      <c r="BH12422" s="25"/>
      <c r="BI12422" s="25"/>
      <c r="BJ12422" s="25"/>
      <c r="BK12422" s="25"/>
    </row>
    <row r="12423" spans="60:63" ht="14.25" x14ac:dyDescent="0.2">
      <c r="BH12423" s="25"/>
      <c r="BI12423" s="25"/>
      <c r="BJ12423" s="25"/>
      <c r="BK12423" s="25"/>
    </row>
    <row r="12424" spans="60:63" ht="14.25" x14ac:dyDescent="0.2">
      <c r="BH12424" s="25"/>
      <c r="BI12424" s="25"/>
      <c r="BJ12424" s="25"/>
      <c r="BK12424" s="25"/>
    </row>
    <row r="12425" spans="60:63" ht="14.25" x14ac:dyDescent="0.2">
      <c r="BH12425" s="25"/>
      <c r="BI12425" s="25"/>
      <c r="BJ12425" s="25"/>
      <c r="BK12425" s="25"/>
    </row>
    <row r="12426" spans="60:63" ht="14.25" x14ac:dyDescent="0.2">
      <c r="BH12426" s="25"/>
      <c r="BI12426" s="25"/>
      <c r="BJ12426" s="25"/>
      <c r="BK12426" s="25"/>
    </row>
    <row r="12427" spans="60:63" ht="14.25" x14ac:dyDescent="0.2">
      <c r="BH12427" s="25"/>
      <c r="BI12427" s="25"/>
      <c r="BJ12427" s="25"/>
      <c r="BK12427" s="25"/>
    </row>
    <row r="12428" spans="60:63" ht="14.25" x14ac:dyDescent="0.2">
      <c r="BH12428" s="25"/>
      <c r="BI12428" s="25"/>
      <c r="BJ12428" s="25"/>
      <c r="BK12428" s="25"/>
    </row>
    <row r="12429" spans="60:63" ht="14.25" x14ac:dyDescent="0.2">
      <c r="BH12429" s="25"/>
      <c r="BI12429" s="25"/>
      <c r="BJ12429" s="25"/>
      <c r="BK12429" s="25"/>
    </row>
    <row r="12430" spans="60:63" ht="14.25" x14ac:dyDescent="0.2">
      <c r="BH12430" s="25"/>
      <c r="BI12430" s="25"/>
      <c r="BJ12430" s="25"/>
      <c r="BK12430" s="25"/>
    </row>
    <row r="12431" spans="60:63" ht="14.25" x14ac:dyDescent="0.2">
      <c r="BH12431" s="25"/>
      <c r="BI12431" s="25"/>
      <c r="BJ12431" s="25"/>
      <c r="BK12431" s="25"/>
    </row>
    <row r="12432" spans="60:63" ht="14.25" x14ac:dyDescent="0.2">
      <c r="BH12432" s="25"/>
      <c r="BI12432" s="25"/>
      <c r="BJ12432" s="25"/>
      <c r="BK12432" s="25"/>
    </row>
    <row r="12433" spans="60:63" ht="14.25" x14ac:dyDescent="0.2">
      <c r="BH12433" s="25"/>
      <c r="BI12433" s="25"/>
      <c r="BJ12433" s="25"/>
      <c r="BK12433" s="25"/>
    </row>
    <row r="12434" spans="60:63" ht="14.25" x14ac:dyDescent="0.2">
      <c r="BH12434" s="25"/>
      <c r="BI12434" s="25"/>
      <c r="BJ12434" s="25"/>
      <c r="BK12434" s="25"/>
    </row>
    <row r="12435" spans="60:63" ht="14.25" x14ac:dyDescent="0.2">
      <c r="BH12435" s="25"/>
      <c r="BI12435" s="25"/>
      <c r="BJ12435" s="25"/>
      <c r="BK12435" s="25"/>
    </row>
    <row r="12436" spans="60:63" ht="14.25" x14ac:dyDescent="0.2">
      <c r="BH12436" s="25"/>
      <c r="BI12436" s="25"/>
      <c r="BJ12436" s="25"/>
      <c r="BK12436" s="25"/>
    </row>
    <row r="12437" spans="60:63" ht="14.25" x14ac:dyDescent="0.2">
      <c r="BH12437" s="25"/>
      <c r="BI12437" s="25"/>
      <c r="BJ12437" s="25"/>
      <c r="BK12437" s="25"/>
    </row>
    <row r="12438" spans="60:63" ht="14.25" x14ac:dyDescent="0.2">
      <c r="BH12438" s="25"/>
      <c r="BI12438" s="25"/>
      <c r="BJ12438" s="25"/>
      <c r="BK12438" s="25"/>
    </row>
    <row r="12439" spans="60:63" ht="14.25" x14ac:dyDescent="0.2">
      <c r="BH12439" s="25"/>
      <c r="BI12439" s="25"/>
      <c r="BJ12439" s="25"/>
      <c r="BK12439" s="25"/>
    </row>
    <row r="12440" spans="60:63" ht="14.25" x14ac:dyDescent="0.2">
      <c r="BH12440" s="25"/>
      <c r="BI12440" s="25"/>
      <c r="BJ12440" s="25"/>
      <c r="BK12440" s="25"/>
    </row>
    <row r="12441" spans="60:63" ht="14.25" x14ac:dyDescent="0.2">
      <c r="BH12441" s="25"/>
      <c r="BI12441" s="25"/>
      <c r="BJ12441" s="25"/>
      <c r="BK12441" s="25"/>
    </row>
    <row r="12442" spans="60:63" ht="14.25" x14ac:dyDescent="0.2">
      <c r="BH12442" s="25"/>
      <c r="BI12442" s="25"/>
      <c r="BJ12442" s="25"/>
      <c r="BK12442" s="25"/>
    </row>
    <row r="12443" spans="60:63" ht="14.25" x14ac:dyDescent="0.2">
      <c r="BH12443" s="25"/>
      <c r="BI12443" s="25"/>
      <c r="BJ12443" s="25"/>
      <c r="BK12443" s="25"/>
    </row>
    <row r="12444" spans="60:63" ht="14.25" x14ac:dyDescent="0.2">
      <c r="BH12444" s="25"/>
      <c r="BI12444" s="25"/>
      <c r="BJ12444" s="25"/>
      <c r="BK12444" s="25"/>
    </row>
    <row r="12445" spans="60:63" ht="14.25" x14ac:dyDescent="0.2">
      <c r="BH12445" s="25"/>
      <c r="BI12445" s="25"/>
      <c r="BJ12445" s="25"/>
      <c r="BK12445" s="25"/>
    </row>
    <row r="12446" spans="60:63" ht="14.25" x14ac:dyDescent="0.2">
      <c r="BH12446" s="25"/>
      <c r="BI12446" s="25"/>
      <c r="BJ12446" s="25"/>
      <c r="BK12446" s="25"/>
    </row>
    <row r="12447" spans="60:63" ht="14.25" x14ac:dyDescent="0.2">
      <c r="BH12447" s="25"/>
      <c r="BI12447" s="25"/>
      <c r="BJ12447" s="25"/>
      <c r="BK12447" s="25"/>
    </row>
    <row r="12448" spans="60:63" ht="14.25" x14ac:dyDescent="0.2">
      <c r="BH12448" s="25"/>
      <c r="BI12448" s="25"/>
      <c r="BJ12448" s="25"/>
      <c r="BK12448" s="25"/>
    </row>
    <row r="12449" spans="60:63" ht="14.25" x14ac:dyDescent="0.2">
      <c r="BH12449" s="25"/>
      <c r="BI12449" s="25"/>
      <c r="BJ12449" s="25"/>
      <c r="BK12449" s="25"/>
    </row>
    <row r="12450" spans="60:63" ht="14.25" x14ac:dyDescent="0.2">
      <c r="BH12450" s="25"/>
      <c r="BI12450" s="25"/>
      <c r="BJ12450" s="25"/>
      <c r="BK12450" s="25"/>
    </row>
    <row r="12451" spans="60:63" ht="14.25" x14ac:dyDescent="0.2">
      <c r="BH12451" s="25"/>
      <c r="BI12451" s="25"/>
      <c r="BJ12451" s="25"/>
      <c r="BK12451" s="25"/>
    </row>
    <row r="12452" spans="60:63" ht="14.25" x14ac:dyDescent="0.2">
      <c r="BH12452" s="25"/>
      <c r="BI12452" s="25"/>
      <c r="BJ12452" s="25"/>
      <c r="BK12452" s="25"/>
    </row>
    <row r="12453" spans="60:63" ht="14.25" x14ac:dyDescent="0.2">
      <c r="BH12453" s="25"/>
      <c r="BI12453" s="25"/>
      <c r="BJ12453" s="25"/>
      <c r="BK12453" s="25"/>
    </row>
    <row r="12454" spans="60:63" ht="14.25" x14ac:dyDescent="0.2">
      <c r="BH12454" s="25"/>
      <c r="BI12454" s="25"/>
      <c r="BJ12454" s="25"/>
      <c r="BK12454" s="25"/>
    </row>
    <row r="12455" spans="60:63" ht="14.25" x14ac:dyDescent="0.2">
      <c r="BH12455" s="25"/>
      <c r="BI12455" s="25"/>
      <c r="BJ12455" s="25"/>
      <c r="BK12455" s="25"/>
    </row>
    <row r="12456" spans="60:63" ht="14.25" x14ac:dyDescent="0.2">
      <c r="BH12456" s="25"/>
      <c r="BI12456" s="25"/>
      <c r="BJ12456" s="25"/>
      <c r="BK12456" s="25"/>
    </row>
    <row r="12457" spans="60:63" ht="14.25" x14ac:dyDescent="0.2">
      <c r="BH12457" s="25"/>
      <c r="BI12457" s="25"/>
      <c r="BJ12457" s="25"/>
      <c r="BK12457" s="25"/>
    </row>
    <row r="12458" spans="60:63" ht="14.25" x14ac:dyDescent="0.2">
      <c r="BH12458" s="25"/>
      <c r="BI12458" s="25"/>
      <c r="BJ12458" s="25"/>
      <c r="BK12458" s="25"/>
    </row>
    <row r="12459" spans="60:63" ht="14.25" x14ac:dyDescent="0.2">
      <c r="BH12459" s="25"/>
      <c r="BI12459" s="25"/>
      <c r="BJ12459" s="25"/>
      <c r="BK12459" s="25"/>
    </row>
    <row r="12460" spans="60:63" ht="14.25" x14ac:dyDescent="0.2">
      <c r="BH12460" s="25"/>
      <c r="BI12460" s="25"/>
      <c r="BJ12460" s="25"/>
      <c r="BK12460" s="25"/>
    </row>
    <row r="12461" spans="60:63" ht="14.25" x14ac:dyDescent="0.2">
      <c r="BH12461" s="25"/>
      <c r="BI12461" s="25"/>
      <c r="BJ12461" s="25"/>
      <c r="BK12461" s="25"/>
    </row>
    <row r="12462" spans="60:63" ht="14.25" x14ac:dyDescent="0.2">
      <c r="BH12462" s="25"/>
      <c r="BI12462" s="25"/>
      <c r="BJ12462" s="25"/>
      <c r="BK12462" s="25"/>
    </row>
    <row r="12463" spans="60:63" ht="14.25" x14ac:dyDescent="0.2">
      <c r="BH12463" s="25"/>
      <c r="BI12463" s="25"/>
      <c r="BJ12463" s="25"/>
      <c r="BK12463" s="25"/>
    </row>
    <row r="12464" spans="60:63" ht="14.25" x14ac:dyDescent="0.2">
      <c r="BH12464" s="25"/>
      <c r="BI12464" s="25"/>
      <c r="BJ12464" s="25"/>
      <c r="BK12464" s="25"/>
    </row>
    <row r="12465" spans="60:63" ht="14.25" x14ac:dyDescent="0.2">
      <c r="BH12465" s="25"/>
      <c r="BI12465" s="25"/>
      <c r="BJ12465" s="25"/>
      <c r="BK12465" s="25"/>
    </row>
    <row r="12466" spans="60:63" ht="14.25" x14ac:dyDescent="0.2">
      <c r="BH12466" s="25"/>
      <c r="BI12466" s="25"/>
      <c r="BJ12466" s="25"/>
      <c r="BK12466" s="25"/>
    </row>
    <row r="12467" spans="60:63" ht="14.25" x14ac:dyDescent="0.2">
      <c r="BH12467" s="25"/>
      <c r="BI12467" s="25"/>
      <c r="BJ12467" s="25"/>
      <c r="BK12467" s="25"/>
    </row>
    <row r="12468" spans="60:63" ht="14.25" x14ac:dyDescent="0.2">
      <c r="BH12468" s="25"/>
      <c r="BI12468" s="25"/>
      <c r="BJ12468" s="25"/>
      <c r="BK12468" s="25"/>
    </row>
    <row r="12469" spans="60:63" ht="14.25" x14ac:dyDescent="0.2">
      <c r="BH12469" s="25"/>
      <c r="BI12469" s="25"/>
      <c r="BJ12469" s="25"/>
      <c r="BK12469" s="25"/>
    </row>
    <row r="12470" spans="60:63" ht="14.25" x14ac:dyDescent="0.2">
      <c r="BH12470" s="25"/>
      <c r="BI12470" s="25"/>
      <c r="BJ12470" s="25"/>
      <c r="BK12470" s="25"/>
    </row>
    <row r="12471" spans="60:63" ht="14.25" x14ac:dyDescent="0.2">
      <c r="BH12471" s="25"/>
      <c r="BI12471" s="25"/>
      <c r="BJ12471" s="25"/>
      <c r="BK12471" s="25"/>
    </row>
    <row r="12472" spans="60:63" ht="14.25" x14ac:dyDescent="0.2">
      <c r="BH12472" s="25"/>
      <c r="BI12472" s="25"/>
      <c r="BJ12472" s="25"/>
      <c r="BK12472" s="25"/>
    </row>
    <row r="12473" spans="60:63" ht="14.25" x14ac:dyDescent="0.2">
      <c r="BH12473" s="25"/>
      <c r="BI12473" s="25"/>
      <c r="BJ12473" s="25"/>
      <c r="BK12473" s="25"/>
    </row>
    <row r="12474" spans="60:63" ht="14.25" x14ac:dyDescent="0.2">
      <c r="BH12474" s="25"/>
      <c r="BI12474" s="25"/>
      <c r="BJ12474" s="25"/>
      <c r="BK12474" s="25"/>
    </row>
    <row r="12475" spans="60:63" ht="14.25" x14ac:dyDescent="0.2">
      <c r="BH12475" s="25"/>
      <c r="BI12475" s="25"/>
      <c r="BJ12475" s="25"/>
      <c r="BK12475" s="25"/>
    </row>
    <row r="12476" spans="60:63" ht="14.25" x14ac:dyDescent="0.2">
      <c r="BH12476" s="25"/>
      <c r="BI12476" s="25"/>
      <c r="BJ12476" s="25"/>
      <c r="BK12476" s="25"/>
    </row>
    <row r="12477" spans="60:63" ht="14.25" x14ac:dyDescent="0.2">
      <c r="BH12477" s="25"/>
      <c r="BI12477" s="25"/>
      <c r="BJ12477" s="25"/>
      <c r="BK12477" s="25"/>
    </row>
    <row r="12478" spans="60:63" ht="14.25" x14ac:dyDescent="0.2">
      <c r="BH12478" s="25"/>
      <c r="BI12478" s="25"/>
      <c r="BJ12478" s="25"/>
      <c r="BK12478" s="25"/>
    </row>
    <row r="12479" spans="60:63" ht="14.25" x14ac:dyDescent="0.2">
      <c r="BH12479" s="25"/>
      <c r="BI12479" s="25"/>
      <c r="BJ12479" s="25"/>
      <c r="BK12479" s="25"/>
    </row>
    <row r="12480" spans="60:63" ht="14.25" x14ac:dyDescent="0.2">
      <c r="BH12480" s="25"/>
      <c r="BI12480" s="25"/>
      <c r="BJ12480" s="25"/>
      <c r="BK12480" s="25"/>
    </row>
    <row r="12481" spans="60:63" ht="14.25" x14ac:dyDescent="0.2">
      <c r="BH12481" s="25"/>
      <c r="BI12481" s="25"/>
      <c r="BJ12481" s="25"/>
      <c r="BK12481" s="25"/>
    </row>
    <row r="12482" spans="60:63" ht="14.25" x14ac:dyDescent="0.2">
      <c r="BH12482" s="25"/>
      <c r="BI12482" s="25"/>
      <c r="BJ12482" s="25"/>
      <c r="BK12482" s="25"/>
    </row>
    <row r="12483" spans="60:63" ht="14.25" x14ac:dyDescent="0.2">
      <c r="BH12483" s="25"/>
      <c r="BI12483" s="25"/>
      <c r="BJ12483" s="25"/>
      <c r="BK12483" s="25"/>
    </row>
    <row r="12484" spans="60:63" ht="14.25" x14ac:dyDescent="0.2">
      <c r="BH12484" s="25"/>
      <c r="BI12484" s="25"/>
      <c r="BJ12484" s="25"/>
      <c r="BK12484" s="25"/>
    </row>
    <row r="12485" spans="60:63" ht="14.25" x14ac:dyDescent="0.2">
      <c r="BH12485" s="25"/>
      <c r="BI12485" s="25"/>
      <c r="BJ12485" s="25"/>
      <c r="BK12485" s="25"/>
    </row>
    <row r="12486" spans="60:63" ht="14.25" x14ac:dyDescent="0.2">
      <c r="BH12486" s="25"/>
      <c r="BI12486" s="25"/>
      <c r="BJ12486" s="25"/>
      <c r="BK12486" s="25"/>
    </row>
    <row r="12487" spans="60:63" ht="14.25" x14ac:dyDescent="0.2">
      <c r="BH12487" s="25"/>
      <c r="BI12487" s="25"/>
      <c r="BJ12487" s="25"/>
      <c r="BK12487" s="25"/>
    </row>
    <row r="12488" spans="60:63" ht="14.25" x14ac:dyDescent="0.2">
      <c r="BH12488" s="25"/>
      <c r="BI12488" s="25"/>
      <c r="BJ12488" s="25"/>
      <c r="BK12488" s="25"/>
    </row>
    <row r="12489" spans="60:63" ht="14.25" x14ac:dyDescent="0.2">
      <c r="BH12489" s="25"/>
      <c r="BI12489" s="25"/>
      <c r="BJ12489" s="25"/>
      <c r="BK12489" s="25"/>
    </row>
    <row r="12490" spans="60:63" ht="14.25" x14ac:dyDescent="0.2">
      <c r="BH12490" s="25"/>
      <c r="BI12490" s="25"/>
      <c r="BJ12490" s="25"/>
      <c r="BK12490" s="25"/>
    </row>
    <row r="12491" spans="60:63" ht="14.25" x14ac:dyDescent="0.2">
      <c r="BH12491" s="25"/>
      <c r="BI12491" s="25"/>
      <c r="BJ12491" s="25"/>
      <c r="BK12491" s="25"/>
    </row>
    <row r="12492" spans="60:63" ht="14.25" x14ac:dyDescent="0.2">
      <c r="BH12492" s="25"/>
      <c r="BI12492" s="25"/>
      <c r="BJ12492" s="25"/>
      <c r="BK12492" s="25"/>
    </row>
    <row r="12493" spans="60:63" ht="14.25" x14ac:dyDescent="0.2">
      <c r="BH12493" s="25"/>
      <c r="BI12493" s="25"/>
      <c r="BJ12493" s="25"/>
      <c r="BK12493" s="25"/>
    </row>
    <row r="12494" spans="60:63" ht="14.25" x14ac:dyDescent="0.2">
      <c r="BH12494" s="25"/>
      <c r="BI12494" s="25"/>
      <c r="BJ12494" s="25"/>
      <c r="BK12494" s="25"/>
    </row>
    <row r="12495" spans="60:63" ht="14.25" x14ac:dyDescent="0.2">
      <c r="BH12495" s="25"/>
      <c r="BI12495" s="25"/>
      <c r="BJ12495" s="25"/>
      <c r="BK12495" s="25"/>
    </row>
    <row r="12496" spans="60:63" ht="14.25" x14ac:dyDescent="0.2">
      <c r="BH12496" s="25"/>
      <c r="BI12496" s="25"/>
      <c r="BJ12496" s="25"/>
      <c r="BK12496" s="25"/>
    </row>
    <row r="12497" spans="60:63" ht="14.25" x14ac:dyDescent="0.2">
      <c r="BH12497" s="25"/>
      <c r="BI12497" s="25"/>
      <c r="BJ12497" s="25"/>
      <c r="BK12497" s="25"/>
    </row>
    <row r="12498" spans="60:63" ht="14.25" x14ac:dyDescent="0.2">
      <c r="BH12498" s="25"/>
      <c r="BI12498" s="25"/>
      <c r="BJ12498" s="25"/>
      <c r="BK12498" s="25"/>
    </row>
    <row r="12499" spans="60:63" ht="14.25" x14ac:dyDescent="0.2">
      <c r="BH12499" s="25"/>
      <c r="BI12499" s="25"/>
      <c r="BJ12499" s="25"/>
      <c r="BK12499" s="25"/>
    </row>
    <row r="12500" spans="60:63" ht="14.25" x14ac:dyDescent="0.2">
      <c r="BH12500" s="25"/>
      <c r="BI12500" s="25"/>
      <c r="BJ12500" s="25"/>
      <c r="BK12500" s="25"/>
    </row>
    <row r="12501" spans="60:63" ht="14.25" x14ac:dyDescent="0.2">
      <c r="BH12501" s="25"/>
      <c r="BI12501" s="25"/>
      <c r="BJ12501" s="25"/>
      <c r="BK12501" s="25"/>
    </row>
    <row r="12502" spans="60:63" ht="14.25" x14ac:dyDescent="0.2">
      <c r="BH12502" s="25"/>
      <c r="BI12502" s="25"/>
      <c r="BJ12502" s="25"/>
      <c r="BK12502" s="25"/>
    </row>
    <row r="12503" spans="60:63" ht="14.25" x14ac:dyDescent="0.2">
      <c r="BH12503" s="25"/>
      <c r="BI12503" s="25"/>
      <c r="BJ12503" s="25"/>
      <c r="BK12503" s="25"/>
    </row>
    <row r="12504" spans="60:63" ht="14.25" x14ac:dyDescent="0.2">
      <c r="BH12504" s="25"/>
      <c r="BI12504" s="25"/>
      <c r="BJ12504" s="25"/>
      <c r="BK12504" s="25"/>
    </row>
    <row r="12505" spans="60:63" ht="14.25" x14ac:dyDescent="0.2">
      <c r="BH12505" s="25"/>
      <c r="BI12505" s="25"/>
      <c r="BJ12505" s="25"/>
      <c r="BK12505" s="25"/>
    </row>
    <row r="12506" spans="60:63" ht="14.25" x14ac:dyDescent="0.2">
      <c r="BH12506" s="25"/>
      <c r="BI12506" s="25"/>
      <c r="BJ12506" s="25"/>
      <c r="BK12506" s="25"/>
    </row>
    <row r="12507" spans="60:63" ht="14.25" x14ac:dyDescent="0.2">
      <c r="BH12507" s="25"/>
      <c r="BI12507" s="25"/>
      <c r="BJ12507" s="25"/>
      <c r="BK12507" s="25"/>
    </row>
    <row r="12508" spans="60:63" ht="14.25" x14ac:dyDescent="0.2">
      <c r="BH12508" s="25"/>
      <c r="BI12508" s="25"/>
      <c r="BJ12508" s="25"/>
      <c r="BK12508" s="25"/>
    </row>
    <row r="12509" spans="60:63" ht="14.25" x14ac:dyDescent="0.2">
      <c r="BH12509" s="25"/>
      <c r="BI12509" s="25"/>
      <c r="BJ12509" s="25"/>
      <c r="BK12509" s="25"/>
    </row>
    <row r="12510" spans="60:63" ht="14.25" x14ac:dyDescent="0.2">
      <c r="BH12510" s="25"/>
      <c r="BI12510" s="25"/>
      <c r="BJ12510" s="25"/>
      <c r="BK12510" s="25"/>
    </row>
    <row r="12511" spans="60:63" ht="14.25" x14ac:dyDescent="0.2">
      <c r="BH12511" s="25"/>
      <c r="BI12511" s="25"/>
      <c r="BJ12511" s="25"/>
      <c r="BK12511" s="25"/>
    </row>
    <row r="12512" spans="60:63" ht="14.25" x14ac:dyDescent="0.2">
      <c r="BH12512" s="25"/>
      <c r="BI12512" s="25"/>
      <c r="BJ12512" s="25"/>
      <c r="BK12512" s="25"/>
    </row>
    <row r="12513" spans="60:63" ht="14.25" x14ac:dyDescent="0.2">
      <c r="BH12513" s="25"/>
      <c r="BI12513" s="25"/>
      <c r="BJ12513" s="25"/>
      <c r="BK12513" s="25"/>
    </row>
    <row r="12514" spans="60:63" ht="14.25" x14ac:dyDescent="0.2">
      <c r="BH12514" s="25"/>
      <c r="BI12514" s="25"/>
      <c r="BJ12514" s="25"/>
      <c r="BK12514" s="25"/>
    </row>
    <row r="12515" spans="60:63" ht="14.25" x14ac:dyDescent="0.2">
      <c r="BH12515" s="25"/>
      <c r="BI12515" s="25"/>
      <c r="BJ12515" s="25"/>
      <c r="BK12515" s="25"/>
    </row>
    <row r="12516" spans="60:63" ht="14.25" x14ac:dyDescent="0.2">
      <c r="BH12516" s="25"/>
      <c r="BI12516" s="25"/>
      <c r="BJ12516" s="25"/>
      <c r="BK12516" s="25"/>
    </row>
    <row r="12517" spans="60:63" ht="14.25" x14ac:dyDescent="0.2">
      <c r="BH12517" s="25"/>
      <c r="BI12517" s="25"/>
      <c r="BJ12517" s="25"/>
      <c r="BK12517" s="25"/>
    </row>
    <row r="12518" spans="60:63" ht="14.25" x14ac:dyDescent="0.2">
      <c r="BH12518" s="25"/>
      <c r="BI12518" s="25"/>
      <c r="BJ12518" s="25"/>
      <c r="BK12518" s="25"/>
    </row>
    <row r="12519" spans="60:63" ht="14.25" x14ac:dyDescent="0.2">
      <c r="BH12519" s="25"/>
      <c r="BI12519" s="25"/>
      <c r="BJ12519" s="25"/>
      <c r="BK12519" s="25"/>
    </row>
    <row r="12520" spans="60:63" ht="14.25" x14ac:dyDescent="0.2">
      <c r="BH12520" s="25"/>
      <c r="BI12520" s="25"/>
      <c r="BJ12520" s="25"/>
      <c r="BK12520" s="25"/>
    </row>
    <row r="12521" spans="60:63" ht="14.25" x14ac:dyDescent="0.2">
      <c r="BH12521" s="25"/>
      <c r="BI12521" s="25"/>
      <c r="BJ12521" s="25"/>
      <c r="BK12521" s="25"/>
    </row>
    <row r="12522" spans="60:63" ht="14.25" x14ac:dyDescent="0.2">
      <c r="BH12522" s="25"/>
      <c r="BI12522" s="25"/>
      <c r="BJ12522" s="25"/>
      <c r="BK12522" s="25"/>
    </row>
    <row r="12523" spans="60:63" ht="14.25" x14ac:dyDescent="0.2">
      <c r="BH12523" s="25"/>
      <c r="BI12523" s="25"/>
      <c r="BJ12523" s="25"/>
      <c r="BK12523" s="25"/>
    </row>
    <row r="12524" spans="60:63" ht="14.25" x14ac:dyDescent="0.2">
      <c r="BH12524" s="25"/>
      <c r="BI12524" s="25"/>
      <c r="BJ12524" s="25"/>
      <c r="BK12524" s="25"/>
    </row>
    <row r="12525" spans="60:63" ht="14.25" x14ac:dyDescent="0.2">
      <c r="BH12525" s="25"/>
      <c r="BI12525" s="25"/>
      <c r="BJ12525" s="25"/>
      <c r="BK12525" s="25"/>
    </row>
    <row r="12526" spans="60:63" ht="14.25" x14ac:dyDescent="0.2">
      <c r="BH12526" s="25"/>
      <c r="BI12526" s="25"/>
      <c r="BJ12526" s="25"/>
      <c r="BK12526" s="25"/>
    </row>
    <row r="12527" spans="60:63" ht="14.25" x14ac:dyDescent="0.2">
      <c r="BH12527" s="25"/>
      <c r="BI12527" s="25"/>
      <c r="BJ12527" s="25"/>
      <c r="BK12527" s="25"/>
    </row>
    <row r="12528" spans="60:63" ht="14.25" x14ac:dyDescent="0.2">
      <c r="BH12528" s="25"/>
      <c r="BI12528" s="25"/>
      <c r="BJ12528" s="25"/>
      <c r="BK12528" s="25"/>
    </row>
    <row r="12529" spans="60:63" ht="14.25" x14ac:dyDescent="0.2">
      <c r="BH12529" s="25"/>
      <c r="BI12529" s="25"/>
      <c r="BJ12529" s="25"/>
      <c r="BK12529" s="25"/>
    </row>
    <row r="12530" spans="60:63" ht="14.25" x14ac:dyDescent="0.2">
      <c r="BH12530" s="25"/>
      <c r="BI12530" s="25"/>
      <c r="BJ12530" s="25"/>
      <c r="BK12530" s="25"/>
    </row>
    <row r="12531" spans="60:63" ht="14.25" x14ac:dyDescent="0.2">
      <c r="BH12531" s="25"/>
      <c r="BI12531" s="25"/>
      <c r="BJ12531" s="25"/>
      <c r="BK12531" s="25"/>
    </row>
    <row r="12532" spans="60:63" ht="14.25" x14ac:dyDescent="0.2">
      <c r="BH12532" s="25"/>
      <c r="BI12532" s="25"/>
      <c r="BJ12532" s="25"/>
      <c r="BK12532" s="25"/>
    </row>
    <row r="12533" spans="60:63" ht="14.25" x14ac:dyDescent="0.2">
      <c r="BH12533" s="25"/>
      <c r="BI12533" s="25"/>
      <c r="BJ12533" s="25"/>
      <c r="BK12533" s="25"/>
    </row>
    <row r="12534" spans="60:63" ht="14.25" x14ac:dyDescent="0.2">
      <c r="BH12534" s="25"/>
      <c r="BI12534" s="25"/>
      <c r="BJ12534" s="25"/>
      <c r="BK12534" s="25"/>
    </row>
    <row r="12535" spans="60:63" ht="14.25" x14ac:dyDescent="0.2">
      <c r="BH12535" s="25"/>
      <c r="BI12535" s="25"/>
      <c r="BJ12535" s="25"/>
      <c r="BK12535" s="25"/>
    </row>
    <row r="12536" spans="60:63" ht="14.25" x14ac:dyDescent="0.2">
      <c r="BH12536" s="25"/>
      <c r="BI12536" s="25"/>
      <c r="BJ12536" s="25"/>
      <c r="BK12536" s="25"/>
    </row>
    <row r="12537" spans="60:63" ht="14.25" x14ac:dyDescent="0.2">
      <c r="BH12537" s="25"/>
      <c r="BI12537" s="25"/>
      <c r="BJ12537" s="25"/>
      <c r="BK12537" s="25"/>
    </row>
    <row r="12538" spans="60:63" ht="14.25" x14ac:dyDescent="0.2">
      <c r="BH12538" s="25"/>
      <c r="BI12538" s="25"/>
      <c r="BJ12538" s="25"/>
      <c r="BK12538" s="25"/>
    </row>
    <row r="12539" spans="60:63" ht="14.25" x14ac:dyDescent="0.2">
      <c r="BH12539" s="25"/>
      <c r="BI12539" s="25"/>
      <c r="BJ12539" s="25"/>
      <c r="BK12539" s="25"/>
    </row>
    <row r="12540" spans="60:63" ht="14.25" x14ac:dyDescent="0.2">
      <c r="BH12540" s="25"/>
      <c r="BI12540" s="25"/>
      <c r="BJ12540" s="25"/>
      <c r="BK12540" s="25"/>
    </row>
    <row r="12541" spans="60:63" ht="14.25" x14ac:dyDescent="0.2">
      <c r="BH12541" s="25"/>
      <c r="BI12541" s="25"/>
      <c r="BJ12541" s="25"/>
      <c r="BK12541" s="25"/>
    </row>
    <row r="12542" spans="60:63" ht="14.25" x14ac:dyDescent="0.2">
      <c r="BH12542" s="25"/>
      <c r="BI12542" s="25"/>
      <c r="BJ12542" s="25"/>
      <c r="BK12542" s="25"/>
    </row>
    <row r="12543" spans="60:63" ht="14.25" x14ac:dyDescent="0.2">
      <c r="BH12543" s="25"/>
      <c r="BI12543" s="25"/>
      <c r="BJ12543" s="25"/>
      <c r="BK12543" s="25"/>
    </row>
    <row r="12544" spans="60:63" ht="14.25" x14ac:dyDescent="0.2">
      <c r="BH12544" s="25"/>
      <c r="BI12544" s="25"/>
      <c r="BJ12544" s="25"/>
      <c r="BK12544" s="25"/>
    </row>
    <row r="12545" spans="60:63" ht="14.25" x14ac:dyDescent="0.2">
      <c r="BH12545" s="25"/>
      <c r="BI12545" s="25"/>
      <c r="BJ12545" s="25"/>
      <c r="BK12545" s="25"/>
    </row>
    <row r="12546" spans="60:63" ht="14.25" x14ac:dyDescent="0.2">
      <c r="BH12546" s="25"/>
      <c r="BI12546" s="25"/>
      <c r="BJ12546" s="25"/>
      <c r="BK12546" s="25"/>
    </row>
    <row r="12547" spans="60:63" ht="14.25" x14ac:dyDescent="0.2">
      <c r="BH12547" s="25"/>
      <c r="BI12547" s="25"/>
      <c r="BJ12547" s="25"/>
      <c r="BK12547" s="25"/>
    </row>
    <row r="12548" spans="60:63" ht="14.25" x14ac:dyDescent="0.2">
      <c r="BH12548" s="25"/>
      <c r="BI12548" s="25"/>
      <c r="BJ12548" s="25"/>
      <c r="BK12548" s="25"/>
    </row>
    <row r="12549" spans="60:63" ht="14.25" x14ac:dyDescent="0.2">
      <c r="BH12549" s="25"/>
      <c r="BI12549" s="25"/>
      <c r="BJ12549" s="25"/>
      <c r="BK12549" s="25"/>
    </row>
    <row r="12550" spans="60:63" ht="14.25" x14ac:dyDescent="0.2">
      <c r="BH12550" s="25"/>
      <c r="BI12550" s="25"/>
      <c r="BJ12550" s="25"/>
      <c r="BK12550" s="25"/>
    </row>
    <row r="12551" spans="60:63" ht="14.25" x14ac:dyDescent="0.2">
      <c r="BH12551" s="25"/>
      <c r="BI12551" s="25"/>
      <c r="BJ12551" s="25"/>
      <c r="BK12551" s="25"/>
    </row>
    <row r="12552" spans="60:63" ht="14.25" x14ac:dyDescent="0.2">
      <c r="BH12552" s="25"/>
      <c r="BI12552" s="25"/>
      <c r="BJ12552" s="25"/>
      <c r="BK12552" s="25"/>
    </row>
    <row r="12553" spans="60:63" ht="14.25" x14ac:dyDescent="0.2">
      <c r="BH12553" s="25"/>
      <c r="BI12553" s="25"/>
      <c r="BJ12553" s="25"/>
      <c r="BK12553" s="25"/>
    </row>
    <row r="12554" spans="60:63" ht="14.25" x14ac:dyDescent="0.2">
      <c r="BH12554" s="25"/>
      <c r="BI12554" s="25"/>
      <c r="BJ12554" s="25"/>
      <c r="BK12554" s="25"/>
    </row>
    <row r="12555" spans="60:63" ht="14.25" x14ac:dyDescent="0.2">
      <c r="BH12555" s="25"/>
      <c r="BI12555" s="25"/>
      <c r="BJ12555" s="25"/>
      <c r="BK12555" s="25"/>
    </row>
    <row r="12556" spans="60:63" ht="14.25" x14ac:dyDescent="0.2">
      <c r="BH12556" s="25"/>
      <c r="BI12556" s="25"/>
      <c r="BJ12556" s="25"/>
      <c r="BK12556" s="25"/>
    </row>
    <row r="12557" spans="60:63" ht="14.25" x14ac:dyDescent="0.2">
      <c r="BH12557" s="25"/>
      <c r="BI12557" s="25"/>
      <c r="BJ12557" s="25"/>
      <c r="BK12557" s="25"/>
    </row>
    <row r="12558" spans="60:63" ht="14.25" x14ac:dyDescent="0.2">
      <c r="BH12558" s="25"/>
      <c r="BI12558" s="25"/>
      <c r="BJ12558" s="25"/>
      <c r="BK12558" s="25"/>
    </row>
    <row r="12559" spans="60:63" ht="14.25" x14ac:dyDescent="0.2">
      <c r="BH12559" s="25"/>
      <c r="BI12559" s="25"/>
      <c r="BJ12559" s="25"/>
      <c r="BK12559" s="25"/>
    </row>
    <row r="12560" spans="60:63" ht="14.25" x14ac:dyDescent="0.2">
      <c r="BH12560" s="25"/>
      <c r="BI12560" s="25"/>
      <c r="BJ12560" s="25"/>
      <c r="BK12560" s="25"/>
    </row>
    <row r="12561" spans="60:63" ht="14.25" x14ac:dyDescent="0.2">
      <c r="BH12561" s="25"/>
      <c r="BI12561" s="25"/>
      <c r="BJ12561" s="25"/>
      <c r="BK12561" s="25"/>
    </row>
    <row r="12562" spans="60:63" ht="14.25" x14ac:dyDescent="0.2">
      <c r="BH12562" s="25"/>
      <c r="BI12562" s="25"/>
      <c r="BJ12562" s="25"/>
      <c r="BK12562" s="25"/>
    </row>
    <row r="12563" spans="60:63" ht="14.25" x14ac:dyDescent="0.2">
      <c r="BH12563" s="25"/>
      <c r="BI12563" s="25"/>
      <c r="BJ12563" s="25"/>
      <c r="BK12563" s="25"/>
    </row>
    <row r="12564" spans="60:63" ht="14.25" x14ac:dyDescent="0.2">
      <c r="BH12564" s="25"/>
      <c r="BI12564" s="25"/>
      <c r="BJ12564" s="25"/>
      <c r="BK12564" s="25"/>
    </row>
    <row r="12565" spans="60:63" ht="14.25" x14ac:dyDescent="0.2">
      <c r="BH12565" s="25"/>
      <c r="BI12565" s="25"/>
      <c r="BJ12565" s="25"/>
      <c r="BK12565" s="25"/>
    </row>
    <row r="12566" spans="60:63" ht="14.25" x14ac:dyDescent="0.2">
      <c r="BH12566" s="25"/>
      <c r="BI12566" s="25"/>
      <c r="BJ12566" s="25"/>
      <c r="BK12566" s="25"/>
    </row>
    <row r="12567" spans="60:63" ht="14.25" x14ac:dyDescent="0.2">
      <c r="BH12567" s="25"/>
      <c r="BI12567" s="25"/>
      <c r="BJ12567" s="25"/>
      <c r="BK12567" s="25"/>
    </row>
    <row r="12568" spans="60:63" ht="14.25" x14ac:dyDescent="0.2">
      <c r="BH12568" s="25"/>
      <c r="BI12568" s="25"/>
      <c r="BJ12568" s="25"/>
      <c r="BK12568" s="25"/>
    </row>
    <row r="12569" spans="60:63" ht="14.25" x14ac:dyDescent="0.2">
      <c r="BH12569" s="25"/>
      <c r="BI12569" s="25"/>
      <c r="BJ12569" s="25"/>
      <c r="BK12569" s="25"/>
    </row>
    <row r="12570" spans="60:63" ht="14.25" x14ac:dyDescent="0.2">
      <c r="BH12570" s="25"/>
      <c r="BI12570" s="25"/>
      <c r="BJ12570" s="25"/>
      <c r="BK12570" s="25"/>
    </row>
    <row r="12571" spans="60:63" ht="14.25" x14ac:dyDescent="0.2">
      <c r="BH12571" s="25"/>
      <c r="BI12571" s="25"/>
      <c r="BJ12571" s="25"/>
      <c r="BK12571" s="25"/>
    </row>
    <row r="12572" spans="60:63" ht="14.25" x14ac:dyDescent="0.2">
      <c r="BH12572" s="25"/>
      <c r="BI12572" s="25"/>
      <c r="BJ12572" s="25"/>
      <c r="BK12572" s="25"/>
    </row>
    <row r="12573" spans="60:63" ht="14.25" x14ac:dyDescent="0.2">
      <c r="BH12573" s="25"/>
      <c r="BI12573" s="25"/>
      <c r="BJ12573" s="25"/>
      <c r="BK12573" s="25"/>
    </row>
    <row r="12574" spans="60:63" ht="14.25" x14ac:dyDescent="0.2">
      <c r="BH12574" s="25"/>
      <c r="BI12574" s="25"/>
      <c r="BJ12574" s="25"/>
      <c r="BK12574" s="25"/>
    </row>
    <row r="12575" spans="60:63" ht="14.25" x14ac:dyDescent="0.2">
      <c r="BH12575" s="25"/>
      <c r="BI12575" s="25"/>
      <c r="BJ12575" s="25"/>
      <c r="BK12575" s="25"/>
    </row>
    <row r="12576" spans="60:63" ht="14.25" x14ac:dyDescent="0.2">
      <c r="BH12576" s="25"/>
      <c r="BI12576" s="25"/>
      <c r="BJ12576" s="25"/>
      <c r="BK12576" s="25"/>
    </row>
    <row r="12577" spans="60:63" ht="14.25" x14ac:dyDescent="0.2">
      <c r="BH12577" s="25"/>
      <c r="BI12577" s="25"/>
      <c r="BJ12577" s="25"/>
      <c r="BK12577" s="25"/>
    </row>
    <row r="12578" spans="60:63" ht="14.25" x14ac:dyDescent="0.2">
      <c r="BH12578" s="25"/>
      <c r="BI12578" s="25"/>
      <c r="BJ12578" s="25"/>
      <c r="BK12578" s="25"/>
    </row>
    <row r="12579" spans="60:63" ht="14.25" x14ac:dyDescent="0.2">
      <c r="BH12579" s="25"/>
      <c r="BI12579" s="25"/>
      <c r="BJ12579" s="25"/>
      <c r="BK12579" s="25"/>
    </row>
    <row r="12580" spans="60:63" ht="14.25" x14ac:dyDescent="0.2">
      <c r="BH12580" s="25"/>
      <c r="BI12580" s="25"/>
      <c r="BJ12580" s="25"/>
      <c r="BK12580" s="25"/>
    </row>
    <row r="12581" spans="60:63" ht="14.25" x14ac:dyDescent="0.2">
      <c r="BH12581" s="25"/>
      <c r="BI12581" s="25"/>
      <c r="BJ12581" s="25"/>
      <c r="BK12581" s="25"/>
    </row>
    <row r="12582" spans="60:63" ht="14.25" x14ac:dyDescent="0.2">
      <c r="BH12582" s="25"/>
      <c r="BI12582" s="25"/>
      <c r="BJ12582" s="25"/>
      <c r="BK12582" s="25"/>
    </row>
    <row r="12583" spans="60:63" ht="14.25" x14ac:dyDescent="0.2">
      <c r="BH12583" s="25"/>
      <c r="BI12583" s="25"/>
      <c r="BJ12583" s="25"/>
      <c r="BK12583" s="25"/>
    </row>
    <row r="12584" spans="60:63" ht="14.25" x14ac:dyDescent="0.2">
      <c r="BH12584" s="25"/>
      <c r="BI12584" s="25"/>
      <c r="BJ12584" s="25"/>
      <c r="BK12584" s="25"/>
    </row>
    <row r="12585" spans="60:63" ht="14.25" x14ac:dyDescent="0.2">
      <c r="BH12585" s="25"/>
      <c r="BI12585" s="25"/>
      <c r="BJ12585" s="25"/>
      <c r="BK12585" s="25"/>
    </row>
    <row r="12586" spans="60:63" ht="14.25" x14ac:dyDescent="0.2">
      <c r="BH12586" s="25"/>
      <c r="BI12586" s="25"/>
      <c r="BJ12586" s="25"/>
      <c r="BK12586" s="25"/>
    </row>
    <row r="12587" spans="60:63" ht="14.25" x14ac:dyDescent="0.2">
      <c r="BH12587" s="25"/>
      <c r="BI12587" s="25"/>
      <c r="BJ12587" s="25"/>
      <c r="BK12587" s="25"/>
    </row>
    <row r="12588" spans="60:63" ht="14.25" x14ac:dyDescent="0.2">
      <c r="BH12588" s="25"/>
      <c r="BI12588" s="25"/>
      <c r="BJ12588" s="25"/>
      <c r="BK12588" s="25"/>
    </row>
    <row r="12589" spans="60:63" ht="14.25" x14ac:dyDescent="0.2">
      <c r="BH12589" s="25"/>
      <c r="BI12589" s="25"/>
      <c r="BJ12589" s="25"/>
      <c r="BK12589" s="25"/>
    </row>
    <row r="12590" spans="60:63" ht="14.25" x14ac:dyDescent="0.2">
      <c r="BH12590" s="25"/>
      <c r="BI12590" s="25"/>
      <c r="BJ12590" s="25"/>
      <c r="BK12590" s="25"/>
    </row>
    <row r="12591" spans="60:63" ht="14.25" x14ac:dyDescent="0.2">
      <c r="BH12591" s="25"/>
      <c r="BI12591" s="25"/>
      <c r="BJ12591" s="25"/>
      <c r="BK12591" s="25"/>
    </row>
    <row r="12592" spans="60:63" ht="14.25" x14ac:dyDescent="0.2">
      <c r="BH12592" s="25"/>
      <c r="BI12592" s="25"/>
      <c r="BJ12592" s="25"/>
      <c r="BK12592" s="25"/>
    </row>
    <row r="12593" spans="60:63" ht="14.25" x14ac:dyDescent="0.2">
      <c r="BH12593" s="25"/>
      <c r="BI12593" s="25"/>
      <c r="BJ12593" s="25"/>
      <c r="BK12593" s="25"/>
    </row>
    <row r="12594" spans="60:63" ht="14.25" x14ac:dyDescent="0.2">
      <c r="BH12594" s="25"/>
      <c r="BI12594" s="25"/>
      <c r="BJ12594" s="25"/>
      <c r="BK12594" s="25"/>
    </row>
    <row r="12595" spans="60:63" ht="14.25" x14ac:dyDescent="0.2">
      <c r="BH12595" s="25"/>
      <c r="BI12595" s="25"/>
      <c r="BJ12595" s="25"/>
      <c r="BK12595" s="25"/>
    </row>
    <row r="12596" spans="60:63" ht="14.25" x14ac:dyDescent="0.2">
      <c r="BH12596" s="25"/>
      <c r="BI12596" s="25"/>
      <c r="BJ12596" s="25"/>
      <c r="BK12596" s="25"/>
    </row>
    <row r="12597" spans="60:63" ht="14.25" x14ac:dyDescent="0.2">
      <c r="BH12597" s="25"/>
      <c r="BI12597" s="25"/>
      <c r="BJ12597" s="25"/>
      <c r="BK12597" s="25"/>
    </row>
    <row r="12598" spans="60:63" ht="14.25" x14ac:dyDescent="0.2">
      <c r="BH12598" s="25"/>
      <c r="BI12598" s="25"/>
      <c r="BJ12598" s="25"/>
      <c r="BK12598" s="25"/>
    </row>
    <row r="12599" spans="60:63" ht="14.25" x14ac:dyDescent="0.2">
      <c r="BH12599" s="25"/>
      <c r="BI12599" s="25"/>
      <c r="BJ12599" s="25"/>
      <c r="BK12599" s="25"/>
    </row>
    <row r="12600" spans="60:63" ht="14.25" x14ac:dyDescent="0.2">
      <c r="BH12600" s="25"/>
      <c r="BI12600" s="25"/>
      <c r="BJ12600" s="25"/>
      <c r="BK12600" s="25"/>
    </row>
    <row r="12601" spans="60:63" ht="14.25" x14ac:dyDescent="0.2">
      <c r="BH12601" s="25"/>
      <c r="BI12601" s="25"/>
      <c r="BJ12601" s="25"/>
      <c r="BK12601" s="25"/>
    </row>
    <row r="12602" spans="60:63" ht="14.25" x14ac:dyDescent="0.2">
      <c r="BH12602" s="25"/>
      <c r="BI12602" s="25"/>
      <c r="BJ12602" s="25"/>
      <c r="BK12602" s="25"/>
    </row>
    <row r="12603" spans="60:63" ht="14.25" x14ac:dyDescent="0.2">
      <c r="BH12603" s="25"/>
      <c r="BI12603" s="25"/>
      <c r="BJ12603" s="25"/>
      <c r="BK12603" s="25"/>
    </row>
    <row r="12604" spans="60:63" ht="14.25" x14ac:dyDescent="0.2">
      <c r="BH12604" s="25"/>
      <c r="BI12604" s="25"/>
      <c r="BJ12604" s="25"/>
      <c r="BK12604" s="25"/>
    </row>
    <row r="12605" spans="60:63" ht="14.25" x14ac:dyDescent="0.2">
      <c r="BH12605" s="25"/>
      <c r="BI12605" s="25"/>
      <c r="BJ12605" s="25"/>
      <c r="BK12605" s="25"/>
    </row>
    <row r="12606" spans="60:63" ht="14.25" x14ac:dyDescent="0.2">
      <c r="BH12606" s="25"/>
      <c r="BI12606" s="25"/>
      <c r="BJ12606" s="25"/>
      <c r="BK12606" s="25"/>
    </row>
    <row r="12607" spans="60:63" ht="14.25" x14ac:dyDescent="0.2">
      <c r="BH12607" s="25"/>
      <c r="BI12607" s="25"/>
      <c r="BJ12607" s="25"/>
      <c r="BK12607" s="25"/>
    </row>
    <row r="12608" spans="60:63" ht="14.25" x14ac:dyDescent="0.2">
      <c r="BH12608" s="25"/>
      <c r="BI12608" s="25"/>
      <c r="BJ12608" s="25"/>
      <c r="BK12608" s="25"/>
    </row>
    <row r="12609" spans="60:63" ht="14.25" x14ac:dyDescent="0.2">
      <c r="BH12609" s="25"/>
      <c r="BI12609" s="25"/>
      <c r="BJ12609" s="25"/>
      <c r="BK12609" s="25"/>
    </row>
    <row r="12610" spans="60:63" ht="14.25" x14ac:dyDescent="0.2">
      <c r="BH12610" s="25"/>
      <c r="BI12610" s="25"/>
      <c r="BJ12610" s="25"/>
      <c r="BK12610" s="25"/>
    </row>
    <row r="12611" spans="60:63" ht="14.25" x14ac:dyDescent="0.2">
      <c r="BH12611" s="25"/>
      <c r="BI12611" s="25"/>
      <c r="BJ12611" s="25"/>
      <c r="BK12611" s="25"/>
    </row>
    <row r="12612" spans="60:63" ht="14.25" x14ac:dyDescent="0.2">
      <c r="BH12612" s="25"/>
      <c r="BI12612" s="25"/>
      <c r="BJ12612" s="25"/>
      <c r="BK12612" s="25"/>
    </row>
    <row r="12613" spans="60:63" ht="14.25" x14ac:dyDescent="0.2">
      <c r="BH12613" s="25"/>
      <c r="BI12613" s="25"/>
      <c r="BJ12613" s="25"/>
      <c r="BK12613" s="25"/>
    </row>
    <row r="12614" spans="60:63" ht="14.25" x14ac:dyDescent="0.2">
      <c r="BH12614" s="25"/>
      <c r="BI12614" s="25"/>
      <c r="BJ12614" s="25"/>
      <c r="BK12614" s="25"/>
    </row>
    <row r="12615" spans="60:63" ht="14.25" x14ac:dyDescent="0.2">
      <c r="BH12615" s="25"/>
      <c r="BI12615" s="25"/>
      <c r="BJ12615" s="25"/>
      <c r="BK12615" s="25"/>
    </row>
    <row r="12616" spans="60:63" ht="14.25" x14ac:dyDescent="0.2">
      <c r="BH12616" s="25"/>
      <c r="BI12616" s="25"/>
      <c r="BJ12616" s="25"/>
      <c r="BK12616" s="25"/>
    </row>
    <row r="12617" spans="60:63" ht="14.25" x14ac:dyDescent="0.2">
      <c r="BH12617" s="25"/>
      <c r="BI12617" s="25"/>
      <c r="BJ12617" s="25"/>
      <c r="BK12617" s="25"/>
    </row>
    <row r="12618" spans="60:63" ht="14.25" x14ac:dyDescent="0.2">
      <c r="BH12618" s="25"/>
      <c r="BI12618" s="25"/>
      <c r="BJ12618" s="25"/>
      <c r="BK12618" s="25"/>
    </row>
    <row r="12619" spans="60:63" ht="14.25" x14ac:dyDescent="0.2">
      <c r="BH12619" s="25"/>
      <c r="BI12619" s="25"/>
      <c r="BJ12619" s="25"/>
      <c r="BK12619" s="25"/>
    </row>
    <row r="12620" spans="60:63" ht="14.25" x14ac:dyDescent="0.2">
      <c r="BH12620" s="25"/>
      <c r="BI12620" s="25"/>
      <c r="BJ12620" s="25"/>
      <c r="BK12620" s="25"/>
    </row>
    <row r="12621" spans="60:63" ht="14.25" x14ac:dyDescent="0.2">
      <c r="BH12621" s="25"/>
      <c r="BI12621" s="25"/>
      <c r="BJ12621" s="25"/>
      <c r="BK12621" s="25"/>
    </row>
    <row r="12622" spans="60:63" ht="14.25" x14ac:dyDescent="0.2">
      <c r="BH12622" s="25"/>
      <c r="BI12622" s="25"/>
      <c r="BJ12622" s="25"/>
      <c r="BK12622" s="25"/>
    </row>
    <row r="12623" spans="60:63" ht="14.25" x14ac:dyDescent="0.2">
      <c r="BH12623" s="25"/>
      <c r="BI12623" s="25"/>
      <c r="BJ12623" s="25"/>
      <c r="BK12623" s="25"/>
    </row>
    <row r="12624" spans="60:63" ht="14.25" x14ac:dyDescent="0.2">
      <c r="BH12624" s="25"/>
      <c r="BI12624" s="25"/>
      <c r="BJ12624" s="25"/>
      <c r="BK12624" s="25"/>
    </row>
    <row r="12625" spans="60:63" ht="14.25" x14ac:dyDescent="0.2">
      <c r="BH12625" s="25"/>
      <c r="BI12625" s="25"/>
      <c r="BJ12625" s="25"/>
      <c r="BK12625" s="25"/>
    </row>
    <row r="12626" spans="60:63" ht="14.25" x14ac:dyDescent="0.2">
      <c r="BH12626" s="25"/>
      <c r="BI12626" s="25"/>
      <c r="BJ12626" s="25"/>
      <c r="BK12626" s="25"/>
    </row>
    <row r="12627" spans="60:63" ht="14.25" x14ac:dyDescent="0.2">
      <c r="BH12627" s="25"/>
      <c r="BI12627" s="25"/>
      <c r="BJ12627" s="25"/>
      <c r="BK12627" s="25"/>
    </row>
    <row r="12628" spans="60:63" ht="14.25" x14ac:dyDescent="0.2">
      <c r="BH12628" s="25"/>
      <c r="BI12628" s="25"/>
      <c r="BJ12628" s="25"/>
      <c r="BK12628" s="25"/>
    </row>
    <row r="12629" spans="60:63" ht="14.25" x14ac:dyDescent="0.2">
      <c r="BH12629" s="25"/>
      <c r="BI12629" s="25"/>
      <c r="BJ12629" s="25"/>
      <c r="BK12629" s="25"/>
    </row>
    <row r="12630" spans="60:63" ht="14.25" x14ac:dyDescent="0.2">
      <c r="BH12630" s="25"/>
      <c r="BI12630" s="25"/>
      <c r="BJ12630" s="25"/>
      <c r="BK12630" s="25"/>
    </row>
    <row r="12631" spans="60:63" ht="14.25" x14ac:dyDescent="0.2">
      <c r="BH12631" s="25"/>
      <c r="BI12631" s="25"/>
      <c r="BJ12631" s="25"/>
      <c r="BK12631" s="25"/>
    </row>
    <row r="12632" spans="60:63" ht="14.25" x14ac:dyDescent="0.2">
      <c r="BH12632" s="25"/>
      <c r="BI12632" s="25"/>
      <c r="BJ12632" s="25"/>
      <c r="BK12632" s="25"/>
    </row>
    <row r="12633" spans="60:63" ht="14.25" x14ac:dyDescent="0.2">
      <c r="BH12633" s="25"/>
      <c r="BI12633" s="25"/>
      <c r="BJ12633" s="25"/>
      <c r="BK12633" s="25"/>
    </row>
    <row r="12634" spans="60:63" ht="14.25" x14ac:dyDescent="0.2">
      <c r="BH12634" s="25"/>
      <c r="BI12634" s="25"/>
      <c r="BJ12634" s="25"/>
      <c r="BK12634" s="25"/>
    </row>
    <row r="12635" spans="60:63" ht="14.25" x14ac:dyDescent="0.2">
      <c r="BH12635" s="25"/>
      <c r="BI12635" s="25"/>
      <c r="BJ12635" s="25"/>
      <c r="BK12635" s="25"/>
    </row>
    <row r="12636" spans="60:63" ht="14.25" x14ac:dyDescent="0.2">
      <c r="BH12636" s="25"/>
      <c r="BI12636" s="25"/>
      <c r="BJ12636" s="25"/>
      <c r="BK12636" s="25"/>
    </row>
    <row r="12637" spans="60:63" ht="14.25" x14ac:dyDescent="0.2">
      <c r="BH12637" s="25"/>
      <c r="BI12637" s="25"/>
      <c r="BJ12637" s="25"/>
      <c r="BK12637" s="25"/>
    </row>
    <row r="12638" spans="60:63" ht="14.25" x14ac:dyDescent="0.2">
      <c r="BH12638" s="25"/>
      <c r="BI12638" s="25"/>
      <c r="BJ12638" s="25"/>
      <c r="BK12638" s="25"/>
    </row>
    <row r="12639" spans="60:63" ht="14.25" x14ac:dyDescent="0.2">
      <c r="BH12639" s="25"/>
      <c r="BI12639" s="25"/>
      <c r="BJ12639" s="25"/>
      <c r="BK12639" s="25"/>
    </row>
    <row r="12640" spans="60:63" ht="14.25" x14ac:dyDescent="0.2">
      <c r="BH12640" s="25"/>
      <c r="BI12640" s="25"/>
      <c r="BJ12640" s="25"/>
      <c r="BK12640" s="25"/>
    </row>
    <row r="12641" spans="60:63" ht="14.25" x14ac:dyDescent="0.2">
      <c r="BH12641" s="25"/>
      <c r="BI12641" s="25"/>
      <c r="BJ12641" s="25"/>
      <c r="BK12641" s="25"/>
    </row>
    <row r="12642" spans="60:63" ht="14.25" x14ac:dyDescent="0.2">
      <c r="BH12642" s="25"/>
      <c r="BI12642" s="25"/>
      <c r="BJ12642" s="25"/>
      <c r="BK12642" s="25"/>
    </row>
    <row r="12643" spans="60:63" ht="14.25" x14ac:dyDescent="0.2">
      <c r="BH12643" s="25"/>
      <c r="BI12643" s="25"/>
      <c r="BJ12643" s="25"/>
      <c r="BK12643" s="25"/>
    </row>
    <row r="12644" spans="60:63" ht="14.25" x14ac:dyDescent="0.2">
      <c r="BH12644" s="25"/>
      <c r="BI12644" s="25"/>
      <c r="BJ12644" s="25"/>
      <c r="BK12644" s="25"/>
    </row>
    <row r="12645" spans="60:63" ht="14.25" x14ac:dyDescent="0.2">
      <c r="BH12645" s="25"/>
      <c r="BI12645" s="25"/>
      <c r="BJ12645" s="25"/>
      <c r="BK12645" s="25"/>
    </row>
    <row r="12646" spans="60:63" ht="14.25" x14ac:dyDescent="0.2">
      <c r="BH12646" s="25"/>
      <c r="BI12646" s="25"/>
      <c r="BJ12646" s="25"/>
      <c r="BK12646" s="25"/>
    </row>
    <row r="12647" spans="60:63" ht="14.25" x14ac:dyDescent="0.2">
      <c r="BH12647" s="25"/>
      <c r="BI12647" s="25"/>
      <c r="BJ12647" s="25"/>
      <c r="BK12647" s="25"/>
    </row>
    <row r="12648" spans="60:63" ht="14.25" x14ac:dyDescent="0.2">
      <c r="BH12648" s="25"/>
      <c r="BI12648" s="25"/>
      <c r="BJ12648" s="25"/>
      <c r="BK12648" s="25"/>
    </row>
    <row r="12649" spans="60:63" ht="14.25" x14ac:dyDescent="0.2">
      <c r="BH12649" s="25"/>
      <c r="BI12649" s="25"/>
      <c r="BJ12649" s="25"/>
      <c r="BK12649" s="25"/>
    </row>
    <row r="12650" spans="60:63" ht="14.25" x14ac:dyDescent="0.2">
      <c r="BH12650" s="25"/>
      <c r="BI12650" s="25"/>
      <c r="BJ12650" s="25"/>
      <c r="BK12650" s="25"/>
    </row>
    <row r="12651" spans="60:63" ht="14.25" x14ac:dyDescent="0.2">
      <c r="BH12651" s="25"/>
      <c r="BI12651" s="25"/>
      <c r="BJ12651" s="25"/>
      <c r="BK12651" s="25"/>
    </row>
    <row r="12652" spans="60:63" ht="14.25" x14ac:dyDescent="0.2">
      <c r="BH12652" s="25"/>
      <c r="BI12652" s="25"/>
      <c r="BJ12652" s="25"/>
      <c r="BK12652" s="25"/>
    </row>
    <row r="12653" spans="60:63" ht="14.25" x14ac:dyDescent="0.2">
      <c r="BH12653" s="25"/>
      <c r="BI12653" s="25"/>
      <c r="BJ12653" s="25"/>
      <c r="BK12653" s="25"/>
    </row>
    <row r="12654" spans="60:63" ht="14.25" x14ac:dyDescent="0.2">
      <c r="BH12654" s="25"/>
      <c r="BI12654" s="25"/>
      <c r="BJ12654" s="25"/>
      <c r="BK12654" s="25"/>
    </row>
    <row r="12655" spans="60:63" ht="14.25" x14ac:dyDescent="0.2">
      <c r="BH12655" s="25"/>
      <c r="BI12655" s="25"/>
      <c r="BJ12655" s="25"/>
      <c r="BK12655" s="25"/>
    </row>
    <row r="12656" spans="60:63" ht="14.25" x14ac:dyDescent="0.2">
      <c r="BH12656" s="25"/>
      <c r="BI12656" s="25"/>
      <c r="BJ12656" s="25"/>
      <c r="BK12656" s="25"/>
    </row>
    <row r="12657" spans="60:63" ht="14.25" x14ac:dyDescent="0.2">
      <c r="BH12657" s="25"/>
      <c r="BI12657" s="25"/>
      <c r="BJ12657" s="25"/>
      <c r="BK12657" s="25"/>
    </row>
    <row r="12658" spans="60:63" ht="14.25" x14ac:dyDescent="0.2">
      <c r="BH12658" s="25"/>
      <c r="BI12658" s="25"/>
      <c r="BJ12658" s="25"/>
      <c r="BK12658" s="25"/>
    </row>
    <row r="12659" spans="60:63" ht="14.25" x14ac:dyDescent="0.2">
      <c r="BH12659" s="25"/>
      <c r="BI12659" s="25"/>
      <c r="BJ12659" s="25"/>
      <c r="BK12659" s="25"/>
    </row>
    <row r="12660" spans="60:63" ht="14.25" x14ac:dyDescent="0.2">
      <c r="BH12660" s="25"/>
      <c r="BI12660" s="25"/>
      <c r="BJ12660" s="25"/>
      <c r="BK12660" s="25"/>
    </row>
    <row r="12661" spans="60:63" ht="14.25" x14ac:dyDescent="0.2">
      <c r="BH12661" s="25"/>
      <c r="BI12661" s="25"/>
      <c r="BJ12661" s="25"/>
      <c r="BK12661" s="25"/>
    </row>
    <row r="12662" spans="60:63" ht="14.25" x14ac:dyDescent="0.2">
      <c r="BH12662" s="25"/>
      <c r="BI12662" s="25"/>
      <c r="BJ12662" s="25"/>
      <c r="BK12662" s="25"/>
    </row>
    <row r="12663" spans="60:63" ht="14.25" x14ac:dyDescent="0.2">
      <c r="BH12663" s="25"/>
      <c r="BI12663" s="25"/>
      <c r="BJ12663" s="25"/>
      <c r="BK12663" s="25"/>
    </row>
    <row r="12664" spans="60:63" ht="14.25" x14ac:dyDescent="0.2">
      <c r="BH12664" s="25"/>
      <c r="BI12664" s="25"/>
      <c r="BJ12664" s="25"/>
      <c r="BK12664" s="25"/>
    </row>
    <row r="12665" spans="60:63" ht="14.25" x14ac:dyDescent="0.2">
      <c r="BH12665" s="25"/>
      <c r="BI12665" s="25"/>
      <c r="BJ12665" s="25"/>
      <c r="BK12665" s="25"/>
    </row>
    <row r="12666" spans="60:63" ht="14.25" x14ac:dyDescent="0.2">
      <c r="BH12666" s="25"/>
      <c r="BI12666" s="25"/>
      <c r="BJ12666" s="25"/>
      <c r="BK12666" s="25"/>
    </row>
    <row r="12667" spans="60:63" ht="14.25" x14ac:dyDescent="0.2">
      <c r="BH12667" s="25"/>
      <c r="BI12667" s="25"/>
      <c r="BJ12667" s="25"/>
      <c r="BK12667" s="25"/>
    </row>
    <row r="12668" spans="60:63" ht="14.25" x14ac:dyDescent="0.2">
      <c r="BH12668" s="25"/>
      <c r="BI12668" s="25"/>
      <c r="BJ12668" s="25"/>
      <c r="BK12668" s="25"/>
    </row>
    <row r="12669" spans="60:63" ht="14.25" x14ac:dyDescent="0.2">
      <c r="BH12669" s="25"/>
      <c r="BI12669" s="25"/>
      <c r="BJ12669" s="25"/>
      <c r="BK12669" s="25"/>
    </row>
    <row r="12670" spans="60:63" ht="14.25" x14ac:dyDescent="0.2">
      <c r="BH12670" s="25"/>
      <c r="BI12670" s="25"/>
      <c r="BJ12670" s="25"/>
      <c r="BK12670" s="25"/>
    </row>
    <row r="12671" spans="60:63" ht="14.25" x14ac:dyDescent="0.2">
      <c r="BH12671" s="25"/>
      <c r="BI12671" s="25"/>
      <c r="BJ12671" s="25"/>
      <c r="BK12671" s="25"/>
    </row>
    <row r="12672" spans="60:63" ht="14.25" x14ac:dyDescent="0.2">
      <c r="BH12672" s="25"/>
      <c r="BI12672" s="25"/>
      <c r="BJ12672" s="25"/>
      <c r="BK12672" s="25"/>
    </row>
    <row r="12673" spans="60:63" ht="14.25" x14ac:dyDescent="0.2">
      <c r="BH12673" s="25"/>
      <c r="BI12673" s="25"/>
      <c r="BJ12673" s="25"/>
      <c r="BK12673" s="25"/>
    </row>
    <row r="12674" spans="60:63" ht="14.25" x14ac:dyDescent="0.2">
      <c r="BH12674" s="25"/>
      <c r="BI12674" s="25"/>
      <c r="BJ12674" s="25"/>
      <c r="BK12674" s="25"/>
    </row>
    <row r="12675" spans="60:63" ht="14.25" x14ac:dyDescent="0.2">
      <c r="BH12675" s="25"/>
      <c r="BI12675" s="25"/>
      <c r="BJ12675" s="25"/>
      <c r="BK12675" s="25"/>
    </row>
    <row r="12676" spans="60:63" ht="14.25" x14ac:dyDescent="0.2">
      <c r="BH12676" s="25"/>
      <c r="BI12676" s="25"/>
      <c r="BJ12676" s="25"/>
      <c r="BK12676" s="25"/>
    </row>
    <row r="12677" spans="60:63" ht="14.25" x14ac:dyDescent="0.2">
      <c r="BH12677" s="25"/>
      <c r="BI12677" s="25"/>
      <c r="BJ12677" s="25"/>
      <c r="BK12677" s="25"/>
    </row>
    <row r="12678" spans="60:63" ht="14.25" x14ac:dyDescent="0.2">
      <c r="BH12678" s="25"/>
      <c r="BI12678" s="25"/>
      <c r="BJ12678" s="25"/>
      <c r="BK12678" s="25"/>
    </row>
    <row r="12679" spans="60:63" ht="14.25" x14ac:dyDescent="0.2">
      <c r="BH12679" s="25"/>
      <c r="BI12679" s="25"/>
      <c r="BJ12679" s="25"/>
      <c r="BK12679" s="25"/>
    </row>
    <row r="12680" spans="60:63" ht="14.25" x14ac:dyDescent="0.2">
      <c r="BH12680" s="25"/>
      <c r="BI12680" s="25"/>
      <c r="BJ12680" s="25"/>
      <c r="BK12680" s="25"/>
    </row>
    <row r="12681" spans="60:63" ht="14.25" x14ac:dyDescent="0.2">
      <c r="BH12681" s="25"/>
      <c r="BI12681" s="25"/>
      <c r="BJ12681" s="25"/>
      <c r="BK12681" s="25"/>
    </row>
    <row r="12682" spans="60:63" ht="14.25" x14ac:dyDescent="0.2">
      <c r="BH12682" s="25"/>
      <c r="BI12682" s="25"/>
      <c r="BJ12682" s="25"/>
      <c r="BK12682" s="25"/>
    </row>
    <row r="12683" spans="60:63" ht="14.25" x14ac:dyDescent="0.2">
      <c r="BH12683" s="25"/>
      <c r="BI12683" s="25"/>
      <c r="BJ12683" s="25"/>
      <c r="BK12683" s="25"/>
    </row>
    <row r="12684" spans="60:63" ht="14.25" x14ac:dyDescent="0.2">
      <c r="BH12684" s="25"/>
      <c r="BI12684" s="25"/>
      <c r="BJ12684" s="25"/>
      <c r="BK12684" s="25"/>
    </row>
    <row r="12685" spans="60:63" ht="14.25" x14ac:dyDescent="0.2">
      <c r="BH12685" s="25"/>
      <c r="BI12685" s="25"/>
      <c r="BJ12685" s="25"/>
      <c r="BK12685" s="25"/>
    </row>
    <row r="12686" spans="60:63" ht="14.25" x14ac:dyDescent="0.2">
      <c r="BH12686" s="25"/>
      <c r="BI12686" s="25"/>
      <c r="BJ12686" s="25"/>
      <c r="BK12686" s="25"/>
    </row>
    <row r="12687" spans="60:63" ht="14.25" x14ac:dyDescent="0.2">
      <c r="BH12687" s="25"/>
      <c r="BI12687" s="25"/>
      <c r="BJ12687" s="25"/>
      <c r="BK12687" s="25"/>
    </row>
    <row r="12688" spans="60:63" ht="14.25" x14ac:dyDescent="0.2">
      <c r="BH12688" s="25"/>
      <c r="BI12688" s="25"/>
      <c r="BJ12688" s="25"/>
      <c r="BK12688" s="25"/>
    </row>
    <row r="12689" spans="60:63" ht="14.25" x14ac:dyDescent="0.2">
      <c r="BH12689" s="25"/>
      <c r="BI12689" s="25"/>
      <c r="BJ12689" s="25"/>
      <c r="BK12689" s="25"/>
    </row>
    <row r="12690" spans="60:63" ht="14.25" x14ac:dyDescent="0.2">
      <c r="BH12690" s="25"/>
      <c r="BI12690" s="25"/>
      <c r="BJ12690" s="25"/>
      <c r="BK12690" s="25"/>
    </row>
    <row r="12691" spans="60:63" ht="14.25" x14ac:dyDescent="0.2">
      <c r="BH12691" s="25"/>
      <c r="BI12691" s="25"/>
      <c r="BJ12691" s="25"/>
      <c r="BK12691" s="25"/>
    </row>
    <row r="12692" spans="60:63" ht="14.25" x14ac:dyDescent="0.2">
      <c r="BH12692" s="25"/>
      <c r="BI12692" s="25"/>
      <c r="BJ12692" s="25"/>
      <c r="BK12692" s="25"/>
    </row>
    <row r="12693" spans="60:63" ht="14.25" x14ac:dyDescent="0.2">
      <c r="BH12693" s="25"/>
      <c r="BI12693" s="25"/>
      <c r="BJ12693" s="25"/>
      <c r="BK12693" s="25"/>
    </row>
    <row r="12694" spans="60:63" ht="14.25" x14ac:dyDescent="0.2">
      <c r="BH12694" s="25"/>
      <c r="BI12694" s="25"/>
      <c r="BJ12694" s="25"/>
      <c r="BK12694" s="25"/>
    </row>
    <row r="12695" spans="60:63" ht="14.25" x14ac:dyDescent="0.2">
      <c r="BH12695" s="25"/>
      <c r="BI12695" s="25"/>
      <c r="BJ12695" s="25"/>
      <c r="BK12695" s="25"/>
    </row>
    <row r="12696" spans="60:63" ht="14.25" x14ac:dyDescent="0.2">
      <c r="BH12696" s="25"/>
      <c r="BI12696" s="25"/>
      <c r="BJ12696" s="25"/>
      <c r="BK12696" s="25"/>
    </row>
    <row r="12697" spans="60:63" ht="14.25" x14ac:dyDescent="0.2">
      <c r="BH12697" s="25"/>
      <c r="BI12697" s="25"/>
      <c r="BJ12697" s="25"/>
      <c r="BK12697" s="25"/>
    </row>
    <row r="12698" spans="60:63" ht="14.25" x14ac:dyDescent="0.2">
      <c r="BH12698" s="25"/>
      <c r="BI12698" s="25"/>
      <c r="BJ12698" s="25"/>
      <c r="BK12698" s="25"/>
    </row>
    <row r="12699" spans="60:63" ht="14.25" x14ac:dyDescent="0.2">
      <c r="BH12699" s="25"/>
      <c r="BI12699" s="25"/>
      <c r="BJ12699" s="25"/>
      <c r="BK12699" s="25"/>
    </row>
    <row r="12700" spans="60:63" ht="14.25" x14ac:dyDescent="0.2">
      <c r="BH12700" s="25"/>
      <c r="BI12700" s="25"/>
      <c r="BJ12700" s="25"/>
      <c r="BK12700" s="25"/>
    </row>
    <row r="12701" spans="60:63" ht="14.25" x14ac:dyDescent="0.2">
      <c r="BH12701" s="25"/>
      <c r="BI12701" s="25"/>
      <c r="BJ12701" s="25"/>
      <c r="BK12701" s="25"/>
    </row>
    <row r="12702" spans="60:63" ht="14.25" x14ac:dyDescent="0.2">
      <c r="BH12702" s="25"/>
      <c r="BI12702" s="25"/>
      <c r="BJ12702" s="25"/>
      <c r="BK12702" s="25"/>
    </row>
    <row r="12703" spans="60:63" ht="14.25" x14ac:dyDescent="0.2">
      <c r="BH12703" s="25"/>
      <c r="BI12703" s="25"/>
      <c r="BJ12703" s="25"/>
      <c r="BK12703" s="25"/>
    </row>
    <row r="12704" spans="60:63" ht="14.25" x14ac:dyDescent="0.2">
      <c r="BH12704" s="25"/>
      <c r="BI12704" s="25"/>
      <c r="BJ12704" s="25"/>
      <c r="BK12704" s="25"/>
    </row>
    <row r="12705" spans="60:63" ht="14.25" x14ac:dyDescent="0.2">
      <c r="BH12705" s="25"/>
      <c r="BI12705" s="25"/>
      <c r="BJ12705" s="25"/>
      <c r="BK12705" s="25"/>
    </row>
    <row r="12706" spans="60:63" ht="14.25" x14ac:dyDescent="0.2">
      <c r="BH12706" s="25"/>
      <c r="BI12706" s="25"/>
      <c r="BJ12706" s="25"/>
      <c r="BK12706" s="25"/>
    </row>
    <row r="12707" spans="60:63" ht="14.25" x14ac:dyDescent="0.2">
      <c r="BH12707" s="25"/>
      <c r="BI12707" s="25"/>
      <c r="BJ12707" s="25"/>
      <c r="BK12707" s="25"/>
    </row>
    <row r="12708" spans="60:63" ht="14.25" x14ac:dyDescent="0.2">
      <c r="BH12708" s="25"/>
      <c r="BI12708" s="25"/>
      <c r="BJ12708" s="25"/>
      <c r="BK12708" s="25"/>
    </row>
    <row r="12709" spans="60:63" ht="14.25" x14ac:dyDescent="0.2">
      <c r="BH12709" s="25"/>
      <c r="BI12709" s="25"/>
      <c r="BJ12709" s="25"/>
      <c r="BK12709" s="25"/>
    </row>
    <row r="12710" spans="60:63" ht="14.25" x14ac:dyDescent="0.2">
      <c r="BH12710" s="25"/>
      <c r="BI12710" s="25"/>
      <c r="BJ12710" s="25"/>
      <c r="BK12710" s="25"/>
    </row>
    <row r="12711" spans="60:63" ht="14.25" x14ac:dyDescent="0.2">
      <c r="BH12711" s="25"/>
      <c r="BI12711" s="25"/>
      <c r="BJ12711" s="25"/>
      <c r="BK12711" s="25"/>
    </row>
    <row r="12712" spans="60:63" ht="14.25" x14ac:dyDescent="0.2">
      <c r="BH12712" s="25"/>
      <c r="BI12712" s="25"/>
      <c r="BJ12712" s="25"/>
      <c r="BK12712" s="25"/>
    </row>
    <row r="12713" spans="60:63" ht="14.25" x14ac:dyDescent="0.2">
      <c r="BH12713" s="25"/>
      <c r="BI12713" s="25"/>
      <c r="BJ12713" s="25"/>
      <c r="BK12713" s="25"/>
    </row>
    <row r="12714" spans="60:63" ht="14.25" x14ac:dyDescent="0.2">
      <c r="BH12714" s="25"/>
      <c r="BI12714" s="25"/>
      <c r="BJ12714" s="25"/>
      <c r="BK12714" s="25"/>
    </row>
    <row r="12715" spans="60:63" ht="14.25" x14ac:dyDescent="0.2">
      <c r="BH12715" s="25"/>
      <c r="BI12715" s="25"/>
      <c r="BJ12715" s="25"/>
      <c r="BK12715" s="25"/>
    </row>
    <row r="12716" spans="60:63" ht="14.25" x14ac:dyDescent="0.2">
      <c r="BH12716" s="25"/>
      <c r="BI12716" s="25"/>
      <c r="BJ12716" s="25"/>
      <c r="BK12716" s="25"/>
    </row>
    <row r="12717" spans="60:63" ht="14.25" x14ac:dyDescent="0.2">
      <c r="BH12717" s="25"/>
      <c r="BI12717" s="25"/>
      <c r="BJ12717" s="25"/>
      <c r="BK12717" s="25"/>
    </row>
    <row r="12718" spans="60:63" ht="14.25" x14ac:dyDescent="0.2">
      <c r="BH12718" s="25"/>
      <c r="BI12718" s="25"/>
      <c r="BJ12718" s="25"/>
      <c r="BK12718" s="25"/>
    </row>
    <row r="12719" spans="60:63" ht="14.25" x14ac:dyDescent="0.2">
      <c r="BH12719" s="25"/>
      <c r="BI12719" s="25"/>
      <c r="BJ12719" s="25"/>
      <c r="BK12719" s="25"/>
    </row>
    <row r="12720" spans="60:63" ht="14.25" x14ac:dyDescent="0.2">
      <c r="BH12720" s="25"/>
      <c r="BI12720" s="25"/>
      <c r="BJ12720" s="25"/>
      <c r="BK12720" s="25"/>
    </row>
    <row r="12721" spans="60:63" ht="14.25" x14ac:dyDescent="0.2">
      <c r="BH12721" s="25"/>
      <c r="BI12721" s="25"/>
      <c r="BJ12721" s="25"/>
      <c r="BK12721" s="25"/>
    </row>
    <row r="12722" spans="60:63" ht="14.25" x14ac:dyDescent="0.2">
      <c r="BH12722" s="25"/>
      <c r="BI12722" s="25"/>
      <c r="BJ12722" s="25"/>
      <c r="BK12722" s="25"/>
    </row>
    <row r="12723" spans="60:63" ht="14.25" x14ac:dyDescent="0.2">
      <c r="BH12723" s="25"/>
      <c r="BI12723" s="25"/>
      <c r="BJ12723" s="25"/>
      <c r="BK12723" s="25"/>
    </row>
    <row r="12724" spans="60:63" ht="14.25" x14ac:dyDescent="0.2">
      <c r="BH12724" s="25"/>
      <c r="BI12724" s="25"/>
      <c r="BJ12724" s="25"/>
      <c r="BK12724" s="25"/>
    </row>
    <row r="12725" spans="60:63" ht="14.25" x14ac:dyDescent="0.2">
      <c r="BH12725" s="25"/>
      <c r="BI12725" s="25"/>
      <c r="BJ12725" s="25"/>
      <c r="BK12725" s="25"/>
    </row>
    <row r="12726" spans="60:63" ht="14.25" x14ac:dyDescent="0.2">
      <c r="BH12726" s="25"/>
      <c r="BI12726" s="25"/>
      <c r="BJ12726" s="25"/>
      <c r="BK12726" s="25"/>
    </row>
    <row r="12727" spans="60:63" ht="14.25" x14ac:dyDescent="0.2">
      <c r="BH12727" s="25"/>
      <c r="BI12727" s="25"/>
      <c r="BJ12727" s="25"/>
      <c r="BK12727" s="25"/>
    </row>
    <row r="12728" spans="60:63" ht="14.25" x14ac:dyDescent="0.2">
      <c r="BH12728" s="25"/>
      <c r="BI12728" s="25"/>
      <c r="BJ12728" s="25"/>
      <c r="BK12728" s="25"/>
    </row>
    <row r="12729" spans="60:63" ht="14.25" x14ac:dyDescent="0.2">
      <c r="BH12729" s="25"/>
      <c r="BI12729" s="25"/>
      <c r="BJ12729" s="25"/>
      <c r="BK12729" s="25"/>
    </row>
    <row r="12730" spans="60:63" ht="14.25" x14ac:dyDescent="0.2">
      <c r="BH12730" s="25"/>
      <c r="BI12730" s="25"/>
      <c r="BJ12730" s="25"/>
      <c r="BK12730" s="25"/>
    </row>
    <row r="12731" spans="60:63" ht="14.25" x14ac:dyDescent="0.2">
      <c r="BH12731" s="25"/>
      <c r="BI12731" s="25"/>
      <c r="BJ12731" s="25"/>
      <c r="BK12731" s="25"/>
    </row>
    <row r="12732" spans="60:63" ht="14.25" x14ac:dyDescent="0.2">
      <c r="BH12732" s="25"/>
      <c r="BI12732" s="25"/>
      <c r="BJ12732" s="25"/>
      <c r="BK12732" s="25"/>
    </row>
    <row r="12733" spans="60:63" ht="14.25" x14ac:dyDescent="0.2">
      <c r="BH12733" s="25"/>
      <c r="BI12733" s="25"/>
      <c r="BJ12733" s="25"/>
      <c r="BK12733" s="25"/>
    </row>
    <row r="12734" spans="60:63" ht="14.25" x14ac:dyDescent="0.2">
      <c r="BH12734" s="25"/>
      <c r="BI12734" s="25"/>
      <c r="BJ12734" s="25"/>
      <c r="BK12734" s="25"/>
    </row>
    <row r="12735" spans="60:63" ht="14.25" x14ac:dyDescent="0.2">
      <c r="BH12735" s="25"/>
      <c r="BI12735" s="25"/>
      <c r="BJ12735" s="25"/>
      <c r="BK12735" s="25"/>
    </row>
    <row r="12736" spans="60:63" ht="14.25" x14ac:dyDescent="0.2">
      <c r="BH12736" s="25"/>
      <c r="BI12736" s="25"/>
      <c r="BJ12736" s="25"/>
      <c r="BK12736" s="25"/>
    </row>
    <row r="12737" spans="60:63" ht="14.25" x14ac:dyDescent="0.2">
      <c r="BH12737" s="25"/>
      <c r="BI12737" s="25"/>
      <c r="BJ12737" s="25"/>
      <c r="BK12737" s="25"/>
    </row>
    <row r="12738" spans="60:63" ht="14.25" x14ac:dyDescent="0.2">
      <c r="BH12738" s="25"/>
      <c r="BI12738" s="25"/>
      <c r="BJ12738" s="25"/>
      <c r="BK12738" s="25"/>
    </row>
    <row r="12739" spans="60:63" ht="14.25" x14ac:dyDescent="0.2">
      <c r="BH12739" s="25"/>
      <c r="BI12739" s="25"/>
      <c r="BJ12739" s="25"/>
      <c r="BK12739" s="25"/>
    </row>
    <row r="12740" spans="60:63" ht="14.25" x14ac:dyDescent="0.2">
      <c r="BH12740" s="25"/>
      <c r="BI12740" s="25"/>
      <c r="BJ12740" s="25"/>
      <c r="BK12740" s="25"/>
    </row>
    <row r="12741" spans="60:63" ht="14.25" x14ac:dyDescent="0.2">
      <c r="BH12741" s="25"/>
      <c r="BI12741" s="25"/>
      <c r="BJ12741" s="25"/>
      <c r="BK12741" s="25"/>
    </row>
    <row r="12742" spans="60:63" ht="14.25" x14ac:dyDescent="0.2">
      <c r="BH12742" s="25"/>
      <c r="BI12742" s="25"/>
      <c r="BJ12742" s="25"/>
      <c r="BK12742" s="25"/>
    </row>
    <row r="12743" spans="60:63" ht="14.25" x14ac:dyDescent="0.2">
      <c r="BH12743" s="25"/>
      <c r="BI12743" s="25"/>
      <c r="BJ12743" s="25"/>
      <c r="BK12743" s="25"/>
    </row>
    <row r="12744" spans="60:63" ht="14.25" x14ac:dyDescent="0.2">
      <c r="BH12744" s="25"/>
      <c r="BI12744" s="25"/>
      <c r="BJ12744" s="25"/>
      <c r="BK12744" s="25"/>
    </row>
    <row r="12745" spans="60:63" ht="14.25" x14ac:dyDescent="0.2">
      <c r="BH12745" s="25"/>
      <c r="BI12745" s="25"/>
      <c r="BJ12745" s="25"/>
      <c r="BK12745" s="25"/>
    </row>
    <row r="12746" spans="60:63" ht="14.25" x14ac:dyDescent="0.2">
      <c r="BH12746" s="25"/>
      <c r="BI12746" s="25"/>
      <c r="BJ12746" s="25"/>
      <c r="BK12746" s="25"/>
    </row>
    <row r="12747" spans="60:63" ht="14.25" x14ac:dyDescent="0.2">
      <c r="BH12747" s="25"/>
      <c r="BI12747" s="25"/>
      <c r="BJ12747" s="25"/>
      <c r="BK12747" s="25"/>
    </row>
    <row r="12748" spans="60:63" ht="14.25" x14ac:dyDescent="0.2">
      <c r="BH12748" s="25"/>
      <c r="BI12748" s="25"/>
      <c r="BJ12748" s="25"/>
      <c r="BK12748" s="25"/>
    </row>
    <row r="12749" spans="60:63" ht="14.25" x14ac:dyDescent="0.2">
      <c r="BH12749" s="25"/>
      <c r="BI12749" s="25"/>
      <c r="BJ12749" s="25"/>
      <c r="BK12749" s="25"/>
    </row>
    <row r="12750" spans="60:63" ht="14.25" x14ac:dyDescent="0.2">
      <c r="BH12750" s="25"/>
      <c r="BI12750" s="25"/>
      <c r="BJ12750" s="25"/>
      <c r="BK12750" s="25"/>
    </row>
    <row r="12751" spans="60:63" ht="14.25" x14ac:dyDescent="0.2">
      <c r="BH12751" s="25"/>
      <c r="BI12751" s="25"/>
      <c r="BJ12751" s="25"/>
      <c r="BK12751" s="25"/>
    </row>
    <row r="12752" spans="60:63" ht="14.25" x14ac:dyDescent="0.2">
      <c r="BH12752" s="25"/>
      <c r="BI12752" s="25"/>
      <c r="BJ12752" s="25"/>
      <c r="BK12752" s="25"/>
    </row>
    <row r="12753" spans="60:63" ht="14.25" x14ac:dyDescent="0.2">
      <c r="BH12753" s="25"/>
      <c r="BI12753" s="25"/>
      <c r="BJ12753" s="25"/>
      <c r="BK12753" s="25"/>
    </row>
    <row r="12754" spans="60:63" ht="14.25" x14ac:dyDescent="0.2">
      <c r="BH12754" s="25"/>
      <c r="BI12754" s="25"/>
      <c r="BJ12754" s="25"/>
      <c r="BK12754" s="25"/>
    </row>
    <row r="12755" spans="60:63" ht="14.25" x14ac:dyDescent="0.2">
      <c r="BH12755" s="25"/>
      <c r="BI12755" s="25"/>
      <c r="BJ12755" s="25"/>
      <c r="BK12755" s="25"/>
    </row>
    <row r="12756" spans="60:63" ht="14.25" x14ac:dyDescent="0.2">
      <c r="BH12756" s="25"/>
      <c r="BI12756" s="25"/>
      <c r="BJ12756" s="25"/>
      <c r="BK12756" s="25"/>
    </row>
    <row r="12757" spans="60:63" ht="14.25" x14ac:dyDescent="0.2">
      <c r="BH12757" s="25"/>
      <c r="BI12757" s="25"/>
      <c r="BJ12757" s="25"/>
      <c r="BK12757" s="25"/>
    </row>
    <row r="12758" spans="60:63" ht="14.25" x14ac:dyDescent="0.2">
      <c r="BH12758" s="25"/>
      <c r="BI12758" s="25"/>
      <c r="BJ12758" s="25"/>
      <c r="BK12758" s="25"/>
    </row>
    <row r="12759" spans="60:63" ht="14.25" x14ac:dyDescent="0.2">
      <c r="BH12759" s="25"/>
      <c r="BI12759" s="25"/>
      <c r="BJ12759" s="25"/>
      <c r="BK12759" s="25"/>
    </row>
    <row r="12760" spans="60:63" ht="14.25" x14ac:dyDescent="0.2">
      <c r="BH12760" s="25"/>
      <c r="BI12760" s="25"/>
      <c r="BJ12760" s="25"/>
      <c r="BK12760" s="25"/>
    </row>
    <row r="12761" spans="60:63" ht="14.25" x14ac:dyDescent="0.2">
      <c r="BH12761" s="25"/>
      <c r="BI12761" s="25"/>
      <c r="BJ12761" s="25"/>
      <c r="BK12761" s="25"/>
    </row>
    <row r="12762" spans="60:63" ht="14.25" x14ac:dyDescent="0.2">
      <c r="BH12762" s="25"/>
      <c r="BI12762" s="25"/>
      <c r="BJ12762" s="25"/>
      <c r="BK12762" s="25"/>
    </row>
    <row r="12763" spans="60:63" ht="14.25" x14ac:dyDescent="0.2">
      <c r="BH12763" s="25"/>
      <c r="BI12763" s="25"/>
      <c r="BJ12763" s="25"/>
      <c r="BK12763" s="25"/>
    </row>
    <row r="12764" spans="60:63" ht="14.25" x14ac:dyDescent="0.2">
      <c r="BH12764" s="25"/>
      <c r="BI12764" s="25"/>
      <c r="BJ12764" s="25"/>
      <c r="BK12764" s="25"/>
    </row>
    <row r="12765" spans="60:63" ht="14.25" x14ac:dyDescent="0.2">
      <c r="BH12765" s="25"/>
      <c r="BI12765" s="25"/>
      <c r="BJ12765" s="25"/>
      <c r="BK12765" s="25"/>
    </row>
    <row r="12766" spans="60:63" ht="14.25" x14ac:dyDescent="0.2">
      <c r="BH12766" s="25"/>
      <c r="BI12766" s="25"/>
      <c r="BJ12766" s="25"/>
      <c r="BK12766" s="25"/>
    </row>
    <row r="12767" spans="60:63" ht="14.25" x14ac:dyDescent="0.2">
      <c r="BH12767" s="25"/>
      <c r="BI12767" s="25"/>
      <c r="BJ12767" s="25"/>
      <c r="BK12767" s="25"/>
    </row>
    <row r="12768" spans="60:63" ht="14.25" x14ac:dyDescent="0.2">
      <c r="BH12768" s="25"/>
      <c r="BI12768" s="25"/>
      <c r="BJ12768" s="25"/>
      <c r="BK12768" s="25"/>
    </row>
    <row r="12769" spans="60:63" ht="14.25" x14ac:dyDescent="0.2">
      <c r="BH12769" s="25"/>
      <c r="BI12769" s="25"/>
      <c r="BJ12769" s="25"/>
      <c r="BK12769" s="25"/>
    </row>
    <row r="12770" spans="60:63" ht="14.25" x14ac:dyDescent="0.2">
      <c r="BH12770" s="25"/>
      <c r="BI12770" s="25"/>
      <c r="BJ12770" s="25"/>
      <c r="BK12770" s="25"/>
    </row>
    <row r="12771" spans="60:63" ht="14.25" x14ac:dyDescent="0.2">
      <c r="BH12771" s="25"/>
      <c r="BI12771" s="25"/>
      <c r="BJ12771" s="25"/>
      <c r="BK12771" s="25"/>
    </row>
    <row r="12772" spans="60:63" ht="14.25" x14ac:dyDescent="0.2">
      <c r="BH12772" s="25"/>
      <c r="BI12772" s="25"/>
      <c r="BJ12772" s="25"/>
      <c r="BK12772" s="25"/>
    </row>
    <row r="12773" spans="60:63" ht="14.25" x14ac:dyDescent="0.2">
      <c r="BH12773" s="25"/>
      <c r="BI12773" s="25"/>
      <c r="BJ12773" s="25"/>
      <c r="BK12773" s="25"/>
    </row>
    <row r="12774" spans="60:63" ht="14.25" x14ac:dyDescent="0.2">
      <c r="BH12774" s="25"/>
      <c r="BI12774" s="25"/>
      <c r="BJ12774" s="25"/>
      <c r="BK12774" s="25"/>
    </row>
    <row r="12775" spans="60:63" ht="14.25" x14ac:dyDescent="0.2">
      <c r="BH12775" s="25"/>
      <c r="BI12775" s="25"/>
      <c r="BJ12775" s="25"/>
      <c r="BK12775" s="25"/>
    </row>
    <row r="12776" spans="60:63" ht="14.25" x14ac:dyDescent="0.2">
      <c r="BH12776" s="25"/>
      <c r="BI12776" s="25"/>
      <c r="BJ12776" s="25"/>
      <c r="BK12776" s="25"/>
    </row>
    <row r="12777" spans="60:63" ht="14.25" x14ac:dyDescent="0.2">
      <c r="BH12777" s="25"/>
      <c r="BI12777" s="25"/>
      <c r="BJ12777" s="25"/>
      <c r="BK12777" s="25"/>
    </row>
    <row r="12778" spans="60:63" ht="14.25" x14ac:dyDescent="0.2">
      <c r="BH12778" s="25"/>
      <c r="BI12778" s="25"/>
      <c r="BJ12778" s="25"/>
      <c r="BK12778" s="25"/>
    </row>
    <row r="12779" spans="60:63" ht="14.25" x14ac:dyDescent="0.2">
      <c r="BH12779" s="25"/>
      <c r="BI12779" s="25"/>
      <c r="BJ12779" s="25"/>
      <c r="BK12779" s="25"/>
    </row>
    <row r="12780" spans="60:63" ht="14.25" x14ac:dyDescent="0.2">
      <c r="BH12780" s="25"/>
      <c r="BI12780" s="25"/>
      <c r="BJ12780" s="25"/>
      <c r="BK12780" s="25"/>
    </row>
    <row r="12781" spans="60:63" ht="14.25" x14ac:dyDescent="0.2">
      <c r="BH12781" s="25"/>
      <c r="BI12781" s="25"/>
      <c r="BJ12781" s="25"/>
      <c r="BK12781" s="25"/>
    </row>
    <row r="12782" spans="60:63" ht="14.25" x14ac:dyDescent="0.2">
      <c r="BH12782" s="25"/>
      <c r="BI12782" s="25"/>
      <c r="BJ12782" s="25"/>
      <c r="BK12782" s="25"/>
    </row>
    <row r="12783" spans="60:63" ht="14.25" x14ac:dyDescent="0.2">
      <c r="BH12783" s="25"/>
      <c r="BI12783" s="25"/>
      <c r="BJ12783" s="25"/>
      <c r="BK12783" s="25"/>
    </row>
    <row r="12784" spans="60:63" ht="14.25" x14ac:dyDescent="0.2">
      <c r="BH12784" s="25"/>
      <c r="BI12784" s="25"/>
      <c r="BJ12784" s="25"/>
      <c r="BK12784" s="25"/>
    </row>
    <row r="12785" spans="60:63" ht="14.25" x14ac:dyDescent="0.2">
      <c r="BH12785" s="25"/>
      <c r="BI12785" s="25"/>
      <c r="BJ12785" s="25"/>
      <c r="BK12785" s="25"/>
    </row>
    <row r="12786" spans="60:63" ht="14.25" x14ac:dyDescent="0.2">
      <c r="BH12786" s="25"/>
      <c r="BI12786" s="25"/>
      <c r="BJ12786" s="25"/>
      <c r="BK12786" s="25"/>
    </row>
    <row r="12787" spans="60:63" ht="14.25" x14ac:dyDescent="0.2">
      <c r="BH12787" s="25"/>
      <c r="BI12787" s="25"/>
      <c r="BJ12787" s="25"/>
      <c r="BK12787" s="25"/>
    </row>
    <row r="12788" spans="60:63" ht="14.25" x14ac:dyDescent="0.2">
      <c r="BH12788" s="25"/>
      <c r="BI12788" s="25"/>
      <c r="BJ12788" s="25"/>
      <c r="BK12788" s="25"/>
    </row>
    <row r="12789" spans="60:63" ht="14.25" x14ac:dyDescent="0.2">
      <c r="BH12789" s="25"/>
      <c r="BI12789" s="25"/>
      <c r="BJ12789" s="25"/>
      <c r="BK12789" s="25"/>
    </row>
    <row r="12790" spans="60:63" ht="14.25" x14ac:dyDescent="0.2">
      <c r="BH12790" s="25"/>
      <c r="BI12790" s="25"/>
      <c r="BJ12790" s="25"/>
      <c r="BK12790" s="25"/>
    </row>
    <row r="12791" spans="60:63" ht="14.25" x14ac:dyDescent="0.2">
      <c r="BH12791" s="25"/>
      <c r="BI12791" s="25"/>
      <c r="BJ12791" s="25"/>
      <c r="BK12791" s="25"/>
    </row>
    <row r="12792" spans="60:63" ht="14.25" x14ac:dyDescent="0.2">
      <c r="BH12792" s="25"/>
      <c r="BI12792" s="25"/>
      <c r="BJ12792" s="25"/>
      <c r="BK12792" s="25"/>
    </row>
    <row r="12793" spans="60:63" ht="14.25" x14ac:dyDescent="0.2">
      <c r="BH12793" s="25"/>
      <c r="BI12793" s="25"/>
      <c r="BJ12793" s="25"/>
      <c r="BK12793" s="25"/>
    </row>
    <row r="12794" spans="60:63" ht="14.25" x14ac:dyDescent="0.2">
      <c r="BH12794" s="25"/>
      <c r="BI12794" s="25"/>
      <c r="BJ12794" s="25"/>
      <c r="BK12794" s="25"/>
    </row>
    <row r="12795" spans="60:63" ht="14.25" x14ac:dyDescent="0.2">
      <c r="BH12795" s="25"/>
      <c r="BI12795" s="25"/>
      <c r="BJ12795" s="25"/>
      <c r="BK12795" s="25"/>
    </row>
    <row r="12796" spans="60:63" ht="14.25" x14ac:dyDescent="0.2">
      <c r="BH12796" s="25"/>
      <c r="BI12796" s="25"/>
      <c r="BJ12796" s="25"/>
      <c r="BK12796" s="25"/>
    </row>
    <row r="12797" spans="60:63" ht="14.25" x14ac:dyDescent="0.2">
      <c r="BH12797" s="25"/>
      <c r="BI12797" s="25"/>
      <c r="BJ12797" s="25"/>
      <c r="BK12797" s="25"/>
    </row>
    <row r="12798" spans="60:63" ht="14.25" x14ac:dyDescent="0.2">
      <c r="BH12798" s="25"/>
      <c r="BI12798" s="25"/>
      <c r="BJ12798" s="25"/>
      <c r="BK12798" s="25"/>
    </row>
    <row r="12799" spans="60:63" ht="14.25" x14ac:dyDescent="0.2">
      <c r="BH12799" s="25"/>
      <c r="BI12799" s="25"/>
      <c r="BJ12799" s="25"/>
      <c r="BK12799" s="25"/>
    </row>
    <row r="12800" spans="60:63" ht="14.25" x14ac:dyDescent="0.2">
      <c r="BH12800" s="25"/>
      <c r="BI12800" s="25"/>
      <c r="BJ12800" s="25"/>
      <c r="BK12800" s="25"/>
    </row>
    <row r="12801" spans="60:63" ht="14.25" x14ac:dyDescent="0.2">
      <c r="BH12801" s="25"/>
      <c r="BI12801" s="25"/>
      <c r="BJ12801" s="25"/>
      <c r="BK12801" s="25"/>
    </row>
    <row r="12802" spans="60:63" ht="14.25" x14ac:dyDescent="0.2">
      <c r="BH12802" s="25"/>
      <c r="BI12802" s="25"/>
      <c r="BJ12802" s="25"/>
      <c r="BK12802" s="25"/>
    </row>
    <row r="12803" spans="60:63" ht="14.25" x14ac:dyDescent="0.2">
      <c r="BH12803" s="25"/>
      <c r="BI12803" s="25"/>
      <c r="BJ12803" s="25"/>
      <c r="BK12803" s="25"/>
    </row>
    <row r="12804" spans="60:63" ht="14.25" x14ac:dyDescent="0.2">
      <c r="BH12804" s="25"/>
      <c r="BI12804" s="25"/>
      <c r="BJ12804" s="25"/>
      <c r="BK12804" s="25"/>
    </row>
    <row r="12805" spans="60:63" ht="14.25" x14ac:dyDescent="0.2">
      <c r="BH12805" s="25"/>
      <c r="BI12805" s="25"/>
      <c r="BJ12805" s="25"/>
      <c r="BK12805" s="25"/>
    </row>
    <row r="12806" spans="60:63" ht="14.25" x14ac:dyDescent="0.2">
      <c r="BH12806" s="25"/>
      <c r="BI12806" s="25"/>
      <c r="BJ12806" s="25"/>
      <c r="BK12806" s="25"/>
    </row>
    <row r="12807" spans="60:63" ht="14.25" x14ac:dyDescent="0.2">
      <c r="BH12807" s="25"/>
      <c r="BI12807" s="25"/>
      <c r="BJ12807" s="25"/>
      <c r="BK12807" s="25"/>
    </row>
    <row r="12808" spans="60:63" ht="14.25" x14ac:dyDescent="0.2">
      <c r="BH12808" s="25"/>
      <c r="BI12808" s="25"/>
      <c r="BJ12808" s="25"/>
      <c r="BK12808" s="25"/>
    </row>
    <row r="12809" spans="60:63" ht="14.25" x14ac:dyDescent="0.2">
      <c r="BH12809" s="25"/>
      <c r="BI12809" s="25"/>
      <c r="BJ12809" s="25"/>
      <c r="BK12809" s="25"/>
    </row>
    <row r="12810" spans="60:63" ht="14.25" x14ac:dyDescent="0.2">
      <c r="BH12810" s="25"/>
      <c r="BI12810" s="25"/>
      <c r="BJ12810" s="25"/>
      <c r="BK12810" s="25"/>
    </row>
    <row r="12811" spans="60:63" ht="14.25" x14ac:dyDescent="0.2">
      <c r="BH12811" s="25"/>
      <c r="BI12811" s="25"/>
      <c r="BJ12811" s="25"/>
      <c r="BK12811" s="25"/>
    </row>
    <row r="12812" spans="60:63" ht="14.25" x14ac:dyDescent="0.2">
      <c r="BH12812" s="25"/>
      <c r="BI12812" s="25"/>
      <c r="BJ12812" s="25"/>
      <c r="BK12812" s="25"/>
    </row>
    <row r="12813" spans="60:63" ht="14.25" x14ac:dyDescent="0.2">
      <c r="BH12813" s="25"/>
      <c r="BI12813" s="25"/>
      <c r="BJ12813" s="25"/>
      <c r="BK12813" s="25"/>
    </row>
    <row r="12814" spans="60:63" ht="14.25" x14ac:dyDescent="0.2">
      <c r="BH12814" s="25"/>
      <c r="BI12814" s="25"/>
      <c r="BJ12814" s="25"/>
      <c r="BK12814" s="25"/>
    </row>
    <row r="12815" spans="60:63" ht="14.25" x14ac:dyDescent="0.2">
      <c r="BH12815" s="25"/>
      <c r="BI12815" s="25"/>
      <c r="BJ12815" s="25"/>
      <c r="BK12815" s="25"/>
    </row>
    <row r="12816" spans="60:63" ht="14.25" x14ac:dyDescent="0.2">
      <c r="BH12816" s="25"/>
      <c r="BI12816" s="25"/>
      <c r="BJ12816" s="25"/>
      <c r="BK12816" s="25"/>
    </row>
    <row r="12817" spans="60:63" ht="14.25" x14ac:dyDescent="0.2">
      <c r="BH12817" s="25"/>
      <c r="BI12817" s="25"/>
      <c r="BJ12817" s="25"/>
      <c r="BK12817" s="25"/>
    </row>
    <row r="12818" spans="60:63" ht="14.25" x14ac:dyDescent="0.2">
      <c r="BH12818" s="25"/>
      <c r="BI12818" s="25"/>
      <c r="BJ12818" s="25"/>
      <c r="BK12818" s="25"/>
    </row>
    <row r="12819" spans="60:63" ht="14.25" x14ac:dyDescent="0.2">
      <c r="BH12819" s="25"/>
      <c r="BI12819" s="25"/>
      <c r="BJ12819" s="25"/>
      <c r="BK12819" s="25"/>
    </row>
    <row r="12820" spans="60:63" ht="14.25" x14ac:dyDescent="0.2">
      <c r="BH12820" s="25"/>
      <c r="BI12820" s="25"/>
      <c r="BJ12820" s="25"/>
      <c r="BK12820" s="25"/>
    </row>
    <row r="12821" spans="60:63" ht="14.25" x14ac:dyDescent="0.2">
      <c r="BH12821" s="25"/>
      <c r="BI12821" s="25"/>
      <c r="BJ12821" s="25"/>
      <c r="BK12821" s="25"/>
    </row>
    <row r="12822" spans="60:63" ht="14.25" x14ac:dyDescent="0.2">
      <c r="BH12822" s="25"/>
      <c r="BI12822" s="25"/>
      <c r="BJ12822" s="25"/>
      <c r="BK12822" s="25"/>
    </row>
    <row r="12823" spans="60:63" ht="14.25" x14ac:dyDescent="0.2">
      <c r="BH12823" s="25"/>
      <c r="BI12823" s="25"/>
      <c r="BJ12823" s="25"/>
      <c r="BK12823" s="25"/>
    </row>
    <row r="12824" spans="60:63" ht="14.25" x14ac:dyDescent="0.2">
      <c r="BH12824" s="25"/>
      <c r="BI12824" s="25"/>
      <c r="BJ12824" s="25"/>
      <c r="BK12824" s="25"/>
    </row>
    <row r="12825" spans="60:63" ht="14.25" x14ac:dyDescent="0.2">
      <c r="BH12825" s="25"/>
      <c r="BI12825" s="25"/>
      <c r="BJ12825" s="25"/>
      <c r="BK12825" s="25"/>
    </row>
    <row r="12826" spans="60:63" ht="14.25" x14ac:dyDescent="0.2">
      <c r="BH12826" s="25"/>
      <c r="BI12826" s="25"/>
      <c r="BJ12826" s="25"/>
      <c r="BK12826" s="25"/>
    </row>
    <row r="12827" spans="60:63" ht="14.25" x14ac:dyDescent="0.2">
      <c r="BH12827" s="25"/>
      <c r="BI12827" s="25"/>
      <c r="BJ12827" s="25"/>
      <c r="BK12827" s="25"/>
    </row>
    <row r="12828" spans="60:63" ht="14.25" x14ac:dyDescent="0.2">
      <c r="BH12828" s="25"/>
      <c r="BI12828" s="25"/>
      <c r="BJ12828" s="25"/>
      <c r="BK12828" s="25"/>
    </row>
    <row r="12829" spans="60:63" ht="14.25" x14ac:dyDescent="0.2">
      <c r="BH12829" s="25"/>
      <c r="BI12829" s="25"/>
      <c r="BJ12829" s="25"/>
      <c r="BK12829" s="25"/>
    </row>
    <row r="12830" spans="60:63" ht="14.25" x14ac:dyDescent="0.2">
      <c r="BH12830" s="25"/>
      <c r="BI12830" s="25"/>
      <c r="BJ12830" s="25"/>
      <c r="BK12830" s="25"/>
    </row>
    <row r="12831" spans="60:63" ht="14.25" x14ac:dyDescent="0.2">
      <c r="BH12831" s="25"/>
      <c r="BI12831" s="25"/>
      <c r="BJ12831" s="25"/>
      <c r="BK12831" s="25"/>
    </row>
    <row r="12832" spans="60:63" ht="14.25" x14ac:dyDescent="0.2">
      <c r="BH12832" s="25"/>
      <c r="BI12832" s="25"/>
      <c r="BJ12832" s="25"/>
      <c r="BK12832" s="25"/>
    </row>
    <row r="12833" spans="60:63" ht="14.25" x14ac:dyDescent="0.2">
      <c r="BH12833" s="25"/>
      <c r="BI12833" s="25"/>
      <c r="BJ12833" s="25"/>
      <c r="BK12833" s="25"/>
    </row>
    <row r="12834" spans="60:63" ht="14.25" x14ac:dyDescent="0.2">
      <c r="BH12834" s="25"/>
      <c r="BI12834" s="25"/>
      <c r="BJ12834" s="25"/>
      <c r="BK12834" s="25"/>
    </row>
    <row r="12835" spans="60:63" ht="14.25" x14ac:dyDescent="0.2">
      <c r="BH12835" s="25"/>
      <c r="BI12835" s="25"/>
      <c r="BJ12835" s="25"/>
      <c r="BK12835" s="25"/>
    </row>
    <row r="12836" spans="60:63" ht="14.25" x14ac:dyDescent="0.2">
      <c r="BH12836" s="25"/>
      <c r="BI12836" s="25"/>
      <c r="BJ12836" s="25"/>
      <c r="BK12836" s="25"/>
    </row>
    <row r="12837" spans="60:63" ht="14.25" x14ac:dyDescent="0.2">
      <c r="BH12837" s="25"/>
      <c r="BI12837" s="25"/>
      <c r="BJ12837" s="25"/>
      <c r="BK12837" s="25"/>
    </row>
    <row r="12838" spans="60:63" ht="14.25" x14ac:dyDescent="0.2">
      <c r="BH12838" s="25"/>
      <c r="BI12838" s="25"/>
      <c r="BJ12838" s="25"/>
      <c r="BK12838" s="25"/>
    </row>
    <row r="12839" spans="60:63" ht="14.25" x14ac:dyDescent="0.2">
      <c r="BH12839" s="25"/>
      <c r="BI12839" s="25"/>
      <c r="BJ12839" s="25"/>
      <c r="BK12839" s="25"/>
    </row>
    <row r="12840" spans="60:63" ht="14.25" x14ac:dyDescent="0.2">
      <c r="BH12840" s="25"/>
      <c r="BI12840" s="25"/>
      <c r="BJ12840" s="25"/>
      <c r="BK12840" s="25"/>
    </row>
    <row r="12841" spans="60:63" ht="14.25" x14ac:dyDescent="0.2">
      <c r="BH12841" s="25"/>
      <c r="BI12841" s="25"/>
      <c r="BJ12841" s="25"/>
      <c r="BK12841" s="25"/>
    </row>
    <row r="12842" spans="60:63" ht="14.25" x14ac:dyDescent="0.2">
      <c r="BH12842" s="25"/>
      <c r="BI12842" s="25"/>
      <c r="BJ12842" s="25"/>
      <c r="BK12842" s="25"/>
    </row>
    <row r="12843" spans="60:63" ht="14.25" x14ac:dyDescent="0.2">
      <c r="BH12843" s="25"/>
      <c r="BI12843" s="25"/>
      <c r="BJ12843" s="25"/>
      <c r="BK12843" s="25"/>
    </row>
    <row r="12844" spans="60:63" ht="14.25" x14ac:dyDescent="0.2">
      <c r="BH12844" s="25"/>
      <c r="BI12844" s="25"/>
      <c r="BJ12844" s="25"/>
      <c r="BK12844" s="25"/>
    </row>
    <row r="12845" spans="60:63" ht="14.25" x14ac:dyDescent="0.2">
      <c r="BH12845" s="25"/>
      <c r="BI12845" s="25"/>
      <c r="BJ12845" s="25"/>
      <c r="BK12845" s="25"/>
    </row>
    <row r="12846" spans="60:63" ht="14.25" x14ac:dyDescent="0.2">
      <c r="BH12846" s="25"/>
      <c r="BI12846" s="25"/>
      <c r="BJ12846" s="25"/>
      <c r="BK12846" s="25"/>
    </row>
    <row r="12847" spans="60:63" ht="14.25" x14ac:dyDescent="0.2">
      <c r="BH12847" s="25"/>
      <c r="BI12847" s="25"/>
      <c r="BJ12847" s="25"/>
      <c r="BK12847" s="25"/>
    </row>
    <row r="12848" spans="60:63" ht="14.25" x14ac:dyDescent="0.2">
      <c r="BH12848" s="25"/>
      <c r="BI12848" s="25"/>
      <c r="BJ12848" s="25"/>
      <c r="BK12848" s="25"/>
    </row>
    <row r="12849" spans="60:63" ht="14.25" x14ac:dyDescent="0.2">
      <c r="BH12849" s="25"/>
      <c r="BI12849" s="25"/>
      <c r="BJ12849" s="25"/>
      <c r="BK12849" s="25"/>
    </row>
    <row r="12850" spans="60:63" ht="14.25" x14ac:dyDescent="0.2">
      <c r="BH12850" s="25"/>
      <c r="BI12850" s="25"/>
      <c r="BJ12850" s="25"/>
      <c r="BK12850" s="25"/>
    </row>
    <row r="12851" spans="60:63" ht="14.25" x14ac:dyDescent="0.2">
      <c r="BH12851" s="25"/>
      <c r="BI12851" s="25"/>
      <c r="BJ12851" s="25"/>
      <c r="BK12851" s="25"/>
    </row>
    <row r="12852" spans="60:63" ht="14.25" x14ac:dyDescent="0.2">
      <c r="BH12852" s="25"/>
      <c r="BI12852" s="25"/>
      <c r="BJ12852" s="25"/>
      <c r="BK12852" s="25"/>
    </row>
    <row r="12853" spans="60:63" ht="14.25" x14ac:dyDescent="0.2">
      <c r="BH12853" s="25"/>
      <c r="BI12853" s="25"/>
      <c r="BJ12853" s="25"/>
      <c r="BK12853" s="25"/>
    </row>
    <row r="12854" spans="60:63" ht="14.25" x14ac:dyDescent="0.2">
      <c r="BH12854" s="25"/>
      <c r="BI12854" s="25"/>
      <c r="BJ12854" s="25"/>
      <c r="BK12854" s="25"/>
    </row>
    <row r="12855" spans="60:63" ht="14.25" x14ac:dyDescent="0.2">
      <c r="BH12855" s="25"/>
      <c r="BI12855" s="25"/>
      <c r="BJ12855" s="25"/>
      <c r="BK12855" s="25"/>
    </row>
    <row r="12856" spans="60:63" ht="14.25" x14ac:dyDescent="0.2">
      <c r="BH12856" s="25"/>
      <c r="BI12856" s="25"/>
      <c r="BJ12856" s="25"/>
      <c r="BK12856" s="25"/>
    </row>
    <row r="12857" spans="60:63" ht="14.25" x14ac:dyDescent="0.2">
      <c r="BH12857" s="25"/>
      <c r="BI12857" s="25"/>
      <c r="BJ12857" s="25"/>
      <c r="BK12857" s="25"/>
    </row>
    <row r="12858" spans="60:63" ht="14.25" x14ac:dyDescent="0.2">
      <c r="BH12858" s="25"/>
      <c r="BI12858" s="25"/>
      <c r="BJ12858" s="25"/>
      <c r="BK12858" s="25"/>
    </row>
    <row r="12859" spans="60:63" ht="14.25" x14ac:dyDescent="0.2">
      <c r="BH12859" s="25"/>
      <c r="BI12859" s="25"/>
      <c r="BJ12859" s="25"/>
      <c r="BK12859" s="25"/>
    </row>
    <row r="12860" spans="60:63" ht="14.25" x14ac:dyDescent="0.2">
      <c r="BH12860" s="25"/>
      <c r="BI12860" s="25"/>
      <c r="BJ12860" s="25"/>
      <c r="BK12860" s="25"/>
    </row>
    <row r="12861" spans="60:63" ht="14.25" x14ac:dyDescent="0.2">
      <c r="BH12861" s="25"/>
      <c r="BI12861" s="25"/>
      <c r="BJ12861" s="25"/>
      <c r="BK12861" s="25"/>
    </row>
    <row r="12862" spans="60:63" ht="14.25" x14ac:dyDescent="0.2">
      <c r="BH12862" s="25"/>
      <c r="BI12862" s="25"/>
      <c r="BJ12862" s="25"/>
      <c r="BK12862" s="25"/>
    </row>
    <row r="12863" spans="60:63" ht="14.25" x14ac:dyDescent="0.2">
      <c r="BH12863" s="25"/>
      <c r="BI12863" s="25"/>
      <c r="BJ12863" s="25"/>
      <c r="BK12863" s="25"/>
    </row>
    <row r="12864" spans="60:63" ht="14.25" x14ac:dyDescent="0.2">
      <c r="BH12864" s="25"/>
      <c r="BI12864" s="25"/>
      <c r="BJ12864" s="25"/>
      <c r="BK12864" s="25"/>
    </row>
    <row r="12865" spans="60:63" ht="14.25" x14ac:dyDescent="0.2">
      <c r="BH12865" s="25"/>
      <c r="BI12865" s="25"/>
      <c r="BJ12865" s="25"/>
      <c r="BK12865" s="25"/>
    </row>
    <row r="12866" spans="60:63" ht="14.25" x14ac:dyDescent="0.2">
      <c r="BH12866" s="25"/>
      <c r="BI12866" s="25"/>
      <c r="BJ12866" s="25"/>
      <c r="BK12866" s="25"/>
    </row>
    <row r="12867" spans="60:63" ht="14.25" x14ac:dyDescent="0.2">
      <c r="BH12867" s="25"/>
      <c r="BI12867" s="25"/>
      <c r="BJ12867" s="25"/>
      <c r="BK12867" s="25"/>
    </row>
    <row r="12868" spans="60:63" ht="14.25" x14ac:dyDescent="0.2">
      <c r="BH12868" s="25"/>
      <c r="BI12868" s="25"/>
      <c r="BJ12868" s="25"/>
      <c r="BK12868" s="25"/>
    </row>
    <row r="12869" spans="60:63" ht="14.25" x14ac:dyDescent="0.2">
      <c r="BH12869" s="25"/>
      <c r="BI12869" s="25"/>
      <c r="BJ12869" s="25"/>
      <c r="BK12869" s="25"/>
    </row>
    <row r="12870" spans="60:63" ht="14.25" x14ac:dyDescent="0.2">
      <c r="BH12870" s="25"/>
      <c r="BI12870" s="25"/>
      <c r="BJ12870" s="25"/>
      <c r="BK12870" s="25"/>
    </row>
    <row r="12871" spans="60:63" ht="14.25" x14ac:dyDescent="0.2">
      <c r="BH12871" s="25"/>
      <c r="BI12871" s="25"/>
      <c r="BJ12871" s="25"/>
      <c r="BK12871" s="25"/>
    </row>
    <row r="12872" spans="60:63" ht="14.25" x14ac:dyDescent="0.2">
      <c r="BH12872" s="25"/>
      <c r="BI12872" s="25"/>
      <c r="BJ12872" s="25"/>
      <c r="BK12872" s="25"/>
    </row>
    <row r="12873" spans="60:63" ht="14.25" x14ac:dyDescent="0.2">
      <c r="BH12873" s="25"/>
      <c r="BI12873" s="25"/>
      <c r="BJ12873" s="25"/>
      <c r="BK12873" s="25"/>
    </row>
    <row r="12874" spans="60:63" ht="14.25" x14ac:dyDescent="0.2">
      <c r="BH12874" s="25"/>
      <c r="BI12874" s="25"/>
      <c r="BJ12874" s="25"/>
      <c r="BK12874" s="25"/>
    </row>
    <row r="12875" spans="60:63" ht="14.25" x14ac:dyDescent="0.2">
      <c r="BH12875" s="25"/>
      <c r="BI12875" s="25"/>
      <c r="BJ12875" s="25"/>
      <c r="BK12875" s="25"/>
    </row>
    <row r="12876" spans="60:63" ht="14.25" x14ac:dyDescent="0.2">
      <c r="BH12876" s="25"/>
      <c r="BI12876" s="25"/>
      <c r="BJ12876" s="25"/>
      <c r="BK12876" s="25"/>
    </row>
    <row r="12877" spans="60:63" ht="14.25" x14ac:dyDescent="0.2">
      <c r="BH12877" s="25"/>
      <c r="BI12877" s="25"/>
      <c r="BJ12877" s="25"/>
      <c r="BK12877" s="25"/>
    </row>
    <row r="12878" spans="60:63" ht="14.25" x14ac:dyDescent="0.2">
      <c r="BH12878" s="25"/>
      <c r="BI12878" s="25"/>
      <c r="BJ12878" s="25"/>
      <c r="BK12878" s="25"/>
    </row>
    <row r="12879" spans="60:63" ht="14.25" x14ac:dyDescent="0.2">
      <c r="BH12879" s="25"/>
      <c r="BI12879" s="25"/>
      <c r="BJ12879" s="25"/>
      <c r="BK12879" s="25"/>
    </row>
    <row r="12880" spans="60:63" ht="14.25" x14ac:dyDescent="0.2">
      <c r="BH12880" s="25"/>
      <c r="BI12880" s="25"/>
      <c r="BJ12880" s="25"/>
      <c r="BK12880" s="25"/>
    </row>
    <row r="12881" spans="60:63" ht="14.25" x14ac:dyDescent="0.2">
      <c r="BH12881" s="25"/>
      <c r="BI12881" s="25"/>
      <c r="BJ12881" s="25"/>
      <c r="BK12881" s="25"/>
    </row>
    <row r="12882" spans="60:63" ht="14.25" x14ac:dyDescent="0.2">
      <c r="BH12882" s="25"/>
      <c r="BI12882" s="25"/>
      <c r="BJ12882" s="25"/>
      <c r="BK12882" s="25"/>
    </row>
    <row r="12883" spans="60:63" ht="14.25" x14ac:dyDescent="0.2">
      <c r="BH12883" s="25"/>
      <c r="BI12883" s="25"/>
      <c r="BJ12883" s="25"/>
      <c r="BK12883" s="25"/>
    </row>
    <row r="12884" spans="60:63" ht="14.25" x14ac:dyDescent="0.2">
      <c r="BH12884" s="25"/>
      <c r="BI12884" s="25"/>
      <c r="BJ12884" s="25"/>
      <c r="BK12884" s="25"/>
    </row>
    <row r="12885" spans="60:63" ht="14.25" x14ac:dyDescent="0.2">
      <c r="BH12885" s="25"/>
      <c r="BI12885" s="25"/>
      <c r="BJ12885" s="25"/>
      <c r="BK12885" s="25"/>
    </row>
    <row r="12886" spans="60:63" ht="14.25" x14ac:dyDescent="0.2">
      <c r="BH12886" s="25"/>
      <c r="BI12886" s="25"/>
      <c r="BJ12886" s="25"/>
      <c r="BK12886" s="25"/>
    </row>
    <row r="12887" spans="60:63" ht="14.25" x14ac:dyDescent="0.2">
      <c r="BH12887" s="25"/>
      <c r="BI12887" s="25"/>
      <c r="BJ12887" s="25"/>
      <c r="BK12887" s="25"/>
    </row>
    <row r="12888" spans="60:63" ht="14.25" x14ac:dyDescent="0.2">
      <c r="BH12888" s="25"/>
      <c r="BI12888" s="25"/>
      <c r="BJ12888" s="25"/>
      <c r="BK12888" s="25"/>
    </row>
    <row r="12889" spans="60:63" ht="14.25" x14ac:dyDescent="0.2">
      <c r="BH12889" s="25"/>
      <c r="BI12889" s="25"/>
      <c r="BJ12889" s="25"/>
      <c r="BK12889" s="25"/>
    </row>
    <row r="12890" spans="60:63" ht="14.25" x14ac:dyDescent="0.2">
      <c r="BH12890" s="25"/>
      <c r="BI12890" s="25"/>
      <c r="BJ12890" s="25"/>
      <c r="BK12890" s="25"/>
    </row>
    <row r="12891" spans="60:63" ht="14.25" x14ac:dyDescent="0.2">
      <c r="BH12891" s="25"/>
      <c r="BI12891" s="25"/>
      <c r="BJ12891" s="25"/>
      <c r="BK12891" s="25"/>
    </row>
    <row r="12892" spans="60:63" ht="14.25" x14ac:dyDescent="0.2">
      <c r="BH12892" s="25"/>
      <c r="BI12892" s="25"/>
      <c r="BJ12892" s="25"/>
      <c r="BK12892" s="25"/>
    </row>
    <row r="12893" spans="60:63" ht="14.25" x14ac:dyDescent="0.2">
      <c r="BH12893" s="25"/>
      <c r="BI12893" s="25"/>
      <c r="BJ12893" s="25"/>
      <c r="BK12893" s="25"/>
    </row>
    <row r="12894" spans="60:63" ht="14.25" x14ac:dyDescent="0.2">
      <c r="BH12894" s="25"/>
      <c r="BI12894" s="25"/>
      <c r="BJ12894" s="25"/>
      <c r="BK12894" s="25"/>
    </row>
    <row r="12895" spans="60:63" ht="14.25" x14ac:dyDescent="0.2">
      <c r="BH12895" s="25"/>
      <c r="BI12895" s="25"/>
      <c r="BJ12895" s="25"/>
      <c r="BK12895" s="25"/>
    </row>
    <row r="12896" spans="60:63" ht="14.25" x14ac:dyDescent="0.2">
      <c r="BH12896" s="25"/>
      <c r="BI12896" s="25"/>
      <c r="BJ12896" s="25"/>
      <c r="BK12896" s="25"/>
    </row>
    <row r="12897" spans="60:63" ht="14.25" x14ac:dyDescent="0.2">
      <c r="BH12897" s="25"/>
      <c r="BI12897" s="25"/>
      <c r="BJ12897" s="25"/>
      <c r="BK12897" s="25"/>
    </row>
    <row r="12898" spans="60:63" ht="14.25" x14ac:dyDescent="0.2">
      <c r="BH12898" s="25"/>
      <c r="BI12898" s="25"/>
      <c r="BJ12898" s="25"/>
      <c r="BK12898" s="25"/>
    </row>
    <row r="12899" spans="60:63" ht="14.25" x14ac:dyDescent="0.2">
      <c r="BH12899" s="25"/>
      <c r="BI12899" s="25"/>
      <c r="BJ12899" s="25"/>
      <c r="BK12899" s="25"/>
    </row>
    <row r="12900" spans="60:63" ht="14.25" x14ac:dyDescent="0.2">
      <c r="BH12900" s="25"/>
      <c r="BI12900" s="25"/>
      <c r="BJ12900" s="25"/>
      <c r="BK12900" s="25"/>
    </row>
    <row r="12901" spans="60:63" ht="14.25" x14ac:dyDescent="0.2">
      <c r="BH12901" s="25"/>
      <c r="BI12901" s="25"/>
      <c r="BJ12901" s="25"/>
      <c r="BK12901" s="25"/>
    </row>
    <row r="12902" spans="60:63" ht="14.25" x14ac:dyDescent="0.2">
      <c r="BH12902" s="25"/>
      <c r="BI12902" s="25"/>
      <c r="BJ12902" s="25"/>
      <c r="BK12902" s="25"/>
    </row>
    <row r="12903" spans="60:63" ht="14.25" x14ac:dyDescent="0.2">
      <c r="BH12903" s="25"/>
      <c r="BI12903" s="25"/>
      <c r="BJ12903" s="25"/>
      <c r="BK12903" s="25"/>
    </row>
    <row r="12904" spans="60:63" ht="14.25" x14ac:dyDescent="0.2">
      <c r="BH12904" s="25"/>
      <c r="BI12904" s="25"/>
      <c r="BJ12904" s="25"/>
      <c r="BK12904" s="25"/>
    </row>
    <row r="12905" spans="60:63" ht="14.25" x14ac:dyDescent="0.2">
      <c r="BH12905" s="25"/>
      <c r="BI12905" s="25"/>
      <c r="BJ12905" s="25"/>
      <c r="BK12905" s="25"/>
    </row>
    <row r="12906" spans="60:63" ht="14.25" x14ac:dyDescent="0.2">
      <c r="BH12906" s="25"/>
      <c r="BI12906" s="25"/>
      <c r="BJ12906" s="25"/>
      <c r="BK12906" s="25"/>
    </row>
    <row r="12907" spans="60:63" ht="14.25" x14ac:dyDescent="0.2">
      <c r="BH12907" s="25"/>
      <c r="BI12907" s="25"/>
      <c r="BJ12907" s="25"/>
      <c r="BK12907" s="25"/>
    </row>
    <row r="12908" spans="60:63" ht="14.25" x14ac:dyDescent="0.2">
      <c r="BH12908" s="25"/>
      <c r="BI12908" s="25"/>
      <c r="BJ12908" s="25"/>
      <c r="BK12908" s="25"/>
    </row>
    <row r="12909" spans="60:63" ht="14.25" x14ac:dyDescent="0.2">
      <c r="BH12909" s="25"/>
      <c r="BI12909" s="25"/>
      <c r="BJ12909" s="25"/>
      <c r="BK12909" s="25"/>
    </row>
    <row r="12910" spans="60:63" ht="14.25" x14ac:dyDescent="0.2">
      <c r="BH12910" s="25"/>
      <c r="BI12910" s="25"/>
      <c r="BJ12910" s="25"/>
      <c r="BK12910" s="25"/>
    </row>
    <row r="12911" spans="60:63" ht="14.25" x14ac:dyDescent="0.2">
      <c r="BH12911" s="25"/>
      <c r="BI12911" s="25"/>
      <c r="BJ12911" s="25"/>
      <c r="BK12911" s="25"/>
    </row>
    <row r="12912" spans="60:63" ht="14.25" x14ac:dyDescent="0.2">
      <c r="BH12912" s="25"/>
      <c r="BI12912" s="25"/>
      <c r="BJ12912" s="25"/>
      <c r="BK12912" s="25"/>
    </row>
    <row r="12913" spans="60:63" ht="14.25" x14ac:dyDescent="0.2">
      <c r="BH12913" s="25"/>
      <c r="BI12913" s="25"/>
      <c r="BJ12913" s="25"/>
      <c r="BK12913" s="25"/>
    </row>
    <row r="12914" spans="60:63" ht="14.25" x14ac:dyDescent="0.2">
      <c r="BH12914" s="25"/>
      <c r="BI12914" s="25"/>
      <c r="BJ12914" s="25"/>
      <c r="BK12914" s="25"/>
    </row>
    <row r="12915" spans="60:63" ht="14.25" x14ac:dyDescent="0.2">
      <c r="BH12915" s="25"/>
      <c r="BI12915" s="25"/>
      <c r="BJ12915" s="25"/>
      <c r="BK12915" s="25"/>
    </row>
    <row r="12916" spans="60:63" ht="14.25" x14ac:dyDescent="0.2">
      <c r="BH12916" s="25"/>
      <c r="BI12916" s="25"/>
      <c r="BJ12916" s="25"/>
      <c r="BK12916" s="25"/>
    </row>
    <row r="12917" spans="60:63" ht="14.25" x14ac:dyDescent="0.2">
      <c r="BH12917" s="25"/>
      <c r="BI12917" s="25"/>
      <c r="BJ12917" s="25"/>
      <c r="BK12917" s="25"/>
    </row>
    <row r="12918" spans="60:63" ht="14.25" x14ac:dyDescent="0.2">
      <c r="BH12918" s="25"/>
      <c r="BI12918" s="25"/>
      <c r="BJ12918" s="25"/>
      <c r="BK12918" s="25"/>
    </row>
    <row r="12919" spans="60:63" ht="14.25" x14ac:dyDescent="0.2">
      <c r="BH12919" s="25"/>
      <c r="BI12919" s="25"/>
      <c r="BJ12919" s="25"/>
      <c r="BK12919" s="25"/>
    </row>
    <row r="12920" spans="60:63" ht="14.25" x14ac:dyDescent="0.2">
      <c r="BH12920" s="25"/>
      <c r="BI12920" s="25"/>
      <c r="BJ12920" s="25"/>
      <c r="BK12920" s="25"/>
    </row>
    <row r="12921" spans="60:63" ht="14.25" x14ac:dyDescent="0.2">
      <c r="BH12921" s="25"/>
      <c r="BI12921" s="25"/>
      <c r="BJ12921" s="25"/>
      <c r="BK12921" s="25"/>
    </row>
    <row r="12922" spans="60:63" ht="14.25" x14ac:dyDescent="0.2">
      <c r="BH12922" s="25"/>
      <c r="BI12922" s="25"/>
      <c r="BJ12922" s="25"/>
      <c r="BK12922" s="25"/>
    </row>
    <row r="12923" spans="60:63" ht="14.25" x14ac:dyDescent="0.2">
      <c r="BH12923" s="25"/>
      <c r="BI12923" s="25"/>
      <c r="BJ12923" s="25"/>
      <c r="BK12923" s="25"/>
    </row>
    <row r="12924" spans="60:63" ht="14.25" x14ac:dyDescent="0.2">
      <c r="BH12924" s="25"/>
      <c r="BI12924" s="25"/>
      <c r="BJ12924" s="25"/>
      <c r="BK12924" s="25"/>
    </row>
    <row r="12925" spans="60:63" ht="14.25" x14ac:dyDescent="0.2">
      <c r="BH12925" s="25"/>
      <c r="BI12925" s="25"/>
      <c r="BJ12925" s="25"/>
      <c r="BK12925" s="25"/>
    </row>
    <row r="12926" spans="60:63" ht="14.25" x14ac:dyDescent="0.2">
      <c r="BH12926" s="25"/>
      <c r="BI12926" s="25"/>
      <c r="BJ12926" s="25"/>
      <c r="BK12926" s="25"/>
    </row>
    <row r="12927" spans="60:63" ht="14.25" x14ac:dyDescent="0.2">
      <c r="BH12927" s="25"/>
      <c r="BI12927" s="25"/>
      <c r="BJ12927" s="25"/>
      <c r="BK12927" s="25"/>
    </row>
    <row r="12928" spans="60:63" ht="14.25" x14ac:dyDescent="0.2">
      <c r="BH12928" s="25"/>
      <c r="BI12928" s="25"/>
      <c r="BJ12928" s="25"/>
      <c r="BK12928" s="25"/>
    </row>
    <row r="12929" spans="60:63" ht="14.25" x14ac:dyDescent="0.2">
      <c r="BH12929" s="25"/>
      <c r="BI12929" s="25"/>
      <c r="BJ12929" s="25"/>
      <c r="BK12929" s="25"/>
    </row>
    <row r="12930" spans="60:63" ht="14.25" x14ac:dyDescent="0.2">
      <c r="BH12930" s="25"/>
      <c r="BI12930" s="25"/>
      <c r="BJ12930" s="25"/>
      <c r="BK12930" s="25"/>
    </row>
    <row r="12931" spans="60:63" ht="14.25" x14ac:dyDescent="0.2">
      <c r="BH12931" s="25"/>
      <c r="BI12931" s="25"/>
      <c r="BJ12931" s="25"/>
      <c r="BK12931" s="25"/>
    </row>
    <row r="12932" spans="60:63" ht="14.25" x14ac:dyDescent="0.2">
      <c r="BH12932" s="25"/>
      <c r="BI12932" s="25"/>
      <c r="BJ12932" s="25"/>
      <c r="BK12932" s="25"/>
    </row>
    <row r="12933" spans="60:63" ht="14.25" x14ac:dyDescent="0.2">
      <c r="BH12933" s="25"/>
      <c r="BI12933" s="25"/>
      <c r="BJ12933" s="25"/>
      <c r="BK12933" s="25"/>
    </row>
    <row r="12934" spans="60:63" ht="14.25" x14ac:dyDescent="0.2">
      <c r="BH12934" s="25"/>
      <c r="BI12934" s="25"/>
      <c r="BJ12934" s="25"/>
      <c r="BK12934" s="25"/>
    </row>
    <row r="12935" spans="60:63" ht="14.25" x14ac:dyDescent="0.2">
      <c r="BH12935" s="25"/>
      <c r="BI12935" s="25"/>
      <c r="BJ12935" s="25"/>
      <c r="BK12935" s="25"/>
    </row>
    <row r="12936" spans="60:63" ht="14.25" x14ac:dyDescent="0.2">
      <c r="BH12936" s="25"/>
      <c r="BI12936" s="25"/>
      <c r="BJ12936" s="25"/>
      <c r="BK12936" s="25"/>
    </row>
    <row r="12937" spans="60:63" ht="14.25" x14ac:dyDescent="0.2">
      <c r="BH12937" s="25"/>
      <c r="BI12937" s="25"/>
      <c r="BJ12937" s="25"/>
      <c r="BK12937" s="25"/>
    </row>
    <row r="12938" spans="60:63" ht="14.25" x14ac:dyDescent="0.2">
      <c r="BH12938" s="25"/>
      <c r="BI12938" s="25"/>
      <c r="BJ12938" s="25"/>
      <c r="BK12938" s="25"/>
    </row>
    <row r="12939" spans="60:63" ht="14.25" x14ac:dyDescent="0.2">
      <c r="BH12939" s="25"/>
      <c r="BI12939" s="25"/>
      <c r="BJ12939" s="25"/>
      <c r="BK12939" s="25"/>
    </row>
    <row r="12940" spans="60:63" ht="14.25" x14ac:dyDescent="0.2">
      <c r="BH12940" s="25"/>
      <c r="BI12940" s="25"/>
      <c r="BJ12940" s="25"/>
      <c r="BK12940" s="25"/>
    </row>
    <row r="12941" spans="60:63" ht="14.25" x14ac:dyDescent="0.2">
      <c r="BH12941" s="25"/>
      <c r="BI12941" s="25"/>
      <c r="BJ12941" s="25"/>
      <c r="BK12941" s="25"/>
    </row>
    <row r="12942" spans="60:63" ht="14.25" x14ac:dyDescent="0.2">
      <c r="BH12942" s="25"/>
      <c r="BI12942" s="25"/>
      <c r="BJ12942" s="25"/>
      <c r="BK12942" s="25"/>
    </row>
    <row r="12943" spans="60:63" ht="14.25" x14ac:dyDescent="0.2">
      <c r="BH12943" s="25"/>
      <c r="BI12943" s="25"/>
      <c r="BJ12943" s="25"/>
      <c r="BK12943" s="25"/>
    </row>
    <row r="12944" spans="60:63" ht="14.25" x14ac:dyDescent="0.2">
      <c r="BH12944" s="25"/>
      <c r="BI12944" s="25"/>
      <c r="BJ12944" s="25"/>
      <c r="BK12944" s="25"/>
    </row>
    <row r="12945" spans="60:63" ht="14.25" x14ac:dyDescent="0.2">
      <c r="BH12945" s="25"/>
      <c r="BI12945" s="25"/>
      <c r="BJ12945" s="25"/>
      <c r="BK12945" s="25"/>
    </row>
    <row r="12946" spans="60:63" ht="14.25" x14ac:dyDescent="0.2">
      <c r="BH12946" s="25"/>
      <c r="BI12946" s="25"/>
      <c r="BJ12946" s="25"/>
      <c r="BK12946" s="25"/>
    </row>
    <row r="12947" spans="60:63" ht="14.25" x14ac:dyDescent="0.2">
      <c r="BH12947" s="25"/>
      <c r="BI12947" s="25"/>
      <c r="BJ12947" s="25"/>
      <c r="BK12947" s="25"/>
    </row>
    <row r="12948" spans="60:63" ht="14.25" x14ac:dyDescent="0.2">
      <c r="BH12948" s="25"/>
      <c r="BI12948" s="25"/>
      <c r="BJ12948" s="25"/>
      <c r="BK12948" s="25"/>
    </row>
    <row r="12949" spans="60:63" ht="14.25" x14ac:dyDescent="0.2">
      <c r="BH12949" s="25"/>
      <c r="BI12949" s="25"/>
      <c r="BJ12949" s="25"/>
      <c r="BK12949" s="25"/>
    </row>
    <row r="12950" spans="60:63" ht="14.25" x14ac:dyDescent="0.2">
      <c r="BH12950" s="25"/>
      <c r="BI12950" s="25"/>
      <c r="BJ12950" s="25"/>
      <c r="BK12950" s="25"/>
    </row>
    <row r="12951" spans="60:63" ht="14.25" x14ac:dyDescent="0.2">
      <c r="BH12951" s="25"/>
      <c r="BI12951" s="25"/>
      <c r="BJ12951" s="25"/>
      <c r="BK12951" s="25"/>
    </row>
    <row r="12952" spans="60:63" ht="14.25" x14ac:dyDescent="0.2">
      <c r="BH12952" s="25"/>
      <c r="BI12952" s="25"/>
      <c r="BJ12952" s="25"/>
      <c r="BK12952" s="25"/>
    </row>
    <row r="12953" spans="60:63" ht="14.25" x14ac:dyDescent="0.2">
      <c r="BH12953" s="25"/>
      <c r="BI12953" s="25"/>
      <c r="BJ12953" s="25"/>
      <c r="BK12953" s="25"/>
    </row>
    <row r="12954" spans="60:63" ht="14.25" x14ac:dyDescent="0.2">
      <c r="BH12954" s="25"/>
      <c r="BI12954" s="25"/>
      <c r="BJ12954" s="25"/>
      <c r="BK12954" s="25"/>
    </row>
    <row r="12955" spans="60:63" ht="14.25" x14ac:dyDescent="0.2">
      <c r="BH12955" s="25"/>
      <c r="BI12955" s="25"/>
      <c r="BJ12955" s="25"/>
      <c r="BK12955" s="25"/>
    </row>
    <row r="12956" spans="60:63" ht="14.25" x14ac:dyDescent="0.2">
      <c r="BH12956" s="25"/>
      <c r="BI12956" s="25"/>
      <c r="BJ12956" s="25"/>
      <c r="BK12956" s="25"/>
    </row>
    <row r="12957" spans="60:63" ht="14.25" x14ac:dyDescent="0.2">
      <c r="BH12957" s="25"/>
      <c r="BI12957" s="25"/>
      <c r="BJ12957" s="25"/>
      <c r="BK12957" s="25"/>
    </row>
    <row r="12958" spans="60:63" ht="14.25" x14ac:dyDescent="0.2">
      <c r="BH12958" s="25"/>
      <c r="BI12958" s="25"/>
      <c r="BJ12958" s="25"/>
      <c r="BK12958" s="25"/>
    </row>
    <row r="12959" spans="60:63" ht="14.25" x14ac:dyDescent="0.2">
      <c r="BH12959" s="25"/>
      <c r="BI12959" s="25"/>
      <c r="BJ12959" s="25"/>
      <c r="BK12959" s="25"/>
    </row>
    <row r="12960" spans="60:63" ht="14.25" x14ac:dyDescent="0.2">
      <c r="BH12960" s="25"/>
      <c r="BI12960" s="25"/>
      <c r="BJ12960" s="25"/>
      <c r="BK12960" s="25"/>
    </row>
    <row r="12961" spans="60:63" ht="14.25" x14ac:dyDescent="0.2">
      <c r="BH12961" s="25"/>
      <c r="BI12961" s="25"/>
      <c r="BJ12961" s="25"/>
      <c r="BK12961" s="25"/>
    </row>
    <row r="12962" spans="60:63" ht="14.25" x14ac:dyDescent="0.2">
      <c r="BH12962" s="25"/>
      <c r="BI12962" s="25"/>
      <c r="BJ12962" s="25"/>
      <c r="BK12962" s="25"/>
    </row>
    <row r="12963" spans="60:63" ht="14.25" x14ac:dyDescent="0.2">
      <c r="BH12963" s="25"/>
      <c r="BI12963" s="25"/>
      <c r="BJ12963" s="25"/>
      <c r="BK12963" s="25"/>
    </row>
    <row r="12964" spans="60:63" ht="14.25" x14ac:dyDescent="0.2">
      <c r="BH12964" s="25"/>
      <c r="BI12964" s="25"/>
      <c r="BJ12964" s="25"/>
      <c r="BK12964" s="25"/>
    </row>
    <row r="12965" spans="60:63" ht="14.25" x14ac:dyDescent="0.2">
      <c r="BH12965" s="25"/>
      <c r="BI12965" s="25"/>
      <c r="BJ12965" s="25"/>
      <c r="BK12965" s="25"/>
    </row>
    <row r="12966" spans="60:63" ht="14.25" x14ac:dyDescent="0.2">
      <c r="BH12966" s="25"/>
      <c r="BI12966" s="25"/>
      <c r="BJ12966" s="25"/>
      <c r="BK12966" s="25"/>
    </row>
    <row r="12967" spans="60:63" ht="14.25" x14ac:dyDescent="0.2">
      <c r="BH12967" s="25"/>
      <c r="BI12967" s="25"/>
      <c r="BJ12967" s="25"/>
      <c r="BK12967" s="25"/>
    </row>
    <row r="12968" spans="60:63" ht="14.25" x14ac:dyDescent="0.2">
      <c r="BH12968" s="25"/>
      <c r="BI12968" s="25"/>
      <c r="BJ12968" s="25"/>
      <c r="BK12968" s="25"/>
    </row>
    <row r="12969" spans="60:63" ht="14.25" x14ac:dyDescent="0.2">
      <c r="BH12969" s="25"/>
      <c r="BI12969" s="25"/>
      <c r="BJ12969" s="25"/>
      <c r="BK12969" s="25"/>
    </row>
    <row r="12970" spans="60:63" ht="14.25" x14ac:dyDescent="0.2">
      <c r="BH12970" s="25"/>
      <c r="BI12970" s="25"/>
      <c r="BJ12970" s="25"/>
      <c r="BK12970" s="25"/>
    </row>
    <row r="12971" spans="60:63" ht="14.25" x14ac:dyDescent="0.2">
      <c r="BH12971" s="25"/>
      <c r="BI12971" s="25"/>
      <c r="BJ12971" s="25"/>
      <c r="BK12971" s="25"/>
    </row>
    <row r="12972" spans="60:63" ht="14.25" x14ac:dyDescent="0.2">
      <c r="BH12972" s="25"/>
      <c r="BI12972" s="25"/>
      <c r="BJ12972" s="25"/>
      <c r="BK12972" s="25"/>
    </row>
    <row r="12973" spans="60:63" ht="14.25" x14ac:dyDescent="0.2">
      <c r="BH12973" s="25"/>
      <c r="BI12973" s="25"/>
      <c r="BJ12973" s="25"/>
      <c r="BK12973" s="25"/>
    </row>
    <row r="12974" spans="60:63" ht="14.25" x14ac:dyDescent="0.2">
      <c r="BH12974" s="25"/>
      <c r="BI12974" s="25"/>
      <c r="BJ12974" s="25"/>
      <c r="BK12974" s="25"/>
    </row>
    <row r="12975" spans="60:63" ht="14.25" x14ac:dyDescent="0.2">
      <c r="BH12975" s="25"/>
      <c r="BI12975" s="25"/>
      <c r="BJ12975" s="25"/>
      <c r="BK12975" s="25"/>
    </row>
    <row r="12976" spans="60:63" ht="14.25" x14ac:dyDescent="0.2">
      <c r="BH12976" s="25"/>
      <c r="BI12976" s="25"/>
      <c r="BJ12976" s="25"/>
      <c r="BK12976" s="25"/>
    </row>
    <row r="12977" spans="60:63" ht="14.25" x14ac:dyDescent="0.2">
      <c r="BH12977" s="25"/>
      <c r="BI12977" s="25"/>
      <c r="BJ12977" s="25"/>
      <c r="BK12977" s="25"/>
    </row>
    <row r="12978" spans="60:63" ht="14.25" x14ac:dyDescent="0.2">
      <c r="BH12978" s="25"/>
      <c r="BI12978" s="25"/>
      <c r="BJ12978" s="25"/>
      <c r="BK12978" s="25"/>
    </row>
    <row r="12979" spans="60:63" ht="14.25" x14ac:dyDescent="0.2">
      <c r="BH12979" s="25"/>
      <c r="BI12979" s="25"/>
      <c r="BJ12979" s="25"/>
      <c r="BK12979" s="25"/>
    </row>
    <row r="12980" spans="60:63" ht="14.25" x14ac:dyDescent="0.2">
      <c r="BH12980" s="25"/>
      <c r="BI12980" s="25"/>
      <c r="BJ12980" s="25"/>
      <c r="BK12980" s="25"/>
    </row>
    <row r="12981" spans="60:63" ht="14.25" x14ac:dyDescent="0.2">
      <c r="BH12981" s="25"/>
      <c r="BI12981" s="25"/>
      <c r="BJ12981" s="25"/>
      <c r="BK12981" s="25"/>
    </row>
    <row r="12982" spans="60:63" ht="14.25" x14ac:dyDescent="0.2">
      <c r="BH12982" s="25"/>
      <c r="BI12982" s="25"/>
      <c r="BJ12982" s="25"/>
      <c r="BK12982" s="25"/>
    </row>
    <row r="12983" spans="60:63" ht="14.25" x14ac:dyDescent="0.2">
      <c r="BH12983" s="25"/>
      <c r="BI12983" s="25"/>
      <c r="BJ12983" s="25"/>
      <c r="BK12983" s="25"/>
    </row>
    <row r="12984" spans="60:63" ht="14.25" x14ac:dyDescent="0.2">
      <c r="BH12984" s="25"/>
      <c r="BI12984" s="25"/>
      <c r="BJ12984" s="25"/>
      <c r="BK12984" s="25"/>
    </row>
    <row r="12985" spans="60:63" ht="14.25" x14ac:dyDescent="0.2">
      <c r="BH12985" s="25"/>
      <c r="BI12985" s="25"/>
      <c r="BJ12985" s="25"/>
      <c r="BK12985" s="25"/>
    </row>
    <row r="12986" spans="60:63" ht="14.25" x14ac:dyDescent="0.2">
      <c r="BH12986" s="25"/>
      <c r="BI12986" s="25"/>
      <c r="BJ12986" s="25"/>
      <c r="BK12986" s="25"/>
    </row>
    <row r="12987" spans="60:63" ht="14.25" x14ac:dyDescent="0.2">
      <c r="BH12987" s="25"/>
      <c r="BI12987" s="25"/>
      <c r="BJ12987" s="25"/>
      <c r="BK12987" s="25"/>
    </row>
    <row r="12988" spans="60:63" ht="14.25" x14ac:dyDescent="0.2">
      <c r="BH12988" s="25"/>
      <c r="BI12988" s="25"/>
      <c r="BJ12988" s="25"/>
      <c r="BK12988" s="25"/>
    </row>
    <row r="12989" spans="60:63" ht="14.25" x14ac:dyDescent="0.2">
      <c r="BH12989" s="25"/>
      <c r="BI12989" s="25"/>
      <c r="BJ12989" s="25"/>
      <c r="BK12989" s="25"/>
    </row>
    <row r="12990" spans="60:63" ht="14.25" x14ac:dyDescent="0.2">
      <c r="BH12990" s="25"/>
      <c r="BI12990" s="25"/>
      <c r="BJ12990" s="25"/>
      <c r="BK12990" s="25"/>
    </row>
    <row r="12991" spans="60:63" ht="14.25" x14ac:dyDescent="0.2">
      <c r="BH12991" s="25"/>
      <c r="BI12991" s="25"/>
      <c r="BJ12991" s="25"/>
      <c r="BK12991" s="25"/>
    </row>
    <row r="12992" spans="60:63" ht="14.25" x14ac:dyDescent="0.2">
      <c r="BH12992" s="25"/>
      <c r="BI12992" s="25"/>
      <c r="BJ12992" s="25"/>
      <c r="BK12992" s="25"/>
    </row>
    <row r="12993" spans="60:63" ht="14.25" x14ac:dyDescent="0.2">
      <c r="BH12993" s="25"/>
      <c r="BI12993" s="25"/>
      <c r="BJ12993" s="25"/>
      <c r="BK12993" s="25"/>
    </row>
    <row r="12994" spans="60:63" ht="14.25" x14ac:dyDescent="0.2">
      <c r="BH12994" s="25"/>
      <c r="BI12994" s="25"/>
      <c r="BJ12994" s="25"/>
      <c r="BK12994" s="25"/>
    </row>
    <row r="12995" spans="60:63" ht="14.25" x14ac:dyDescent="0.2">
      <c r="BH12995" s="25"/>
      <c r="BI12995" s="25"/>
      <c r="BJ12995" s="25"/>
      <c r="BK12995" s="25"/>
    </row>
    <row r="12996" spans="60:63" ht="14.25" x14ac:dyDescent="0.2">
      <c r="BH12996" s="25"/>
      <c r="BI12996" s="25"/>
      <c r="BJ12996" s="25"/>
      <c r="BK12996" s="25"/>
    </row>
    <row r="12997" spans="60:63" ht="14.25" x14ac:dyDescent="0.2">
      <c r="BH12997" s="25"/>
      <c r="BI12997" s="25"/>
      <c r="BJ12997" s="25"/>
      <c r="BK12997" s="25"/>
    </row>
    <row r="12998" spans="60:63" ht="14.25" x14ac:dyDescent="0.2">
      <c r="BH12998" s="25"/>
      <c r="BI12998" s="25"/>
      <c r="BJ12998" s="25"/>
      <c r="BK12998" s="25"/>
    </row>
    <row r="12999" spans="60:63" ht="14.25" x14ac:dyDescent="0.2">
      <c r="BH12999" s="25"/>
      <c r="BI12999" s="25"/>
      <c r="BJ12999" s="25"/>
      <c r="BK12999" s="25"/>
    </row>
    <row r="13000" spans="60:63" ht="14.25" x14ac:dyDescent="0.2">
      <c r="BH13000" s="25"/>
      <c r="BI13000" s="25"/>
      <c r="BJ13000" s="25"/>
      <c r="BK13000" s="25"/>
    </row>
    <row r="13001" spans="60:63" ht="14.25" x14ac:dyDescent="0.2">
      <c r="BH13001" s="25"/>
      <c r="BI13001" s="25"/>
      <c r="BJ13001" s="25"/>
      <c r="BK13001" s="25"/>
    </row>
    <row r="13002" spans="60:63" ht="14.25" x14ac:dyDescent="0.2">
      <c r="BH13002" s="25"/>
      <c r="BI13002" s="25"/>
      <c r="BJ13002" s="25"/>
      <c r="BK13002" s="25"/>
    </row>
    <row r="13003" spans="60:63" ht="14.25" x14ac:dyDescent="0.2">
      <c r="BH13003" s="25"/>
      <c r="BI13003" s="25"/>
      <c r="BJ13003" s="25"/>
      <c r="BK13003" s="25"/>
    </row>
    <row r="13004" spans="60:63" ht="14.25" x14ac:dyDescent="0.2">
      <c r="BH13004" s="25"/>
      <c r="BI13004" s="25"/>
      <c r="BJ13004" s="25"/>
      <c r="BK13004" s="25"/>
    </row>
    <row r="13005" spans="60:63" ht="14.25" x14ac:dyDescent="0.2">
      <c r="BH13005" s="25"/>
      <c r="BI13005" s="25"/>
      <c r="BJ13005" s="25"/>
      <c r="BK13005" s="25"/>
    </row>
    <row r="13006" spans="60:63" ht="14.25" x14ac:dyDescent="0.2">
      <c r="BH13006" s="25"/>
      <c r="BI13006" s="25"/>
      <c r="BJ13006" s="25"/>
      <c r="BK13006" s="25"/>
    </row>
    <row r="13007" spans="60:63" ht="14.25" x14ac:dyDescent="0.2">
      <c r="BH13007" s="25"/>
      <c r="BI13007" s="25"/>
      <c r="BJ13007" s="25"/>
      <c r="BK13007" s="25"/>
    </row>
    <row r="13008" spans="60:63" ht="14.25" x14ac:dyDescent="0.2">
      <c r="BH13008" s="25"/>
      <c r="BI13008" s="25"/>
      <c r="BJ13008" s="25"/>
      <c r="BK13008" s="25"/>
    </row>
    <row r="13009" spans="60:63" ht="14.25" x14ac:dyDescent="0.2">
      <c r="BH13009" s="25"/>
      <c r="BI13009" s="25"/>
      <c r="BJ13009" s="25"/>
      <c r="BK13009" s="25"/>
    </row>
    <row r="13010" spans="60:63" ht="14.25" x14ac:dyDescent="0.2">
      <c r="BH13010" s="25"/>
      <c r="BI13010" s="25"/>
      <c r="BJ13010" s="25"/>
      <c r="BK13010" s="25"/>
    </row>
    <row r="13011" spans="60:63" ht="14.25" x14ac:dyDescent="0.2">
      <c r="BH13011" s="25"/>
      <c r="BI13011" s="25"/>
      <c r="BJ13011" s="25"/>
      <c r="BK13011" s="25"/>
    </row>
    <row r="13012" spans="60:63" ht="14.25" x14ac:dyDescent="0.2">
      <c r="BH13012" s="25"/>
      <c r="BI13012" s="25"/>
      <c r="BJ13012" s="25"/>
      <c r="BK13012" s="25"/>
    </row>
    <row r="13013" spans="60:63" ht="14.25" x14ac:dyDescent="0.2">
      <c r="BH13013" s="25"/>
      <c r="BI13013" s="25"/>
      <c r="BJ13013" s="25"/>
      <c r="BK13013" s="25"/>
    </row>
    <row r="13014" spans="60:63" ht="14.25" x14ac:dyDescent="0.2">
      <c r="BH13014" s="25"/>
      <c r="BI13014" s="25"/>
      <c r="BJ13014" s="25"/>
      <c r="BK13014" s="25"/>
    </row>
    <row r="13015" spans="60:63" ht="14.25" x14ac:dyDescent="0.2">
      <c r="BH13015" s="25"/>
      <c r="BI13015" s="25"/>
      <c r="BJ13015" s="25"/>
      <c r="BK13015" s="25"/>
    </row>
    <row r="13016" spans="60:63" ht="14.25" x14ac:dyDescent="0.2">
      <c r="BH13016" s="25"/>
      <c r="BI13016" s="25"/>
      <c r="BJ13016" s="25"/>
      <c r="BK13016" s="25"/>
    </row>
    <row r="13017" spans="60:63" ht="14.25" x14ac:dyDescent="0.2">
      <c r="BH13017" s="25"/>
      <c r="BI13017" s="25"/>
      <c r="BJ13017" s="25"/>
      <c r="BK13017" s="25"/>
    </row>
    <row r="13018" spans="60:63" ht="14.25" x14ac:dyDescent="0.2">
      <c r="BH13018" s="25"/>
      <c r="BI13018" s="25"/>
      <c r="BJ13018" s="25"/>
      <c r="BK13018" s="25"/>
    </row>
    <row r="13019" spans="60:63" ht="14.25" x14ac:dyDescent="0.2">
      <c r="BH13019" s="25"/>
      <c r="BI13019" s="25"/>
      <c r="BJ13019" s="25"/>
      <c r="BK13019" s="25"/>
    </row>
    <row r="13020" spans="60:63" ht="14.25" x14ac:dyDescent="0.2">
      <c r="BH13020" s="25"/>
      <c r="BI13020" s="25"/>
      <c r="BJ13020" s="25"/>
      <c r="BK13020" s="25"/>
    </row>
    <row r="13021" spans="60:63" ht="14.25" x14ac:dyDescent="0.2">
      <c r="BH13021" s="25"/>
      <c r="BI13021" s="25"/>
      <c r="BJ13021" s="25"/>
      <c r="BK13021" s="25"/>
    </row>
    <row r="13022" spans="60:63" ht="14.25" x14ac:dyDescent="0.2">
      <c r="BH13022" s="25"/>
      <c r="BI13022" s="25"/>
      <c r="BJ13022" s="25"/>
      <c r="BK13022" s="25"/>
    </row>
    <row r="13023" spans="60:63" ht="14.25" x14ac:dyDescent="0.2">
      <c r="BH13023" s="25"/>
      <c r="BI13023" s="25"/>
      <c r="BJ13023" s="25"/>
      <c r="BK13023" s="25"/>
    </row>
    <row r="13024" spans="60:63" ht="14.25" x14ac:dyDescent="0.2">
      <c r="BH13024" s="25"/>
      <c r="BI13024" s="25"/>
      <c r="BJ13024" s="25"/>
      <c r="BK13024" s="25"/>
    </row>
    <row r="13025" spans="60:63" ht="14.25" x14ac:dyDescent="0.2">
      <c r="BH13025" s="25"/>
      <c r="BI13025" s="25"/>
      <c r="BJ13025" s="25"/>
      <c r="BK13025" s="25"/>
    </row>
    <row r="13026" spans="60:63" ht="14.25" x14ac:dyDescent="0.2">
      <c r="BH13026" s="25"/>
      <c r="BI13026" s="25"/>
      <c r="BJ13026" s="25"/>
      <c r="BK13026" s="25"/>
    </row>
    <row r="13027" spans="60:63" ht="14.25" x14ac:dyDescent="0.2">
      <c r="BH13027" s="25"/>
      <c r="BI13027" s="25"/>
      <c r="BJ13027" s="25"/>
      <c r="BK13027" s="25"/>
    </row>
    <row r="13028" spans="60:63" ht="14.25" x14ac:dyDescent="0.2">
      <c r="BH13028" s="25"/>
      <c r="BI13028" s="25"/>
      <c r="BJ13028" s="25"/>
      <c r="BK13028" s="25"/>
    </row>
    <row r="13029" spans="60:63" ht="14.25" x14ac:dyDescent="0.2">
      <c r="BH13029" s="25"/>
      <c r="BI13029" s="25"/>
      <c r="BJ13029" s="25"/>
      <c r="BK13029" s="25"/>
    </row>
    <row r="13030" spans="60:63" ht="14.25" x14ac:dyDescent="0.2">
      <c r="BH13030" s="25"/>
      <c r="BI13030" s="25"/>
      <c r="BJ13030" s="25"/>
      <c r="BK13030" s="25"/>
    </row>
    <row r="13031" spans="60:63" ht="14.25" x14ac:dyDescent="0.2">
      <c r="BH13031" s="25"/>
      <c r="BI13031" s="25"/>
      <c r="BJ13031" s="25"/>
      <c r="BK13031" s="25"/>
    </row>
    <row r="13032" spans="60:63" ht="14.25" x14ac:dyDescent="0.2">
      <c r="BH13032" s="25"/>
      <c r="BI13032" s="25"/>
      <c r="BJ13032" s="25"/>
      <c r="BK13032" s="25"/>
    </row>
    <row r="13033" spans="60:63" ht="14.25" x14ac:dyDescent="0.2">
      <c r="BH13033" s="25"/>
      <c r="BI13033" s="25"/>
      <c r="BJ13033" s="25"/>
      <c r="BK13033" s="25"/>
    </row>
    <row r="13034" spans="60:63" ht="14.25" x14ac:dyDescent="0.2">
      <c r="BH13034" s="25"/>
      <c r="BI13034" s="25"/>
      <c r="BJ13034" s="25"/>
      <c r="BK13034" s="25"/>
    </row>
    <row r="13035" spans="60:63" ht="14.25" x14ac:dyDescent="0.2">
      <c r="BH13035" s="25"/>
      <c r="BI13035" s="25"/>
      <c r="BJ13035" s="25"/>
      <c r="BK13035" s="25"/>
    </row>
    <row r="13036" spans="60:63" ht="14.25" x14ac:dyDescent="0.2">
      <c r="BH13036" s="25"/>
      <c r="BI13036" s="25"/>
      <c r="BJ13036" s="25"/>
      <c r="BK13036" s="25"/>
    </row>
    <row r="13037" spans="60:63" ht="14.25" x14ac:dyDescent="0.2">
      <c r="BH13037" s="25"/>
      <c r="BI13037" s="25"/>
      <c r="BJ13037" s="25"/>
      <c r="BK13037" s="25"/>
    </row>
    <row r="13038" spans="60:63" ht="14.25" x14ac:dyDescent="0.2">
      <c r="BH13038" s="25"/>
      <c r="BI13038" s="25"/>
      <c r="BJ13038" s="25"/>
      <c r="BK13038" s="25"/>
    </row>
    <row r="13039" spans="60:63" ht="14.25" x14ac:dyDescent="0.2">
      <c r="BH13039" s="25"/>
      <c r="BI13039" s="25"/>
      <c r="BJ13039" s="25"/>
      <c r="BK13039" s="25"/>
    </row>
    <row r="13040" spans="60:63" ht="14.25" x14ac:dyDescent="0.2">
      <c r="BH13040" s="25"/>
      <c r="BI13040" s="25"/>
      <c r="BJ13040" s="25"/>
      <c r="BK13040" s="25"/>
    </row>
    <row r="13041" spans="60:63" ht="14.25" x14ac:dyDescent="0.2">
      <c r="BH13041" s="25"/>
      <c r="BI13041" s="25"/>
      <c r="BJ13041" s="25"/>
      <c r="BK13041" s="25"/>
    </row>
    <row r="13042" spans="60:63" ht="14.25" x14ac:dyDescent="0.2">
      <c r="BH13042" s="25"/>
      <c r="BI13042" s="25"/>
      <c r="BJ13042" s="25"/>
      <c r="BK13042" s="25"/>
    </row>
    <row r="13043" spans="60:63" ht="14.25" x14ac:dyDescent="0.2">
      <c r="BH13043" s="25"/>
      <c r="BI13043" s="25"/>
      <c r="BJ13043" s="25"/>
      <c r="BK13043" s="25"/>
    </row>
    <row r="13044" spans="60:63" ht="14.25" x14ac:dyDescent="0.2">
      <c r="BH13044" s="25"/>
      <c r="BI13044" s="25"/>
      <c r="BJ13044" s="25"/>
      <c r="BK13044" s="25"/>
    </row>
    <row r="13045" spans="60:63" ht="14.25" x14ac:dyDescent="0.2">
      <c r="BH13045" s="25"/>
      <c r="BI13045" s="25"/>
      <c r="BJ13045" s="25"/>
      <c r="BK13045" s="25"/>
    </row>
    <row r="13046" spans="60:63" ht="14.25" x14ac:dyDescent="0.2">
      <c r="BH13046" s="25"/>
      <c r="BI13046" s="25"/>
      <c r="BJ13046" s="25"/>
      <c r="BK13046" s="25"/>
    </row>
    <row r="13047" spans="60:63" ht="14.25" x14ac:dyDescent="0.2">
      <c r="BH13047" s="25"/>
      <c r="BI13047" s="25"/>
      <c r="BJ13047" s="25"/>
      <c r="BK13047" s="25"/>
    </row>
    <row r="13048" spans="60:63" ht="14.25" x14ac:dyDescent="0.2">
      <c r="BH13048" s="25"/>
      <c r="BI13048" s="25"/>
      <c r="BJ13048" s="25"/>
      <c r="BK13048" s="25"/>
    </row>
    <row r="13049" spans="60:63" ht="14.25" x14ac:dyDescent="0.2">
      <c r="BH13049" s="25"/>
      <c r="BI13049" s="25"/>
      <c r="BJ13049" s="25"/>
      <c r="BK13049" s="25"/>
    </row>
    <row r="13050" spans="60:63" ht="14.25" x14ac:dyDescent="0.2">
      <c r="BH13050" s="25"/>
      <c r="BI13050" s="25"/>
      <c r="BJ13050" s="25"/>
      <c r="BK13050" s="25"/>
    </row>
    <row r="13051" spans="60:63" ht="14.25" x14ac:dyDescent="0.2">
      <c r="BH13051" s="25"/>
      <c r="BI13051" s="25"/>
      <c r="BJ13051" s="25"/>
      <c r="BK13051" s="25"/>
    </row>
    <row r="13052" spans="60:63" ht="14.25" x14ac:dyDescent="0.2">
      <c r="BH13052" s="25"/>
      <c r="BI13052" s="25"/>
      <c r="BJ13052" s="25"/>
      <c r="BK13052" s="25"/>
    </row>
    <row r="13053" spans="60:63" ht="14.25" x14ac:dyDescent="0.2">
      <c r="BH13053" s="25"/>
      <c r="BI13053" s="25"/>
      <c r="BJ13053" s="25"/>
      <c r="BK13053" s="25"/>
    </row>
    <row r="13054" spans="60:63" ht="14.25" x14ac:dyDescent="0.2">
      <c r="BH13054" s="25"/>
      <c r="BI13054" s="25"/>
      <c r="BJ13054" s="25"/>
      <c r="BK13054" s="25"/>
    </row>
    <row r="13055" spans="60:63" ht="14.25" x14ac:dyDescent="0.2">
      <c r="BH13055" s="25"/>
      <c r="BI13055" s="25"/>
      <c r="BJ13055" s="25"/>
      <c r="BK13055" s="25"/>
    </row>
    <row r="13056" spans="60:63" ht="14.25" x14ac:dyDescent="0.2">
      <c r="BH13056" s="25"/>
      <c r="BI13056" s="25"/>
      <c r="BJ13056" s="25"/>
      <c r="BK13056" s="25"/>
    </row>
    <row r="13057" spans="60:63" ht="14.25" x14ac:dyDescent="0.2">
      <c r="BH13057" s="25"/>
      <c r="BI13057" s="25"/>
      <c r="BJ13057" s="25"/>
      <c r="BK13057" s="25"/>
    </row>
    <row r="13058" spans="60:63" ht="14.25" x14ac:dyDescent="0.2">
      <c r="BH13058" s="25"/>
      <c r="BI13058" s="25"/>
      <c r="BJ13058" s="25"/>
      <c r="BK13058" s="25"/>
    </row>
    <row r="13059" spans="60:63" ht="14.25" x14ac:dyDescent="0.2">
      <c r="BH13059" s="25"/>
      <c r="BI13059" s="25"/>
      <c r="BJ13059" s="25"/>
      <c r="BK13059" s="25"/>
    </row>
    <row r="13060" spans="60:63" ht="14.25" x14ac:dyDescent="0.2">
      <c r="BH13060" s="25"/>
      <c r="BI13060" s="25"/>
      <c r="BJ13060" s="25"/>
      <c r="BK13060" s="25"/>
    </row>
    <row r="13061" spans="60:63" ht="14.25" x14ac:dyDescent="0.2">
      <c r="BH13061" s="25"/>
      <c r="BI13061" s="25"/>
      <c r="BJ13061" s="25"/>
      <c r="BK13061" s="25"/>
    </row>
    <row r="13062" spans="60:63" ht="14.25" x14ac:dyDescent="0.2">
      <c r="BH13062" s="25"/>
      <c r="BI13062" s="25"/>
      <c r="BJ13062" s="25"/>
      <c r="BK13062" s="25"/>
    </row>
    <row r="13063" spans="60:63" ht="14.25" x14ac:dyDescent="0.2">
      <c r="BH13063" s="25"/>
      <c r="BI13063" s="25"/>
      <c r="BJ13063" s="25"/>
      <c r="BK13063" s="25"/>
    </row>
    <row r="13064" spans="60:63" ht="14.25" x14ac:dyDescent="0.2">
      <c r="BH13064" s="25"/>
      <c r="BI13064" s="25"/>
      <c r="BJ13064" s="25"/>
      <c r="BK13064" s="25"/>
    </row>
    <row r="13065" spans="60:63" ht="14.25" x14ac:dyDescent="0.2">
      <c r="BH13065" s="25"/>
      <c r="BI13065" s="25"/>
      <c r="BJ13065" s="25"/>
      <c r="BK13065" s="25"/>
    </row>
    <row r="13066" spans="60:63" ht="14.25" x14ac:dyDescent="0.2">
      <c r="BH13066" s="25"/>
      <c r="BI13066" s="25"/>
      <c r="BJ13066" s="25"/>
      <c r="BK13066" s="25"/>
    </row>
    <row r="13067" spans="60:63" ht="14.25" x14ac:dyDescent="0.2">
      <c r="BH13067" s="25"/>
      <c r="BI13067" s="25"/>
      <c r="BJ13067" s="25"/>
      <c r="BK13067" s="25"/>
    </row>
    <row r="13068" spans="60:63" ht="14.25" x14ac:dyDescent="0.2">
      <c r="BH13068" s="25"/>
      <c r="BI13068" s="25"/>
      <c r="BJ13068" s="25"/>
      <c r="BK13068" s="25"/>
    </row>
    <row r="13069" spans="60:63" ht="14.25" x14ac:dyDescent="0.2">
      <c r="BH13069" s="25"/>
      <c r="BI13069" s="25"/>
      <c r="BJ13069" s="25"/>
      <c r="BK13069" s="25"/>
    </row>
    <row r="13070" spans="60:63" ht="14.25" x14ac:dyDescent="0.2">
      <c r="BH13070" s="25"/>
      <c r="BI13070" s="25"/>
      <c r="BJ13070" s="25"/>
      <c r="BK13070" s="25"/>
    </row>
    <row r="13071" spans="60:63" ht="14.25" x14ac:dyDescent="0.2">
      <c r="BH13071" s="25"/>
      <c r="BI13071" s="25"/>
      <c r="BJ13071" s="25"/>
      <c r="BK13071" s="25"/>
    </row>
    <row r="13072" spans="60:63" ht="14.25" x14ac:dyDescent="0.2">
      <c r="BH13072" s="25"/>
      <c r="BI13072" s="25"/>
      <c r="BJ13072" s="25"/>
      <c r="BK13072" s="25"/>
    </row>
    <row r="13073" spans="60:63" ht="14.25" x14ac:dyDescent="0.2">
      <c r="BH13073" s="25"/>
      <c r="BI13073" s="25"/>
      <c r="BJ13073" s="25"/>
      <c r="BK13073" s="25"/>
    </row>
    <row r="13074" spans="60:63" ht="14.25" x14ac:dyDescent="0.2">
      <c r="BH13074" s="25"/>
      <c r="BI13074" s="25"/>
      <c r="BJ13074" s="25"/>
      <c r="BK13074" s="25"/>
    </row>
    <row r="13075" spans="60:63" ht="14.25" x14ac:dyDescent="0.2">
      <c r="BH13075" s="25"/>
      <c r="BI13075" s="25"/>
      <c r="BJ13075" s="25"/>
      <c r="BK13075" s="25"/>
    </row>
    <row r="13076" spans="60:63" ht="14.25" x14ac:dyDescent="0.2">
      <c r="BH13076" s="25"/>
      <c r="BI13076" s="25"/>
      <c r="BJ13076" s="25"/>
      <c r="BK13076" s="25"/>
    </row>
    <row r="13077" spans="60:63" ht="14.25" x14ac:dyDescent="0.2">
      <c r="BH13077" s="25"/>
      <c r="BI13077" s="25"/>
      <c r="BJ13077" s="25"/>
      <c r="BK13077" s="25"/>
    </row>
    <row r="13078" spans="60:63" ht="14.25" x14ac:dyDescent="0.2">
      <c r="BH13078" s="25"/>
      <c r="BI13078" s="25"/>
      <c r="BJ13078" s="25"/>
      <c r="BK13078" s="25"/>
    </row>
    <row r="13079" spans="60:63" ht="14.25" x14ac:dyDescent="0.2">
      <c r="BH13079" s="25"/>
      <c r="BI13079" s="25"/>
      <c r="BJ13079" s="25"/>
      <c r="BK13079" s="25"/>
    </row>
    <row r="13080" spans="60:63" ht="14.25" x14ac:dyDescent="0.2">
      <c r="BH13080" s="25"/>
      <c r="BI13080" s="25"/>
      <c r="BJ13080" s="25"/>
      <c r="BK13080" s="25"/>
    </row>
    <row r="13081" spans="60:63" ht="14.25" x14ac:dyDescent="0.2">
      <c r="BH13081" s="25"/>
      <c r="BI13081" s="25"/>
      <c r="BJ13081" s="25"/>
      <c r="BK13081" s="25"/>
    </row>
    <row r="13082" spans="60:63" ht="14.25" x14ac:dyDescent="0.2">
      <c r="BH13082" s="25"/>
      <c r="BI13082" s="25"/>
      <c r="BJ13082" s="25"/>
      <c r="BK13082" s="25"/>
    </row>
    <row r="13083" spans="60:63" ht="14.25" x14ac:dyDescent="0.2">
      <c r="BH13083" s="25"/>
      <c r="BI13083" s="25"/>
      <c r="BJ13083" s="25"/>
      <c r="BK13083" s="25"/>
    </row>
    <row r="13084" spans="60:63" ht="14.25" x14ac:dyDescent="0.2">
      <c r="BH13084" s="25"/>
      <c r="BI13084" s="25"/>
      <c r="BJ13084" s="25"/>
      <c r="BK13084" s="25"/>
    </row>
    <row r="13085" spans="60:63" ht="14.25" x14ac:dyDescent="0.2">
      <c r="BH13085" s="25"/>
      <c r="BI13085" s="25"/>
      <c r="BJ13085" s="25"/>
      <c r="BK13085" s="25"/>
    </row>
    <row r="13086" spans="60:63" ht="14.25" x14ac:dyDescent="0.2">
      <c r="BH13086" s="25"/>
      <c r="BI13086" s="25"/>
      <c r="BJ13086" s="25"/>
      <c r="BK13086" s="25"/>
    </row>
    <row r="13087" spans="60:63" ht="14.25" x14ac:dyDescent="0.2">
      <c r="BH13087" s="25"/>
      <c r="BI13087" s="25"/>
      <c r="BJ13087" s="25"/>
      <c r="BK13087" s="25"/>
    </row>
    <row r="13088" spans="60:63" ht="14.25" x14ac:dyDescent="0.2">
      <c r="BH13088" s="25"/>
      <c r="BI13088" s="25"/>
      <c r="BJ13088" s="25"/>
      <c r="BK13088" s="25"/>
    </row>
    <row r="13089" spans="60:63" ht="14.25" x14ac:dyDescent="0.2">
      <c r="BH13089" s="25"/>
      <c r="BI13089" s="25"/>
      <c r="BJ13089" s="25"/>
      <c r="BK13089" s="25"/>
    </row>
    <row r="13090" spans="60:63" ht="14.25" x14ac:dyDescent="0.2">
      <c r="BH13090" s="25"/>
      <c r="BI13090" s="25"/>
      <c r="BJ13090" s="25"/>
      <c r="BK13090" s="25"/>
    </row>
    <row r="13091" spans="60:63" ht="14.25" x14ac:dyDescent="0.2">
      <c r="BH13091" s="25"/>
      <c r="BI13091" s="25"/>
      <c r="BJ13091" s="25"/>
      <c r="BK13091" s="25"/>
    </row>
    <row r="13092" spans="60:63" ht="14.25" x14ac:dyDescent="0.2">
      <c r="BH13092" s="25"/>
      <c r="BI13092" s="25"/>
      <c r="BJ13092" s="25"/>
      <c r="BK13092" s="25"/>
    </row>
    <row r="13093" spans="60:63" ht="14.25" x14ac:dyDescent="0.2">
      <c r="BH13093" s="25"/>
      <c r="BI13093" s="25"/>
      <c r="BJ13093" s="25"/>
      <c r="BK13093" s="25"/>
    </row>
    <row r="13094" spans="60:63" ht="14.25" x14ac:dyDescent="0.2">
      <c r="BH13094" s="25"/>
      <c r="BI13094" s="25"/>
      <c r="BJ13094" s="25"/>
      <c r="BK13094" s="25"/>
    </row>
    <row r="13095" spans="60:63" ht="14.25" x14ac:dyDescent="0.2">
      <c r="BH13095" s="25"/>
      <c r="BI13095" s="25"/>
      <c r="BJ13095" s="25"/>
      <c r="BK13095" s="25"/>
    </row>
    <row r="13096" spans="60:63" ht="14.25" x14ac:dyDescent="0.2">
      <c r="BH13096" s="25"/>
      <c r="BI13096" s="25"/>
      <c r="BJ13096" s="25"/>
      <c r="BK13096" s="25"/>
    </row>
    <row r="13097" spans="60:63" ht="14.25" x14ac:dyDescent="0.2">
      <c r="BH13097" s="25"/>
      <c r="BI13097" s="25"/>
      <c r="BJ13097" s="25"/>
      <c r="BK13097" s="25"/>
    </row>
    <row r="13098" spans="60:63" ht="14.25" x14ac:dyDescent="0.2">
      <c r="BH13098" s="25"/>
      <c r="BI13098" s="25"/>
      <c r="BJ13098" s="25"/>
      <c r="BK13098" s="25"/>
    </row>
    <row r="13099" spans="60:63" ht="14.25" x14ac:dyDescent="0.2">
      <c r="BH13099" s="25"/>
      <c r="BI13099" s="25"/>
      <c r="BJ13099" s="25"/>
      <c r="BK13099" s="25"/>
    </row>
    <row r="13100" spans="60:63" ht="14.25" x14ac:dyDescent="0.2">
      <c r="BH13100" s="25"/>
      <c r="BI13100" s="25"/>
      <c r="BJ13100" s="25"/>
      <c r="BK13100" s="25"/>
    </row>
    <row r="13101" spans="60:63" ht="14.25" x14ac:dyDescent="0.2">
      <c r="BH13101" s="25"/>
      <c r="BI13101" s="25"/>
      <c r="BJ13101" s="25"/>
      <c r="BK13101" s="25"/>
    </row>
    <row r="13102" spans="60:63" ht="14.25" x14ac:dyDescent="0.2">
      <c r="BH13102" s="25"/>
      <c r="BI13102" s="25"/>
      <c r="BJ13102" s="25"/>
      <c r="BK13102" s="25"/>
    </row>
    <row r="13103" spans="60:63" ht="14.25" x14ac:dyDescent="0.2">
      <c r="BH13103" s="25"/>
      <c r="BI13103" s="25"/>
      <c r="BJ13103" s="25"/>
      <c r="BK13103" s="25"/>
    </row>
    <row r="13104" spans="60:63" ht="14.25" x14ac:dyDescent="0.2">
      <c r="BH13104" s="25"/>
      <c r="BI13104" s="25"/>
      <c r="BJ13104" s="25"/>
      <c r="BK13104" s="25"/>
    </row>
    <row r="13105" spans="60:63" ht="14.25" x14ac:dyDescent="0.2">
      <c r="BH13105" s="25"/>
      <c r="BI13105" s="25"/>
      <c r="BJ13105" s="25"/>
      <c r="BK13105" s="25"/>
    </row>
    <row r="13106" spans="60:63" ht="14.25" x14ac:dyDescent="0.2">
      <c r="BH13106" s="25"/>
      <c r="BI13106" s="25"/>
      <c r="BJ13106" s="25"/>
      <c r="BK13106" s="25"/>
    </row>
    <row r="13107" spans="60:63" ht="14.25" x14ac:dyDescent="0.2">
      <c r="BH13107" s="25"/>
      <c r="BI13107" s="25"/>
      <c r="BJ13107" s="25"/>
      <c r="BK13107" s="25"/>
    </row>
    <row r="13108" spans="60:63" ht="14.25" x14ac:dyDescent="0.2">
      <c r="BH13108" s="25"/>
      <c r="BI13108" s="25"/>
      <c r="BJ13108" s="25"/>
      <c r="BK13108" s="25"/>
    </row>
    <row r="13109" spans="60:63" ht="14.25" x14ac:dyDescent="0.2">
      <c r="BH13109" s="25"/>
      <c r="BI13109" s="25"/>
      <c r="BJ13109" s="25"/>
      <c r="BK13109" s="25"/>
    </row>
    <row r="13110" spans="60:63" ht="14.25" x14ac:dyDescent="0.2">
      <c r="BH13110" s="25"/>
      <c r="BI13110" s="25"/>
      <c r="BJ13110" s="25"/>
      <c r="BK13110" s="25"/>
    </row>
    <row r="13111" spans="60:63" ht="14.25" x14ac:dyDescent="0.2">
      <c r="BH13111" s="25"/>
      <c r="BI13111" s="25"/>
      <c r="BJ13111" s="25"/>
      <c r="BK13111" s="25"/>
    </row>
    <row r="13112" spans="60:63" ht="14.25" x14ac:dyDescent="0.2">
      <c r="BH13112" s="25"/>
      <c r="BI13112" s="25"/>
      <c r="BJ13112" s="25"/>
      <c r="BK13112" s="25"/>
    </row>
    <row r="13113" spans="60:63" ht="14.25" x14ac:dyDescent="0.2">
      <c r="BH13113" s="25"/>
      <c r="BI13113" s="25"/>
      <c r="BJ13113" s="25"/>
      <c r="BK13113" s="25"/>
    </row>
    <row r="13114" spans="60:63" ht="14.25" x14ac:dyDescent="0.2">
      <c r="BH13114" s="25"/>
      <c r="BI13114" s="25"/>
      <c r="BJ13114" s="25"/>
      <c r="BK13114" s="25"/>
    </row>
    <row r="13115" spans="60:63" ht="14.25" x14ac:dyDescent="0.2">
      <c r="BH13115" s="25"/>
      <c r="BI13115" s="25"/>
      <c r="BJ13115" s="25"/>
      <c r="BK13115" s="25"/>
    </row>
    <row r="13116" spans="60:63" ht="14.25" x14ac:dyDescent="0.2">
      <c r="BH13116" s="25"/>
      <c r="BI13116" s="25"/>
      <c r="BJ13116" s="25"/>
      <c r="BK13116" s="25"/>
    </row>
    <row r="13117" spans="60:63" ht="14.25" x14ac:dyDescent="0.2">
      <c r="BH13117" s="25"/>
      <c r="BI13117" s="25"/>
      <c r="BJ13117" s="25"/>
      <c r="BK13117" s="25"/>
    </row>
    <row r="13118" spans="60:63" ht="14.25" x14ac:dyDescent="0.2">
      <c r="BH13118" s="25"/>
      <c r="BI13118" s="25"/>
      <c r="BJ13118" s="25"/>
      <c r="BK13118" s="25"/>
    </row>
    <row r="13119" spans="60:63" ht="14.25" x14ac:dyDescent="0.2">
      <c r="BH13119" s="25"/>
      <c r="BI13119" s="25"/>
      <c r="BJ13119" s="25"/>
      <c r="BK13119" s="25"/>
    </row>
    <row r="13120" spans="60:63" ht="14.25" x14ac:dyDescent="0.2">
      <c r="BH13120" s="25"/>
      <c r="BI13120" s="25"/>
      <c r="BJ13120" s="25"/>
      <c r="BK13120" s="25"/>
    </row>
    <row r="13121" spans="60:63" ht="14.25" x14ac:dyDescent="0.2">
      <c r="BH13121" s="25"/>
      <c r="BI13121" s="25"/>
      <c r="BJ13121" s="25"/>
      <c r="BK13121" s="25"/>
    </row>
    <row r="13122" spans="60:63" ht="14.25" x14ac:dyDescent="0.2">
      <c r="BH13122" s="25"/>
      <c r="BI13122" s="25"/>
      <c r="BJ13122" s="25"/>
      <c r="BK13122" s="25"/>
    </row>
    <row r="13123" spans="60:63" ht="14.25" x14ac:dyDescent="0.2">
      <c r="BH13123" s="25"/>
      <c r="BI13123" s="25"/>
      <c r="BJ13123" s="25"/>
      <c r="BK13123" s="25"/>
    </row>
    <row r="13124" spans="60:63" ht="14.25" x14ac:dyDescent="0.2">
      <c r="BH13124" s="25"/>
      <c r="BI13124" s="25"/>
      <c r="BJ13124" s="25"/>
      <c r="BK13124" s="25"/>
    </row>
    <row r="13125" spans="60:63" ht="14.25" x14ac:dyDescent="0.2">
      <c r="BH13125" s="25"/>
      <c r="BI13125" s="25"/>
      <c r="BJ13125" s="25"/>
      <c r="BK13125" s="25"/>
    </row>
    <row r="13126" spans="60:63" ht="14.25" x14ac:dyDescent="0.2">
      <c r="BH13126" s="25"/>
      <c r="BI13126" s="25"/>
      <c r="BJ13126" s="25"/>
      <c r="BK13126" s="25"/>
    </row>
    <row r="13127" spans="60:63" ht="14.25" x14ac:dyDescent="0.2">
      <c r="BH13127" s="25"/>
      <c r="BI13127" s="25"/>
      <c r="BJ13127" s="25"/>
      <c r="BK13127" s="25"/>
    </row>
    <row r="13128" spans="60:63" ht="14.25" x14ac:dyDescent="0.2">
      <c r="BH13128" s="25"/>
      <c r="BI13128" s="25"/>
      <c r="BJ13128" s="25"/>
      <c r="BK13128" s="25"/>
    </row>
    <row r="13129" spans="60:63" ht="14.25" x14ac:dyDescent="0.2">
      <c r="BH13129" s="25"/>
      <c r="BI13129" s="25"/>
      <c r="BJ13129" s="25"/>
      <c r="BK13129" s="25"/>
    </row>
    <row r="13130" spans="60:63" ht="14.25" x14ac:dyDescent="0.2">
      <c r="BH13130" s="25"/>
      <c r="BI13130" s="25"/>
      <c r="BJ13130" s="25"/>
      <c r="BK13130" s="25"/>
    </row>
    <row r="13131" spans="60:63" ht="14.25" x14ac:dyDescent="0.2">
      <c r="BH13131" s="25"/>
      <c r="BI13131" s="25"/>
      <c r="BJ13131" s="25"/>
      <c r="BK13131" s="25"/>
    </row>
    <row r="13132" spans="60:63" ht="14.25" x14ac:dyDescent="0.2">
      <c r="BH13132" s="25"/>
      <c r="BI13132" s="25"/>
      <c r="BJ13132" s="25"/>
      <c r="BK13132" s="25"/>
    </row>
    <row r="13133" spans="60:63" ht="14.25" x14ac:dyDescent="0.2">
      <c r="BH13133" s="25"/>
      <c r="BI13133" s="25"/>
      <c r="BJ13133" s="25"/>
      <c r="BK13133" s="25"/>
    </row>
    <row r="13134" spans="60:63" ht="14.25" x14ac:dyDescent="0.2">
      <c r="BH13134" s="25"/>
      <c r="BI13134" s="25"/>
      <c r="BJ13134" s="25"/>
      <c r="BK13134" s="25"/>
    </row>
    <row r="13135" spans="60:63" ht="14.25" x14ac:dyDescent="0.2">
      <c r="BH13135" s="25"/>
      <c r="BI13135" s="25"/>
      <c r="BJ13135" s="25"/>
      <c r="BK13135" s="25"/>
    </row>
    <row r="13136" spans="60:63" ht="14.25" x14ac:dyDescent="0.2">
      <c r="BH13136" s="25"/>
      <c r="BI13136" s="25"/>
      <c r="BJ13136" s="25"/>
      <c r="BK13136" s="25"/>
    </row>
    <row r="13137" spans="60:63" ht="14.25" x14ac:dyDescent="0.2">
      <c r="BH13137" s="25"/>
      <c r="BI13137" s="25"/>
      <c r="BJ13137" s="25"/>
      <c r="BK13137" s="25"/>
    </row>
    <row r="13138" spans="60:63" ht="14.25" x14ac:dyDescent="0.2">
      <c r="BH13138" s="25"/>
      <c r="BI13138" s="25"/>
      <c r="BJ13138" s="25"/>
      <c r="BK13138" s="25"/>
    </row>
    <row r="13139" spans="60:63" ht="14.25" x14ac:dyDescent="0.2">
      <c r="BH13139" s="25"/>
      <c r="BI13139" s="25"/>
      <c r="BJ13139" s="25"/>
      <c r="BK13139" s="25"/>
    </row>
    <row r="13140" spans="60:63" ht="14.25" x14ac:dyDescent="0.2">
      <c r="BH13140" s="25"/>
      <c r="BI13140" s="25"/>
      <c r="BJ13140" s="25"/>
      <c r="BK13140" s="25"/>
    </row>
    <row r="13141" spans="60:63" ht="14.25" x14ac:dyDescent="0.2">
      <c r="BH13141" s="25"/>
      <c r="BI13141" s="25"/>
      <c r="BJ13141" s="25"/>
      <c r="BK13141" s="25"/>
    </row>
    <row r="13142" spans="60:63" ht="14.25" x14ac:dyDescent="0.2">
      <c r="BH13142" s="25"/>
      <c r="BI13142" s="25"/>
      <c r="BJ13142" s="25"/>
      <c r="BK13142" s="25"/>
    </row>
    <row r="13143" spans="60:63" ht="14.25" x14ac:dyDescent="0.2">
      <c r="BH13143" s="25"/>
      <c r="BI13143" s="25"/>
      <c r="BJ13143" s="25"/>
      <c r="BK13143" s="25"/>
    </row>
    <row r="13144" spans="60:63" ht="14.25" x14ac:dyDescent="0.2">
      <c r="BH13144" s="25"/>
      <c r="BI13144" s="25"/>
      <c r="BJ13144" s="25"/>
      <c r="BK13144" s="25"/>
    </row>
    <row r="13145" spans="60:63" ht="14.25" x14ac:dyDescent="0.2">
      <c r="BH13145" s="25"/>
      <c r="BI13145" s="25"/>
      <c r="BJ13145" s="25"/>
      <c r="BK13145" s="25"/>
    </row>
    <row r="13146" spans="60:63" ht="14.25" x14ac:dyDescent="0.2">
      <c r="BH13146" s="25"/>
      <c r="BI13146" s="25"/>
      <c r="BJ13146" s="25"/>
      <c r="BK13146" s="25"/>
    </row>
    <row r="13147" spans="60:63" ht="14.25" x14ac:dyDescent="0.2">
      <c r="BH13147" s="25"/>
      <c r="BI13147" s="25"/>
      <c r="BJ13147" s="25"/>
      <c r="BK13147" s="25"/>
    </row>
    <row r="13148" spans="60:63" ht="14.25" x14ac:dyDescent="0.2">
      <c r="BH13148" s="25"/>
      <c r="BI13148" s="25"/>
      <c r="BJ13148" s="25"/>
      <c r="BK13148" s="25"/>
    </row>
    <row r="13149" spans="60:63" ht="14.25" x14ac:dyDescent="0.2">
      <c r="BH13149" s="25"/>
      <c r="BI13149" s="25"/>
      <c r="BJ13149" s="25"/>
      <c r="BK13149" s="25"/>
    </row>
    <row r="13150" spans="60:63" ht="14.25" x14ac:dyDescent="0.2">
      <c r="BH13150" s="25"/>
      <c r="BI13150" s="25"/>
      <c r="BJ13150" s="25"/>
      <c r="BK13150" s="25"/>
    </row>
    <row r="13151" spans="60:63" ht="14.25" x14ac:dyDescent="0.2">
      <c r="BH13151" s="25"/>
      <c r="BI13151" s="25"/>
      <c r="BJ13151" s="25"/>
      <c r="BK13151" s="25"/>
    </row>
    <row r="13152" spans="60:63" ht="14.25" x14ac:dyDescent="0.2">
      <c r="BH13152" s="25"/>
      <c r="BI13152" s="25"/>
      <c r="BJ13152" s="25"/>
      <c r="BK13152" s="25"/>
    </row>
    <row r="13153" spans="60:63" ht="14.25" x14ac:dyDescent="0.2">
      <c r="BH13153" s="25"/>
      <c r="BI13153" s="25"/>
      <c r="BJ13153" s="25"/>
      <c r="BK13153" s="25"/>
    </row>
    <row r="13154" spans="60:63" ht="14.25" x14ac:dyDescent="0.2">
      <c r="BH13154" s="25"/>
      <c r="BI13154" s="25"/>
      <c r="BJ13154" s="25"/>
      <c r="BK13154" s="25"/>
    </row>
    <row r="13155" spans="60:63" ht="14.25" x14ac:dyDescent="0.2">
      <c r="BH13155" s="25"/>
      <c r="BI13155" s="25"/>
      <c r="BJ13155" s="25"/>
      <c r="BK13155" s="25"/>
    </row>
    <row r="13156" spans="60:63" ht="14.25" x14ac:dyDescent="0.2">
      <c r="BH13156" s="25"/>
      <c r="BI13156" s="25"/>
      <c r="BJ13156" s="25"/>
      <c r="BK13156" s="25"/>
    </row>
    <row r="13157" spans="60:63" ht="14.25" x14ac:dyDescent="0.2">
      <c r="BH13157" s="25"/>
      <c r="BI13157" s="25"/>
      <c r="BJ13157" s="25"/>
      <c r="BK13157" s="25"/>
    </row>
    <row r="13158" spans="60:63" ht="14.25" x14ac:dyDescent="0.2">
      <c r="BH13158" s="25"/>
      <c r="BI13158" s="25"/>
      <c r="BJ13158" s="25"/>
      <c r="BK13158" s="25"/>
    </row>
    <row r="13159" spans="60:63" ht="14.25" x14ac:dyDescent="0.2">
      <c r="BH13159" s="25"/>
      <c r="BI13159" s="25"/>
      <c r="BJ13159" s="25"/>
      <c r="BK13159" s="25"/>
    </row>
    <row r="13160" spans="60:63" ht="14.25" x14ac:dyDescent="0.2">
      <c r="BH13160" s="25"/>
      <c r="BI13160" s="25"/>
      <c r="BJ13160" s="25"/>
      <c r="BK13160" s="25"/>
    </row>
    <row r="13161" spans="60:63" ht="14.25" x14ac:dyDescent="0.2">
      <c r="BH13161" s="25"/>
      <c r="BI13161" s="25"/>
      <c r="BJ13161" s="25"/>
      <c r="BK13161" s="25"/>
    </row>
    <row r="13162" spans="60:63" ht="14.25" x14ac:dyDescent="0.2">
      <c r="BH13162" s="25"/>
      <c r="BI13162" s="25"/>
      <c r="BJ13162" s="25"/>
      <c r="BK13162" s="25"/>
    </row>
    <row r="13163" spans="60:63" ht="14.25" x14ac:dyDescent="0.2">
      <c r="BH13163" s="25"/>
      <c r="BI13163" s="25"/>
      <c r="BJ13163" s="25"/>
      <c r="BK13163" s="25"/>
    </row>
    <row r="13164" spans="60:63" ht="14.25" x14ac:dyDescent="0.2">
      <c r="BH13164" s="25"/>
      <c r="BI13164" s="25"/>
      <c r="BJ13164" s="25"/>
      <c r="BK13164" s="25"/>
    </row>
    <row r="13165" spans="60:63" ht="14.25" x14ac:dyDescent="0.2">
      <c r="BH13165" s="25"/>
      <c r="BI13165" s="25"/>
      <c r="BJ13165" s="25"/>
      <c r="BK13165" s="25"/>
    </row>
    <row r="13166" spans="60:63" ht="14.25" x14ac:dyDescent="0.2">
      <c r="BH13166" s="25"/>
      <c r="BI13166" s="25"/>
      <c r="BJ13166" s="25"/>
      <c r="BK13166" s="25"/>
    </row>
    <row r="13167" spans="60:63" ht="14.25" x14ac:dyDescent="0.2">
      <c r="BH13167" s="25"/>
      <c r="BI13167" s="25"/>
      <c r="BJ13167" s="25"/>
      <c r="BK13167" s="25"/>
    </row>
    <row r="13168" spans="60:63" ht="14.25" x14ac:dyDescent="0.2">
      <c r="BH13168" s="25"/>
      <c r="BI13168" s="25"/>
      <c r="BJ13168" s="25"/>
      <c r="BK13168" s="25"/>
    </row>
    <row r="13169" spans="60:63" ht="14.25" x14ac:dyDescent="0.2">
      <c r="BH13169" s="25"/>
      <c r="BI13169" s="25"/>
      <c r="BJ13169" s="25"/>
      <c r="BK13169" s="25"/>
    </row>
    <row r="13170" spans="60:63" ht="14.25" x14ac:dyDescent="0.2">
      <c r="BH13170" s="25"/>
      <c r="BI13170" s="25"/>
      <c r="BJ13170" s="25"/>
      <c r="BK13170" s="25"/>
    </row>
    <row r="13171" spans="60:63" ht="14.25" x14ac:dyDescent="0.2">
      <c r="BH13171" s="25"/>
      <c r="BI13171" s="25"/>
      <c r="BJ13171" s="25"/>
      <c r="BK13171" s="25"/>
    </row>
    <row r="13172" spans="60:63" ht="14.25" x14ac:dyDescent="0.2">
      <c r="BH13172" s="25"/>
      <c r="BI13172" s="25"/>
      <c r="BJ13172" s="25"/>
      <c r="BK13172" s="25"/>
    </row>
    <row r="13173" spans="60:63" ht="14.25" x14ac:dyDescent="0.2">
      <c r="BH13173" s="25"/>
      <c r="BI13173" s="25"/>
      <c r="BJ13173" s="25"/>
      <c r="BK13173" s="25"/>
    </row>
    <row r="13174" spans="60:63" ht="14.25" x14ac:dyDescent="0.2">
      <c r="BH13174" s="25"/>
      <c r="BI13174" s="25"/>
      <c r="BJ13174" s="25"/>
      <c r="BK13174" s="25"/>
    </row>
    <row r="13175" spans="60:63" ht="14.25" x14ac:dyDescent="0.2">
      <c r="BH13175" s="25"/>
      <c r="BI13175" s="25"/>
      <c r="BJ13175" s="25"/>
      <c r="BK13175" s="25"/>
    </row>
    <row r="13176" spans="60:63" ht="14.25" x14ac:dyDescent="0.2">
      <c r="BH13176" s="25"/>
      <c r="BI13176" s="25"/>
      <c r="BJ13176" s="25"/>
      <c r="BK13176" s="25"/>
    </row>
    <row r="13177" spans="60:63" ht="14.25" x14ac:dyDescent="0.2">
      <c r="BH13177" s="25"/>
      <c r="BI13177" s="25"/>
      <c r="BJ13177" s="25"/>
      <c r="BK13177" s="25"/>
    </row>
    <row r="13178" spans="60:63" ht="14.25" x14ac:dyDescent="0.2">
      <c r="BH13178" s="25"/>
      <c r="BI13178" s="25"/>
      <c r="BJ13178" s="25"/>
      <c r="BK13178" s="25"/>
    </row>
    <row r="13179" spans="60:63" ht="14.25" x14ac:dyDescent="0.2">
      <c r="BH13179" s="25"/>
      <c r="BI13179" s="25"/>
      <c r="BJ13179" s="25"/>
      <c r="BK13179" s="25"/>
    </row>
    <row r="13180" spans="60:63" ht="14.25" x14ac:dyDescent="0.2">
      <c r="BH13180" s="25"/>
      <c r="BI13180" s="25"/>
      <c r="BJ13180" s="25"/>
      <c r="BK13180" s="25"/>
    </row>
    <row r="13181" spans="60:63" ht="14.25" x14ac:dyDescent="0.2">
      <c r="BH13181" s="25"/>
      <c r="BI13181" s="25"/>
      <c r="BJ13181" s="25"/>
      <c r="BK13181" s="25"/>
    </row>
    <row r="13182" spans="60:63" ht="14.25" x14ac:dyDescent="0.2">
      <c r="BH13182" s="25"/>
      <c r="BI13182" s="25"/>
      <c r="BJ13182" s="25"/>
      <c r="BK13182" s="25"/>
    </row>
    <row r="13183" spans="60:63" ht="14.25" x14ac:dyDescent="0.2">
      <c r="BH13183" s="25"/>
      <c r="BI13183" s="25"/>
      <c r="BJ13183" s="25"/>
      <c r="BK13183" s="25"/>
    </row>
    <row r="13184" spans="60:63" ht="14.25" x14ac:dyDescent="0.2">
      <c r="BH13184" s="25"/>
      <c r="BI13184" s="25"/>
      <c r="BJ13184" s="25"/>
      <c r="BK13184" s="25"/>
    </row>
    <row r="13185" spans="60:63" ht="14.25" x14ac:dyDescent="0.2">
      <c r="BH13185" s="25"/>
      <c r="BI13185" s="25"/>
      <c r="BJ13185" s="25"/>
      <c r="BK13185" s="25"/>
    </row>
    <row r="13186" spans="60:63" ht="14.25" x14ac:dyDescent="0.2">
      <c r="BH13186" s="25"/>
      <c r="BI13186" s="25"/>
      <c r="BJ13186" s="25"/>
      <c r="BK13186" s="25"/>
    </row>
    <row r="13187" spans="60:63" ht="14.25" x14ac:dyDescent="0.2">
      <c r="BH13187" s="25"/>
      <c r="BI13187" s="25"/>
      <c r="BJ13187" s="25"/>
      <c r="BK13187" s="25"/>
    </row>
    <row r="13188" spans="60:63" ht="14.25" x14ac:dyDescent="0.2">
      <c r="BH13188" s="25"/>
      <c r="BI13188" s="25"/>
      <c r="BJ13188" s="25"/>
      <c r="BK13188" s="25"/>
    </row>
    <row r="13189" spans="60:63" ht="14.25" x14ac:dyDescent="0.2">
      <c r="BH13189" s="25"/>
      <c r="BI13189" s="25"/>
      <c r="BJ13189" s="25"/>
      <c r="BK13189" s="25"/>
    </row>
    <row r="13190" spans="60:63" ht="14.25" x14ac:dyDescent="0.2">
      <c r="BH13190" s="25"/>
      <c r="BI13190" s="25"/>
      <c r="BJ13190" s="25"/>
      <c r="BK13190" s="25"/>
    </row>
    <row r="13191" spans="60:63" ht="14.25" x14ac:dyDescent="0.2">
      <c r="BH13191" s="25"/>
      <c r="BI13191" s="25"/>
      <c r="BJ13191" s="25"/>
      <c r="BK13191" s="25"/>
    </row>
    <row r="13192" spans="60:63" ht="14.25" x14ac:dyDescent="0.2">
      <c r="BH13192" s="25"/>
      <c r="BI13192" s="25"/>
      <c r="BJ13192" s="25"/>
      <c r="BK13192" s="25"/>
    </row>
    <row r="13193" spans="60:63" ht="14.25" x14ac:dyDescent="0.2">
      <c r="BH13193" s="25"/>
      <c r="BI13193" s="25"/>
      <c r="BJ13193" s="25"/>
      <c r="BK13193" s="25"/>
    </row>
    <row r="13194" spans="60:63" ht="14.25" x14ac:dyDescent="0.2">
      <c r="BH13194" s="25"/>
      <c r="BI13194" s="25"/>
      <c r="BJ13194" s="25"/>
      <c r="BK13194" s="25"/>
    </row>
    <row r="13195" spans="60:63" ht="14.25" x14ac:dyDescent="0.2">
      <c r="BH13195" s="25"/>
      <c r="BI13195" s="25"/>
      <c r="BJ13195" s="25"/>
      <c r="BK13195" s="25"/>
    </row>
    <row r="13196" spans="60:63" ht="14.25" x14ac:dyDescent="0.2">
      <c r="BH13196" s="25"/>
      <c r="BI13196" s="25"/>
      <c r="BJ13196" s="25"/>
      <c r="BK13196" s="25"/>
    </row>
    <row r="13197" spans="60:63" ht="14.25" x14ac:dyDescent="0.2">
      <c r="BH13197" s="25"/>
      <c r="BI13197" s="25"/>
      <c r="BJ13197" s="25"/>
      <c r="BK13197" s="25"/>
    </row>
    <row r="13198" spans="60:63" ht="14.25" x14ac:dyDescent="0.2">
      <c r="BH13198" s="25"/>
      <c r="BI13198" s="25"/>
      <c r="BJ13198" s="25"/>
      <c r="BK13198" s="25"/>
    </row>
    <row r="13199" spans="60:63" ht="14.25" x14ac:dyDescent="0.2">
      <c r="BH13199" s="25"/>
      <c r="BI13199" s="25"/>
      <c r="BJ13199" s="25"/>
      <c r="BK13199" s="25"/>
    </row>
    <row r="13200" spans="60:63" ht="14.25" x14ac:dyDescent="0.2">
      <c r="BH13200" s="25"/>
      <c r="BI13200" s="25"/>
      <c r="BJ13200" s="25"/>
      <c r="BK13200" s="25"/>
    </row>
    <row r="13201" spans="60:63" ht="14.25" x14ac:dyDescent="0.2">
      <c r="BH13201" s="25"/>
      <c r="BI13201" s="25"/>
      <c r="BJ13201" s="25"/>
      <c r="BK13201" s="25"/>
    </row>
    <row r="13202" spans="60:63" ht="14.25" x14ac:dyDescent="0.2">
      <c r="BH13202" s="25"/>
      <c r="BI13202" s="25"/>
      <c r="BJ13202" s="25"/>
      <c r="BK13202" s="25"/>
    </row>
    <row r="13203" spans="60:63" ht="14.25" x14ac:dyDescent="0.2">
      <c r="BH13203" s="25"/>
      <c r="BI13203" s="25"/>
      <c r="BJ13203" s="25"/>
      <c r="BK13203" s="25"/>
    </row>
    <row r="13204" spans="60:63" ht="14.25" x14ac:dyDescent="0.2">
      <c r="BH13204" s="25"/>
      <c r="BI13204" s="25"/>
      <c r="BJ13204" s="25"/>
      <c r="BK13204" s="25"/>
    </row>
    <row r="13205" spans="60:63" ht="14.25" x14ac:dyDescent="0.2">
      <c r="BH13205" s="25"/>
      <c r="BI13205" s="25"/>
      <c r="BJ13205" s="25"/>
      <c r="BK13205" s="25"/>
    </row>
    <row r="13206" spans="60:63" ht="14.25" x14ac:dyDescent="0.2">
      <c r="BH13206" s="25"/>
      <c r="BI13206" s="25"/>
      <c r="BJ13206" s="25"/>
      <c r="BK13206" s="25"/>
    </row>
    <row r="13207" spans="60:63" ht="14.25" x14ac:dyDescent="0.2">
      <c r="BH13207" s="25"/>
      <c r="BI13207" s="25"/>
      <c r="BJ13207" s="25"/>
      <c r="BK13207" s="25"/>
    </row>
    <row r="13208" spans="60:63" ht="14.25" x14ac:dyDescent="0.2">
      <c r="BH13208" s="25"/>
      <c r="BI13208" s="25"/>
      <c r="BJ13208" s="25"/>
      <c r="BK13208" s="25"/>
    </row>
    <row r="13209" spans="60:63" ht="14.25" x14ac:dyDescent="0.2">
      <c r="BH13209" s="25"/>
      <c r="BI13209" s="25"/>
      <c r="BJ13209" s="25"/>
      <c r="BK13209" s="25"/>
    </row>
    <row r="13210" spans="60:63" ht="14.25" x14ac:dyDescent="0.2">
      <c r="BH13210" s="25"/>
      <c r="BI13210" s="25"/>
      <c r="BJ13210" s="25"/>
      <c r="BK13210" s="25"/>
    </row>
    <row r="13211" spans="60:63" ht="14.25" x14ac:dyDescent="0.2">
      <c r="BH13211" s="25"/>
      <c r="BI13211" s="25"/>
      <c r="BJ13211" s="25"/>
      <c r="BK13211" s="25"/>
    </row>
    <row r="13212" spans="60:63" ht="14.25" x14ac:dyDescent="0.2">
      <c r="BH13212" s="25"/>
      <c r="BI13212" s="25"/>
      <c r="BJ13212" s="25"/>
      <c r="BK13212" s="25"/>
    </row>
    <row r="13213" spans="60:63" ht="14.25" x14ac:dyDescent="0.2">
      <c r="BH13213" s="25"/>
      <c r="BI13213" s="25"/>
      <c r="BJ13213" s="25"/>
      <c r="BK13213" s="25"/>
    </row>
    <row r="13214" spans="60:63" ht="14.25" x14ac:dyDescent="0.2">
      <c r="BH13214" s="25"/>
      <c r="BI13214" s="25"/>
      <c r="BJ13214" s="25"/>
      <c r="BK13214" s="25"/>
    </row>
    <row r="13215" spans="60:63" ht="14.25" x14ac:dyDescent="0.2">
      <c r="BH13215" s="25"/>
      <c r="BI13215" s="25"/>
      <c r="BJ13215" s="25"/>
      <c r="BK13215" s="25"/>
    </row>
    <row r="13216" spans="60:63" ht="14.25" x14ac:dyDescent="0.2">
      <c r="BH13216" s="25"/>
      <c r="BI13216" s="25"/>
      <c r="BJ13216" s="25"/>
      <c r="BK13216" s="25"/>
    </row>
    <row r="13217" spans="60:63" ht="14.25" x14ac:dyDescent="0.2">
      <c r="BH13217" s="25"/>
      <c r="BI13217" s="25"/>
      <c r="BJ13217" s="25"/>
      <c r="BK13217" s="25"/>
    </row>
    <row r="13218" spans="60:63" ht="14.25" x14ac:dyDescent="0.2">
      <c r="BH13218" s="25"/>
      <c r="BI13218" s="25"/>
      <c r="BJ13218" s="25"/>
      <c r="BK13218" s="25"/>
    </row>
    <row r="13219" spans="60:63" ht="14.25" x14ac:dyDescent="0.2">
      <c r="BH13219" s="25"/>
      <c r="BI13219" s="25"/>
      <c r="BJ13219" s="25"/>
      <c r="BK13219" s="25"/>
    </row>
    <row r="13220" spans="60:63" ht="14.25" x14ac:dyDescent="0.2">
      <c r="BH13220" s="25"/>
      <c r="BI13220" s="25"/>
      <c r="BJ13220" s="25"/>
      <c r="BK13220" s="25"/>
    </row>
    <row r="13221" spans="60:63" ht="14.25" x14ac:dyDescent="0.2">
      <c r="BH13221" s="25"/>
      <c r="BI13221" s="25"/>
      <c r="BJ13221" s="25"/>
      <c r="BK13221" s="25"/>
    </row>
    <row r="13222" spans="60:63" ht="14.25" x14ac:dyDescent="0.2">
      <c r="BH13222" s="25"/>
      <c r="BI13222" s="25"/>
      <c r="BJ13222" s="25"/>
      <c r="BK13222" s="25"/>
    </row>
    <row r="13223" spans="60:63" ht="14.25" x14ac:dyDescent="0.2">
      <c r="BH13223" s="25"/>
      <c r="BI13223" s="25"/>
      <c r="BJ13223" s="25"/>
      <c r="BK13223" s="25"/>
    </row>
    <row r="13224" spans="60:63" ht="14.25" x14ac:dyDescent="0.2">
      <c r="BH13224" s="25"/>
      <c r="BI13224" s="25"/>
      <c r="BJ13224" s="25"/>
      <c r="BK13224" s="25"/>
    </row>
    <row r="13225" spans="60:63" ht="14.25" x14ac:dyDescent="0.2">
      <c r="BH13225" s="25"/>
      <c r="BI13225" s="25"/>
      <c r="BJ13225" s="25"/>
      <c r="BK13225" s="25"/>
    </row>
    <row r="13226" spans="60:63" ht="14.25" x14ac:dyDescent="0.2">
      <c r="BH13226" s="25"/>
      <c r="BI13226" s="25"/>
      <c r="BJ13226" s="25"/>
      <c r="BK13226" s="25"/>
    </row>
    <row r="13227" spans="60:63" ht="14.25" x14ac:dyDescent="0.2">
      <c r="BH13227" s="25"/>
      <c r="BI13227" s="25"/>
      <c r="BJ13227" s="25"/>
      <c r="BK13227" s="25"/>
    </row>
    <row r="13228" spans="60:63" ht="14.25" x14ac:dyDescent="0.2">
      <c r="BH13228" s="25"/>
      <c r="BI13228" s="25"/>
      <c r="BJ13228" s="25"/>
      <c r="BK13228" s="25"/>
    </row>
    <row r="13229" spans="60:63" ht="14.25" x14ac:dyDescent="0.2">
      <c r="BH13229" s="25"/>
      <c r="BI13229" s="25"/>
      <c r="BJ13229" s="25"/>
      <c r="BK13229" s="25"/>
    </row>
    <row r="13230" spans="60:63" ht="14.25" x14ac:dyDescent="0.2">
      <c r="BH13230" s="25"/>
      <c r="BI13230" s="25"/>
      <c r="BJ13230" s="25"/>
      <c r="BK13230" s="25"/>
    </row>
    <row r="13231" spans="60:63" ht="14.25" x14ac:dyDescent="0.2">
      <c r="BH13231" s="25"/>
      <c r="BI13231" s="25"/>
      <c r="BJ13231" s="25"/>
      <c r="BK13231" s="25"/>
    </row>
    <row r="13232" spans="60:63" ht="14.25" x14ac:dyDescent="0.2">
      <c r="BH13232" s="25"/>
      <c r="BI13232" s="25"/>
      <c r="BJ13232" s="25"/>
      <c r="BK13232" s="25"/>
    </row>
    <row r="13233" spans="60:63" ht="14.25" x14ac:dyDescent="0.2">
      <c r="BH13233" s="25"/>
      <c r="BI13233" s="25"/>
      <c r="BJ13233" s="25"/>
      <c r="BK13233" s="25"/>
    </row>
    <row r="13234" spans="60:63" ht="14.25" x14ac:dyDescent="0.2">
      <c r="BH13234" s="25"/>
      <c r="BI13234" s="25"/>
      <c r="BJ13234" s="25"/>
      <c r="BK13234" s="25"/>
    </row>
    <row r="13235" spans="60:63" ht="14.25" x14ac:dyDescent="0.2">
      <c r="BH13235" s="25"/>
      <c r="BI13235" s="25"/>
      <c r="BJ13235" s="25"/>
      <c r="BK13235" s="25"/>
    </row>
    <row r="13236" spans="60:63" ht="14.25" x14ac:dyDescent="0.2">
      <c r="BH13236" s="25"/>
      <c r="BI13236" s="25"/>
      <c r="BJ13236" s="25"/>
      <c r="BK13236" s="25"/>
    </row>
    <row r="13237" spans="60:63" ht="14.25" x14ac:dyDescent="0.2">
      <c r="BH13237" s="25"/>
      <c r="BI13237" s="25"/>
      <c r="BJ13237" s="25"/>
      <c r="BK13237" s="25"/>
    </row>
    <row r="13238" spans="60:63" ht="14.25" x14ac:dyDescent="0.2">
      <c r="BH13238" s="25"/>
      <c r="BI13238" s="25"/>
      <c r="BJ13238" s="25"/>
      <c r="BK13238" s="25"/>
    </row>
    <row r="13239" spans="60:63" ht="14.25" x14ac:dyDescent="0.2">
      <c r="BH13239" s="25"/>
      <c r="BI13239" s="25"/>
      <c r="BJ13239" s="25"/>
      <c r="BK13239" s="25"/>
    </row>
    <row r="13240" spans="60:63" ht="14.25" x14ac:dyDescent="0.2">
      <c r="BH13240" s="25"/>
      <c r="BI13240" s="25"/>
      <c r="BJ13240" s="25"/>
      <c r="BK13240" s="25"/>
    </row>
    <row r="13241" spans="60:63" ht="14.25" x14ac:dyDescent="0.2">
      <c r="BH13241" s="25"/>
      <c r="BI13241" s="25"/>
      <c r="BJ13241" s="25"/>
      <c r="BK13241" s="25"/>
    </row>
    <row r="13242" spans="60:63" ht="14.25" x14ac:dyDescent="0.2">
      <c r="BH13242" s="25"/>
      <c r="BI13242" s="25"/>
      <c r="BJ13242" s="25"/>
      <c r="BK13242" s="25"/>
    </row>
    <row r="13243" spans="60:63" ht="14.25" x14ac:dyDescent="0.2">
      <c r="BH13243" s="25"/>
      <c r="BI13243" s="25"/>
      <c r="BJ13243" s="25"/>
      <c r="BK13243" s="25"/>
    </row>
    <row r="13244" spans="60:63" ht="14.25" x14ac:dyDescent="0.2">
      <c r="BH13244" s="25"/>
      <c r="BI13244" s="25"/>
      <c r="BJ13244" s="25"/>
      <c r="BK13244" s="25"/>
    </row>
    <row r="13245" spans="60:63" ht="14.25" x14ac:dyDescent="0.2">
      <c r="BH13245" s="25"/>
      <c r="BI13245" s="25"/>
      <c r="BJ13245" s="25"/>
      <c r="BK13245" s="25"/>
    </row>
    <row r="13246" spans="60:63" ht="14.25" x14ac:dyDescent="0.2">
      <c r="BH13246" s="25"/>
      <c r="BI13246" s="25"/>
      <c r="BJ13246" s="25"/>
      <c r="BK13246" s="25"/>
    </row>
    <row r="13247" spans="60:63" ht="14.25" x14ac:dyDescent="0.2">
      <c r="BH13247" s="25"/>
      <c r="BI13247" s="25"/>
      <c r="BJ13247" s="25"/>
      <c r="BK13247" s="25"/>
    </row>
    <row r="13248" spans="60:63" ht="14.25" x14ac:dyDescent="0.2">
      <c r="BH13248" s="25"/>
      <c r="BI13248" s="25"/>
      <c r="BJ13248" s="25"/>
      <c r="BK13248" s="25"/>
    </row>
    <row r="13249" spans="60:63" ht="14.25" x14ac:dyDescent="0.2">
      <c r="BH13249" s="25"/>
      <c r="BI13249" s="25"/>
      <c r="BJ13249" s="25"/>
      <c r="BK13249" s="25"/>
    </row>
    <row r="13250" spans="60:63" ht="14.25" x14ac:dyDescent="0.2">
      <c r="BH13250" s="25"/>
      <c r="BI13250" s="25"/>
      <c r="BJ13250" s="25"/>
      <c r="BK13250" s="25"/>
    </row>
    <row r="13251" spans="60:63" ht="14.25" x14ac:dyDescent="0.2">
      <c r="BH13251" s="25"/>
      <c r="BI13251" s="25"/>
      <c r="BJ13251" s="25"/>
      <c r="BK13251" s="25"/>
    </row>
    <row r="13252" spans="60:63" ht="14.25" x14ac:dyDescent="0.2">
      <c r="BH13252" s="25"/>
      <c r="BI13252" s="25"/>
      <c r="BJ13252" s="25"/>
      <c r="BK13252" s="25"/>
    </row>
    <row r="13253" spans="60:63" ht="14.25" x14ac:dyDescent="0.2">
      <c r="BH13253" s="25"/>
      <c r="BI13253" s="25"/>
      <c r="BJ13253" s="25"/>
      <c r="BK13253" s="25"/>
    </row>
    <row r="13254" spans="60:63" ht="14.25" x14ac:dyDescent="0.2">
      <c r="BH13254" s="25"/>
      <c r="BI13254" s="25"/>
      <c r="BJ13254" s="25"/>
      <c r="BK13254" s="25"/>
    </row>
    <row r="13255" spans="60:63" ht="14.25" x14ac:dyDescent="0.2">
      <c r="BH13255" s="25"/>
      <c r="BI13255" s="25"/>
      <c r="BJ13255" s="25"/>
      <c r="BK13255" s="25"/>
    </row>
    <row r="13256" spans="60:63" ht="14.25" x14ac:dyDescent="0.2">
      <c r="BH13256" s="25"/>
      <c r="BI13256" s="25"/>
      <c r="BJ13256" s="25"/>
      <c r="BK13256" s="25"/>
    </row>
    <row r="13257" spans="60:63" ht="14.25" x14ac:dyDescent="0.2">
      <c r="BH13257" s="25"/>
      <c r="BI13257" s="25"/>
      <c r="BJ13257" s="25"/>
      <c r="BK13257" s="25"/>
    </row>
    <row r="13258" spans="60:63" ht="14.25" x14ac:dyDescent="0.2">
      <c r="BH13258" s="25"/>
      <c r="BI13258" s="25"/>
      <c r="BJ13258" s="25"/>
      <c r="BK13258" s="25"/>
    </row>
    <row r="13259" spans="60:63" ht="14.25" x14ac:dyDescent="0.2">
      <c r="BH13259" s="25"/>
      <c r="BI13259" s="25"/>
      <c r="BJ13259" s="25"/>
      <c r="BK13259" s="25"/>
    </row>
    <row r="13260" spans="60:63" ht="14.25" x14ac:dyDescent="0.2">
      <c r="BH13260" s="25"/>
      <c r="BI13260" s="25"/>
      <c r="BJ13260" s="25"/>
      <c r="BK13260" s="25"/>
    </row>
    <row r="13261" spans="60:63" ht="14.25" x14ac:dyDescent="0.2">
      <c r="BH13261" s="25"/>
      <c r="BI13261" s="25"/>
      <c r="BJ13261" s="25"/>
      <c r="BK13261" s="25"/>
    </row>
    <row r="13262" spans="60:63" ht="14.25" x14ac:dyDescent="0.2">
      <c r="BH13262" s="25"/>
      <c r="BI13262" s="25"/>
      <c r="BJ13262" s="25"/>
      <c r="BK13262" s="25"/>
    </row>
    <row r="13263" spans="60:63" ht="14.25" x14ac:dyDescent="0.2">
      <c r="BH13263" s="25"/>
      <c r="BI13263" s="25"/>
      <c r="BJ13263" s="25"/>
      <c r="BK13263" s="25"/>
    </row>
    <row r="13264" spans="60:63" ht="14.25" x14ac:dyDescent="0.2">
      <c r="BH13264" s="25"/>
      <c r="BI13264" s="25"/>
      <c r="BJ13264" s="25"/>
      <c r="BK13264" s="25"/>
    </row>
    <row r="13265" spans="60:63" ht="14.25" x14ac:dyDescent="0.2">
      <c r="BH13265" s="25"/>
      <c r="BI13265" s="25"/>
      <c r="BJ13265" s="25"/>
      <c r="BK13265" s="25"/>
    </row>
    <row r="13266" spans="60:63" ht="14.25" x14ac:dyDescent="0.2">
      <c r="BH13266" s="25"/>
      <c r="BI13266" s="25"/>
      <c r="BJ13266" s="25"/>
      <c r="BK13266" s="25"/>
    </row>
    <row r="13267" spans="60:63" ht="14.25" x14ac:dyDescent="0.2">
      <c r="BH13267" s="25"/>
      <c r="BI13267" s="25"/>
      <c r="BJ13267" s="25"/>
      <c r="BK13267" s="25"/>
    </row>
    <row r="13268" spans="60:63" ht="14.25" x14ac:dyDescent="0.2">
      <c r="BH13268" s="25"/>
      <c r="BI13268" s="25"/>
      <c r="BJ13268" s="25"/>
      <c r="BK13268" s="25"/>
    </row>
    <row r="13269" spans="60:63" ht="14.25" x14ac:dyDescent="0.2">
      <c r="BH13269" s="25"/>
      <c r="BI13269" s="25"/>
      <c r="BJ13269" s="25"/>
      <c r="BK13269" s="25"/>
    </row>
    <row r="13270" spans="60:63" ht="14.25" x14ac:dyDescent="0.2">
      <c r="BH13270" s="25"/>
      <c r="BI13270" s="25"/>
      <c r="BJ13270" s="25"/>
      <c r="BK13270" s="25"/>
    </row>
    <row r="13271" spans="60:63" ht="14.25" x14ac:dyDescent="0.2">
      <c r="BH13271" s="25"/>
      <c r="BI13271" s="25"/>
      <c r="BJ13271" s="25"/>
      <c r="BK13271" s="25"/>
    </row>
    <row r="13272" spans="60:63" ht="14.25" x14ac:dyDescent="0.2">
      <c r="BH13272" s="25"/>
      <c r="BI13272" s="25"/>
      <c r="BJ13272" s="25"/>
      <c r="BK13272" s="25"/>
    </row>
    <row r="13273" spans="60:63" ht="14.25" x14ac:dyDescent="0.2">
      <c r="BH13273" s="25"/>
      <c r="BI13273" s="25"/>
      <c r="BJ13273" s="25"/>
      <c r="BK13273" s="25"/>
    </row>
    <row r="13274" spans="60:63" ht="14.25" x14ac:dyDescent="0.2">
      <c r="BH13274" s="25"/>
      <c r="BI13274" s="25"/>
      <c r="BJ13274" s="25"/>
      <c r="BK13274" s="25"/>
    </row>
    <row r="13275" spans="60:63" ht="14.25" x14ac:dyDescent="0.2">
      <c r="BH13275" s="25"/>
      <c r="BI13275" s="25"/>
      <c r="BJ13275" s="25"/>
      <c r="BK13275" s="25"/>
    </row>
    <row r="13276" spans="60:63" ht="14.25" x14ac:dyDescent="0.2">
      <c r="BH13276" s="25"/>
      <c r="BI13276" s="25"/>
      <c r="BJ13276" s="25"/>
      <c r="BK13276" s="25"/>
    </row>
    <row r="13277" spans="60:63" ht="14.25" x14ac:dyDescent="0.2">
      <c r="BH13277" s="25"/>
      <c r="BI13277" s="25"/>
      <c r="BJ13277" s="25"/>
      <c r="BK13277" s="25"/>
    </row>
    <row r="13278" spans="60:63" ht="14.25" x14ac:dyDescent="0.2">
      <c r="BH13278" s="25"/>
      <c r="BI13278" s="25"/>
      <c r="BJ13278" s="25"/>
      <c r="BK13278" s="25"/>
    </row>
    <row r="13279" spans="60:63" ht="14.25" x14ac:dyDescent="0.2">
      <c r="BH13279" s="25"/>
      <c r="BI13279" s="25"/>
      <c r="BJ13279" s="25"/>
      <c r="BK13279" s="25"/>
    </row>
    <row r="13280" spans="60:63" ht="14.25" x14ac:dyDescent="0.2">
      <c r="BH13280" s="25"/>
      <c r="BI13280" s="25"/>
      <c r="BJ13280" s="25"/>
      <c r="BK13280" s="25"/>
    </row>
    <row r="13281" spans="60:63" ht="14.25" x14ac:dyDescent="0.2">
      <c r="BH13281" s="25"/>
      <c r="BI13281" s="25"/>
      <c r="BJ13281" s="25"/>
      <c r="BK13281" s="25"/>
    </row>
    <row r="13282" spans="60:63" ht="14.25" x14ac:dyDescent="0.2">
      <c r="BH13282" s="25"/>
      <c r="BI13282" s="25"/>
      <c r="BJ13282" s="25"/>
      <c r="BK13282" s="25"/>
    </row>
    <row r="13283" spans="60:63" ht="14.25" x14ac:dyDescent="0.2">
      <c r="BH13283" s="25"/>
      <c r="BI13283" s="25"/>
      <c r="BJ13283" s="25"/>
      <c r="BK13283" s="25"/>
    </row>
    <row r="13284" spans="60:63" ht="14.25" x14ac:dyDescent="0.2">
      <c r="BH13284" s="25"/>
      <c r="BI13284" s="25"/>
      <c r="BJ13284" s="25"/>
      <c r="BK13284" s="25"/>
    </row>
    <row r="13285" spans="60:63" ht="14.25" x14ac:dyDescent="0.2">
      <c r="BH13285" s="25"/>
      <c r="BI13285" s="25"/>
      <c r="BJ13285" s="25"/>
      <c r="BK13285" s="25"/>
    </row>
    <row r="13286" spans="60:63" ht="14.25" x14ac:dyDescent="0.2">
      <c r="BH13286" s="25"/>
      <c r="BI13286" s="25"/>
      <c r="BJ13286" s="25"/>
      <c r="BK13286" s="25"/>
    </row>
    <row r="13287" spans="60:63" ht="14.25" x14ac:dyDescent="0.2">
      <c r="BH13287" s="25"/>
      <c r="BI13287" s="25"/>
      <c r="BJ13287" s="25"/>
      <c r="BK13287" s="25"/>
    </row>
    <row r="13288" spans="60:63" ht="14.25" x14ac:dyDescent="0.2">
      <c r="BH13288" s="25"/>
      <c r="BI13288" s="25"/>
      <c r="BJ13288" s="25"/>
      <c r="BK13288" s="25"/>
    </row>
    <row r="13289" spans="60:63" ht="14.25" x14ac:dyDescent="0.2">
      <c r="BH13289" s="25"/>
      <c r="BI13289" s="25"/>
      <c r="BJ13289" s="25"/>
      <c r="BK13289" s="25"/>
    </row>
    <row r="13290" spans="60:63" ht="14.25" x14ac:dyDescent="0.2">
      <c r="BH13290" s="25"/>
      <c r="BI13290" s="25"/>
      <c r="BJ13290" s="25"/>
      <c r="BK13290" s="25"/>
    </row>
    <row r="13291" spans="60:63" ht="14.25" x14ac:dyDescent="0.2">
      <c r="BH13291" s="25"/>
      <c r="BI13291" s="25"/>
      <c r="BJ13291" s="25"/>
      <c r="BK13291" s="25"/>
    </row>
    <row r="13292" spans="60:63" ht="14.25" x14ac:dyDescent="0.2">
      <c r="BH13292" s="25"/>
      <c r="BI13292" s="25"/>
      <c r="BJ13292" s="25"/>
      <c r="BK13292" s="25"/>
    </row>
    <row r="13293" spans="60:63" ht="14.25" x14ac:dyDescent="0.2">
      <c r="BH13293" s="25"/>
      <c r="BI13293" s="25"/>
      <c r="BJ13293" s="25"/>
      <c r="BK13293" s="25"/>
    </row>
    <row r="13294" spans="60:63" ht="14.25" x14ac:dyDescent="0.2">
      <c r="BH13294" s="25"/>
      <c r="BI13294" s="25"/>
      <c r="BJ13294" s="25"/>
      <c r="BK13294" s="25"/>
    </row>
    <row r="13295" spans="60:63" ht="14.25" x14ac:dyDescent="0.2">
      <c r="BH13295" s="25"/>
      <c r="BI13295" s="25"/>
      <c r="BJ13295" s="25"/>
      <c r="BK13295" s="25"/>
    </row>
    <row r="13296" spans="60:63" ht="14.25" x14ac:dyDescent="0.2">
      <c r="BH13296" s="25"/>
      <c r="BI13296" s="25"/>
      <c r="BJ13296" s="25"/>
      <c r="BK13296" s="25"/>
    </row>
    <row r="13297" spans="60:63" ht="14.25" x14ac:dyDescent="0.2">
      <c r="BH13297" s="25"/>
      <c r="BI13297" s="25"/>
      <c r="BJ13297" s="25"/>
      <c r="BK13297" s="25"/>
    </row>
    <row r="13298" spans="60:63" ht="14.25" x14ac:dyDescent="0.2">
      <c r="BH13298" s="25"/>
      <c r="BI13298" s="25"/>
      <c r="BJ13298" s="25"/>
      <c r="BK13298" s="25"/>
    </row>
    <row r="13299" spans="60:63" ht="14.25" x14ac:dyDescent="0.2">
      <c r="BH13299" s="25"/>
      <c r="BI13299" s="25"/>
      <c r="BJ13299" s="25"/>
      <c r="BK13299" s="25"/>
    </row>
    <row r="13300" spans="60:63" ht="14.25" x14ac:dyDescent="0.2">
      <c r="BH13300" s="25"/>
      <c r="BI13300" s="25"/>
      <c r="BJ13300" s="25"/>
      <c r="BK13300" s="25"/>
    </row>
    <row r="13301" spans="60:63" ht="14.25" x14ac:dyDescent="0.2">
      <c r="BH13301" s="25"/>
      <c r="BI13301" s="25"/>
      <c r="BJ13301" s="25"/>
      <c r="BK13301" s="25"/>
    </row>
    <row r="13302" spans="60:63" ht="14.25" x14ac:dyDescent="0.2">
      <c r="BH13302" s="25"/>
      <c r="BI13302" s="25"/>
      <c r="BJ13302" s="25"/>
      <c r="BK13302" s="25"/>
    </row>
    <row r="13303" spans="60:63" ht="14.25" x14ac:dyDescent="0.2">
      <c r="BH13303" s="25"/>
      <c r="BI13303" s="25"/>
      <c r="BJ13303" s="25"/>
      <c r="BK13303" s="25"/>
    </row>
    <row r="13304" spans="60:63" ht="14.25" x14ac:dyDescent="0.2">
      <c r="BH13304" s="25"/>
      <c r="BI13304" s="25"/>
      <c r="BJ13304" s="25"/>
      <c r="BK13304" s="25"/>
    </row>
    <row r="13305" spans="60:63" ht="14.25" x14ac:dyDescent="0.2">
      <c r="BH13305" s="25"/>
      <c r="BI13305" s="25"/>
      <c r="BJ13305" s="25"/>
      <c r="BK13305" s="25"/>
    </row>
    <row r="13306" spans="60:63" ht="14.25" x14ac:dyDescent="0.2">
      <c r="BH13306" s="25"/>
      <c r="BI13306" s="25"/>
      <c r="BJ13306" s="25"/>
      <c r="BK13306" s="25"/>
    </row>
    <row r="13307" spans="60:63" ht="14.25" x14ac:dyDescent="0.2">
      <c r="BH13307" s="25"/>
      <c r="BI13307" s="25"/>
      <c r="BJ13307" s="25"/>
      <c r="BK13307" s="25"/>
    </row>
    <row r="13308" spans="60:63" ht="14.25" x14ac:dyDescent="0.2">
      <c r="BH13308" s="25"/>
      <c r="BI13308" s="25"/>
      <c r="BJ13308" s="25"/>
      <c r="BK13308" s="25"/>
    </row>
    <row r="13309" spans="60:63" ht="14.25" x14ac:dyDescent="0.2">
      <c r="BH13309" s="25"/>
      <c r="BI13309" s="25"/>
      <c r="BJ13309" s="25"/>
      <c r="BK13309" s="25"/>
    </row>
    <row r="13310" spans="60:63" ht="14.25" x14ac:dyDescent="0.2">
      <c r="BH13310" s="25"/>
      <c r="BI13310" s="25"/>
      <c r="BJ13310" s="25"/>
      <c r="BK13310" s="25"/>
    </row>
    <row r="13311" spans="60:63" ht="14.25" x14ac:dyDescent="0.2">
      <c r="BH13311" s="25"/>
      <c r="BI13311" s="25"/>
      <c r="BJ13311" s="25"/>
      <c r="BK13311" s="25"/>
    </row>
    <row r="13312" spans="60:63" ht="14.25" x14ac:dyDescent="0.2">
      <c r="BH13312" s="25"/>
      <c r="BI13312" s="25"/>
      <c r="BJ13312" s="25"/>
      <c r="BK13312" s="25"/>
    </row>
    <row r="13313" spans="60:63" ht="14.25" x14ac:dyDescent="0.2">
      <c r="BH13313" s="25"/>
      <c r="BI13313" s="25"/>
      <c r="BJ13313" s="25"/>
      <c r="BK13313" s="25"/>
    </row>
    <row r="13314" spans="60:63" ht="14.25" x14ac:dyDescent="0.2">
      <c r="BH13314" s="25"/>
      <c r="BI13314" s="25"/>
      <c r="BJ13314" s="25"/>
      <c r="BK13314" s="25"/>
    </row>
    <row r="13315" spans="60:63" ht="14.25" x14ac:dyDescent="0.2">
      <c r="BH13315" s="25"/>
      <c r="BI13315" s="25"/>
      <c r="BJ13315" s="25"/>
      <c r="BK13315" s="25"/>
    </row>
    <row r="13316" spans="60:63" ht="14.25" x14ac:dyDescent="0.2">
      <c r="BH13316" s="25"/>
      <c r="BI13316" s="25"/>
      <c r="BJ13316" s="25"/>
      <c r="BK13316" s="25"/>
    </row>
    <row r="13317" spans="60:63" ht="14.25" x14ac:dyDescent="0.2">
      <c r="BH13317" s="25"/>
      <c r="BI13317" s="25"/>
      <c r="BJ13317" s="25"/>
      <c r="BK13317" s="25"/>
    </row>
    <row r="13318" spans="60:63" ht="14.25" x14ac:dyDescent="0.2">
      <c r="BH13318" s="25"/>
      <c r="BI13318" s="25"/>
      <c r="BJ13318" s="25"/>
      <c r="BK13318" s="25"/>
    </row>
    <row r="13319" spans="60:63" ht="14.25" x14ac:dyDescent="0.2">
      <c r="BH13319" s="25"/>
      <c r="BI13319" s="25"/>
      <c r="BJ13319" s="25"/>
      <c r="BK13319" s="25"/>
    </row>
    <row r="13320" spans="60:63" ht="14.25" x14ac:dyDescent="0.2">
      <c r="BH13320" s="25"/>
      <c r="BI13320" s="25"/>
      <c r="BJ13320" s="25"/>
      <c r="BK13320" s="25"/>
    </row>
    <row r="13321" spans="60:63" ht="14.25" x14ac:dyDescent="0.2">
      <c r="BH13321" s="25"/>
      <c r="BI13321" s="25"/>
      <c r="BJ13321" s="25"/>
      <c r="BK13321" s="25"/>
    </row>
    <row r="13322" spans="60:63" ht="14.25" x14ac:dyDescent="0.2">
      <c r="BH13322" s="25"/>
      <c r="BI13322" s="25"/>
      <c r="BJ13322" s="25"/>
      <c r="BK13322" s="25"/>
    </row>
    <row r="13323" spans="60:63" ht="14.25" x14ac:dyDescent="0.2">
      <c r="BH13323" s="25"/>
      <c r="BI13323" s="25"/>
      <c r="BJ13323" s="25"/>
      <c r="BK13323" s="25"/>
    </row>
    <row r="13324" spans="60:63" ht="14.25" x14ac:dyDescent="0.2">
      <c r="BH13324" s="25"/>
      <c r="BI13324" s="25"/>
      <c r="BJ13324" s="25"/>
      <c r="BK13324" s="25"/>
    </row>
    <row r="13325" spans="60:63" ht="14.25" x14ac:dyDescent="0.2">
      <c r="BH13325" s="25"/>
      <c r="BI13325" s="25"/>
      <c r="BJ13325" s="25"/>
      <c r="BK13325" s="25"/>
    </row>
    <row r="13326" spans="60:63" ht="14.25" x14ac:dyDescent="0.2">
      <c r="BH13326" s="25"/>
      <c r="BI13326" s="25"/>
      <c r="BJ13326" s="25"/>
      <c r="BK13326" s="25"/>
    </row>
    <row r="13327" spans="60:63" ht="14.25" x14ac:dyDescent="0.2">
      <c r="BH13327" s="25"/>
      <c r="BI13327" s="25"/>
      <c r="BJ13327" s="25"/>
      <c r="BK13327" s="25"/>
    </row>
    <row r="13328" spans="60:63" ht="14.25" x14ac:dyDescent="0.2">
      <c r="BH13328" s="25"/>
      <c r="BI13328" s="25"/>
      <c r="BJ13328" s="25"/>
      <c r="BK13328" s="25"/>
    </row>
    <row r="13329" spans="60:63" ht="14.25" x14ac:dyDescent="0.2">
      <c r="BH13329" s="25"/>
      <c r="BI13329" s="25"/>
      <c r="BJ13329" s="25"/>
      <c r="BK13329" s="25"/>
    </row>
    <row r="13330" spans="60:63" ht="14.25" x14ac:dyDescent="0.2">
      <c r="BH13330" s="25"/>
      <c r="BI13330" s="25"/>
      <c r="BJ13330" s="25"/>
      <c r="BK13330" s="25"/>
    </row>
    <row r="13331" spans="60:63" ht="14.25" x14ac:dyDescent="0.2">
      <c r="BH13331" s="25"/>
      <c r="BI13331" s="25"/>
      <c r="BJ13331" s="25"/>
      <c r="BK13331" s="25"/>
    </row>
    <row r="13332" spans="60:63" ht="14.25" x14ac:dyDescent="0.2">
      <c r="BH13332" s="25"/>
      <c r="BI13332" s="25"/>
      <c r="BJ13332" s="25"/>
      <c r="BK13332" s="25"/>
    </row>
    <row r="13333" spans="60:63" ht="14.25" x14ac:dyDescent="0.2">
      <c r="BH13333" s="25"/>
      <c r="BI13333" s="25"/>
      <c r="BJ13333" s="25"/>
      <c r="BK13333" s="25"/>
    </row>
    <row r="13334" spans="60:63" ht="14.25" x14ac:dyDescent="0.2">
      <c r="BH13334" s="25"/>
      <c r="BI13334" s="25"/>
      <c r="BJ13334" s="25"/>
      <c r="BK13334" s="25"/>
    </row>
    <row r="13335" spans="60:63" ht="14.25" x14ac:dyDescent="0.2">
      <c r="BH13335" s="25"/>
      <c r="BI13335" s="25"/>
      <c r="BJ13335" s="25"/>
      <c r="BK13335" s="25"/>
    </row>
    <row r="13336" spans="60:63" ht="14.25" x14ac:dyDescent="0.2">
      <c r="BH13336" s="25"/>
      <c r="BI13336" s="25"/>
      <c r="BJ13336" s="25"/>
      <c r="BK13336" s="25"/>
    </row>
    <row r="13337" spans="60:63" ht="14.25" x14ac:dyDescent="0.2">
      <c r="BH13337" s="25"/>
      <c r="BI13337" s="25"/>
      <c r="BJ13337" s="25"/>
      <c r="BK13337" s="25"/>
    </row>
    <row r="13338" spans="60:63" ht="14.25" x14ac:dyDescent="0.2">
      <c r="BH13338" s="25"/>
      <c r="BI13338" s="25"/>
      <c r="BJ13338" s="25"/>
      <c r="BK13338" s="25"/>
    </row>
    <row r="13339" spans="60:63" ht="14.25" x14ac:dyDescent="0.2">
      <c r="BH13339" s="25"/>
      <c r="BI13339" s="25"/>
      <c r="BJ13339" s="25"/>
      <c r="BK13339" s="25"/>
    </row>
    <row r="13340" spans="60:63" ht="14.25" x14ac:dyDescent="0.2">
      <c r="BH13340" s="25"/>
      <c r="BI13340" s="25"/>
      <c r="BJ13340" s="25"/>
      <c r="BK13340" s="25"/>
    </row>
    <row r="13341" spans="60:63" ht="14.25" x14ac:dyDescent="0.2">
      <c r="BH13341" s="25"/>
      <c r="BI13341" s="25"/>
      <c r="BJ13341" s="25"/>
      <c r="BK13341" s="25"/>
    </row>
    <row r="13342" spans="60:63" ht="14.25" x14ac:dyDescent="0.2">
      <c r="BH13342" s="25"/>
      <c r="BI13342" s="25"/>
      <c r="BJ13342" s="25"/>
      <c r="BK13342" s="25"/>
    </row>
    <row r="13343" spans="60:63" ht="14.25" x14ac:dyDescent="0.2">
      <c r="BH13343" s="25"/>
      <c r="BI13343" s="25"/>
      <c r="BJ13343" s="25"/>
      <c r="BK13343" s="25"/>
    </row>
    <row r="13344" spans="60:63" ht="14.25" x14ac:dyDescent="0.2">
      <c r="BH13344" s="25"/>
      <c r="BI13344" s="25"/>
      <c r="BJ13344" s="25"/>
      <c r="BK13344" s="25"/>
    </row>
    <row r="13345" spans="60:63" ht="14.25" x14ac:dyDescent="0.2">
      <c r="BH13345" s="25"/>
      <c r="BI13345" s="25"/>
      <c r="BJ13345" s="25"/>
      <c r="BK13345" s="25"/>
    </row>
    <row r="13346" spans="60:63" ht="14.25" x14ac:dyDescent="0.2">
      <c r="BH13346" s="25"/>
      <c r="BI13346" s="25"/>
      <c r="BJ13346" s="25"/>
      <c r="BK13346" s="25"/>
    </row>
    <row r="13347" spans="60:63" ht="14.25" x14ac:dyDescent="0.2">
      <c r="BH13347" s="25"/>
      <c r="BI13347" s="25"/>
      <c r="BJ13347" s="25"/>
      <c r="BK13347" s="25"/>
    </row>
    <row r="13348" spans="60:63" ht="14.25" x14ac:dyDescent="0.2">
      <c r="BH13348" s="25"/>
      <c r="BI13348" s="25"/>
      <c r="BJ13348" s="25"/>
      <c r="BK13348" s="25"/>
    </row>
    <row r="13349" spans="60:63" ht="14.25" x14ac:dyDescent="0.2">
      <c r="BH13349" s="25"/>
      <c r="BI13349" s="25"/>
      <c r="BJ13349" s="25"/>
      <c r="BK13349" s="25"/>
    </row>
    <row r="13350" spans="60:63" ht="14.25" x14ac:dyDescent="0.2">
      <c r="BH13350" s="25"/>
      <c r="BI13350" s="25"/>
      <c r="BJ13350" s="25"/>
      <c r="BK13350" s="25"/>
    </row>
    <row r="13351" spans="60:63" ht="14.25" x14ac:dyDescent="0.2">
      <c r="BH13351" s="25"/>
      <c r="BI13351" s="25"/>
      <c r="BJ13351" s="25"/>
      <c r="BK13351" s="25"/>
    </row>
    <row r="13352" spans="60:63" ht="14.25" x14ac:dyDescent="0.2">
      <c r="BH13352" s="25"/>
      <c r="BI13352" s="25"/>
      <c r="BJ13352" s="25"/>
      <c r="BK13352" s="25"/>
    </row>
    <row r="13353" spans="60:63" ht="14.25" x14ac:dyDescent="0.2">
      <c r="BH13353" s="25"/>
      <c r="BI13353" s="25"/>
      <c r="BJ13353" s="25"/>
      <c r="BK13353" s="25"/>
    </row>
    <row r="13354" spans="60:63" ht="14.25" x14ac:dyDescent="0.2">
      <c r="BH13354" s="25"/>
      <c r="BI13354" s="25"/>
      <c r="BJ13354" s="25"/>
      <c r="BK13354" s="25"/>
    </row>
    <row r="13355" spans="60:63" ht="14.25" x14ac:dyDescent="0.2">
      <c r="BH13355" s="25"/>
      <c r="BI13355" s="25"/>
      <c r="BJ13355" s="25"/>
      <c r="BK13355" s="25"/>
    </row>
    <row r="13356" spans="60:63" ht="14.25" x14ac:dyDescent="0.2">
      <c r="BH13356" s="25"/>
      <c r="BI13356" s="25"/>
      <c r="BJ13356" s="25"/>
      <c r="BK13356" s="25"/>
    </row>
    <row r="13357" spans="60:63" ht="14.25" x14ac:dyDescent="0.2">
      <c r="BH13357" s="25"/>
      <c r="BI13357" s="25"/>
      <c r="BJ13357" s="25"/>
      <c r="BK13357" s="25"/>
    </row>
    <row r="13358" spans="60:63" ht="14.25" x14ac:dyDescent="0.2">
      <c r="BH13358" s="25"/>
      <c r="BI13358" s="25"/>
      <c r="BJ13358" s="25"/>
      <c r="BK13358" s="25"/>
    </row>
    <row r="13359" spans="60:63" ht="14.25" x14ac:dyDescent="0.2">
      <c r="BH13359" s="25"/>
      <c r="BI13359" s="25"/>
      <c r="BJ13359" s="25"/>
      <c r="BK13359" s="25"/>
    </row>
    <row r="13360" spans="60:63" ht="14.25" x14ac:dyDescent="0.2">
      <c r="BH13360" s="25"/>
      <c r="BI13360" s="25"/>
      <c r="BJ13360" s="25"/>
      <c r="BK13360" s="25"/>
    </row>
    <row r="13361" spans="60:63" ht="14.25" x14ac:dyDescent="0.2">
      <c r="BH13361" s="25"/>
      <c r="BI13361" s="25"/>
      <c r="BJ13361" s="25"/>
      <c r="BK13361" s="25"/>
    </row>
    <row r="13362" spans="60:63" ht="14.25" x14ac:dyDescent="0.2">
      <c r="BH13362" s="25"/>
      <c r="BI13362" s="25"/>
      <c r="BJ13362" s="25"/>
      <c r="BK13362" s="25"/>
    </row>
    <row r="13363" spans="60:63" ht="14.25" x14ac:dyDescent="0.2">
      <c r="BH13363" s="25"/>
      <c r="BI13363" s="25"/>
      <c r="BJ13363" s="25"/>
      <c r="BK13363" s="25"/>
    </row>
    <row r="13364" spans="60:63" ht="14.25" x14ac:dyDescent="0.2">
      <c r="BH13364" s="25"/>
      <c r="BI13364" s="25"/>
      <c r="BJ13364" s="25"/>
      <c r="BK13364" s="25"/>
    </row>
    <row r="13365" spans="60:63" ht="14.25" x14ac:dyDescent="0.2">
      <c r="BH13365" s="25"/>
      <c r="BI13365" s="25"/>
      <c r="BJ13365" s="25"/>
      <c r="BK13365" s="25"/>
    </row>
    <row r="13366" spans="60:63" ht="14.25" x14ac:dyDescent="0.2">
      <c r="BH13366" s="25"/>
      <c r="BI13366" s="25"/>
      <c r="BJ13366" s="25"/>
      <c r="BK13366" s="25"/>
    </row>
    <row r="13367" spans="60:63" ht="14.25" x14ac:dyDescent="0.2">
      <c r="BH13367" s="25"/>
      <c r="BI13367" s="25"/>
      <c r="BJ13367" s="25"/>
      <c r="BK13367" s="25"/>
    </row>
    <row r="13368" spans="60:63" ht="14.25" x14ac:dyDescent="0.2">
      <c r="BH13368" s="25"/>
      <c r="BI13368" s="25"/>
      <c r="BJ13368" s="25"/>
      <c r="BK13368" s="25"/>
    </row>
    <row r="13369" spans="60:63" ht="14.25" x14ac:dyDescent="0.2">
      <c r="BH13369" s="25"/>
      <c r="BI13369" s="25"/>
      <c r="BJ13369" s="25"/>
      <c r="BK13369" s="25"/>
    </row>
    <row r="13370" spans="60:63" ht="14.25" x14ac:dyDescent="0.2">
      <c r="BH13370" s="25"/>
      <c r="BI13370" s="25"/>
      <c r="BJ13370" s="25"/>
      <c r="BK13370" s="25"/>
    </row>
    <row r="13371" spans="60:63" ht="14.25" x14ac:dyDescent="0.2">
      <c r="BH13371" s="25"/>
      <c r="BI13371" s="25"/>
      <c r="BJ13371" s="25"/>
      <c r="BK13371" s="25"/>
    </row>
    <row r="13372" spans="60:63" ht="14.25" x14ac:dyDescent="0.2">
      <c r="BH13372" s="25"/>
      <c r="BI13372" s="25"/>
      <c r="BJ13372" s="25"/>
      <c r="BK13372" s="25"/>
    </row>
    <row r="13373" spans="60:63" ht="14.25" x14ac:dyDescent="0.2">
      <c r="BH13373" s="25"/>
      <c r="BI13373" s="25"/>
      <c r="BJ13373" s="25"/>
      <c r="BK13373" s="25"/>
    </row>
    <row r="13374" spans="60:63" ht="14.25" x14ac:dyDescent="0.2">
      <c r="BH13374" s="25"/>
      <c r="BI13374" s="25"/>
      <c r="BJ13374" s="25"/>
      <c r="BK13374" s="25"/>
    </row>
    <row r="13375" spans="60:63" ht="14.25" x14ac:dyDescent="0.2">
      <c r="BH13375" s="25"/>
      <c r="BI13375" s="25"/>
      <c r="BJ13375" s="25"/>
      <c r="BK13375" s="25"/>
    </row>
    <row r="13376" spans="60:63" ht="14.25" x14ac:dyDescent="0.2">
      <c r="BH13376" s="25"/>
      <c r="BI13376" s="25"/>
      <c r="BJ13376" s="25"/>
      <c r="BK13376" s="25"/>
    </row>
    <row r="13377" spans="60:63" ht="14.25" x14ac:dyDescent="0.2">
      <c r="BH13377" s="25"/>
      <c r="BI13377" s="25"/>
      <c r="BJ13377" s="25"/>
      <c r="BK13377" s="25"/>
    </row>
    <row r="13378" spans="60:63" ht="14.25" x14ac:dyDescent="0.2">
      <c r="BH13378" s="25"/>
      <c r="BI13378" s="25"/>
      <c r="BJ13378" s="25"/>
      <c r="BK13378" s="25"/>
    </row>
    <row r="13379" spans="60:63" ht="14.25" x14ac:dyDescent="0.2">
      <c r="BH13379" s="25"/>
      <c r="BI13379" s="25"/>
      <c r="BJ13379" s="25"/>
      <c r="BK13379" s="25"/>
    </row>
    <row r="13380" spans="60:63" ht="14.25" x14ac:dyDescent="0.2">
      <c r="BH13380" s="25"/>
      <c r="BI13380" s="25"/>
      <c r="BJ13380" s="25"/>
      <c r="BK13380" s="25"/>
    </row>
    <row r="13381" spans="60:63" ht="14.25" x14ac:dyDescent="0.2">
      <c r="BH13381" s="25"/>
      <c r="BI13381" s="25"/>
      <c r="BJ13381" s="25"/>
      <c r="BK13381" s="25"/>
    </row>
    <row r="13382" spans="60:63" ht="14.25" x14ac:dyDescent="0.2">
      <c r="BH13382" s="25"/>
      <c r="BI13382" s="25"/>
      <c r="BJ13382" s="25"/>
      <c r="BK13382" s="25"/>
    </row>
    <row r="13383" spans="60:63" ht="14.25" x14ac:dyDescent="0.2">
      <c r="BH13383" s="25"/>
      <c r="BI13383" s="25"/>
      <c r="BJ13383" s="25"/>
      <c r="BK13383" s="25"/>
    </row>
    <row r="13384" spans="60:63" ht="14.25" x14ac:dyDescent="0.2">
      <c r="BH13384" s="25"/>
      <c r="BI13384" s="25"/>
      <c r="BJ13384" s="25"/>
      <c r="BK13384" s="25"/>
    </row>
    <row r="13385" spans="60:63" ht="14.25" x14ac:dyDescent="0.2">
      <c r="BH13385" s="25"/>
      <c r="BI13385" s="25"/>
      <c r="BJ13385" s="25"/>
      <c r="BK13385" s="25"/>
    </row>
    <row r="13386" spans="60:63" ht="14.25" x14ac:dyDescent="0.2">
      <c r="BH13386" s="25"/>
      <c r="BI13386" s="25"/>
      <c r="BJ13386" s="25"/>
      <c r="BK13386" s="25"/>
    </row>
    <row r="13387" spans="60:63" ht="14.25" x14ac:dyDescent="0.2">
      <c r="BH13387" s="25"/>
      <c r="BI13387" s="25"/>
      <c r="BJ13387" s="25"/>
      <c r="BK13387" s="25"/>
    </row>
    <row r="13388" spans="60:63" ht="14.25" x14ac:dyDescent="0.2">
      <c r="BH13388" s="25"/>
      <c r="BI13388" s="25"/>
      <c r="BJ13388" s="25"/>
      <c r="BK13388" s="25"/>
    </row>
    <row r="13389" spans="60:63" ht="14.25" x14ac:dyDescent="0.2">
      <c r="BH13389" s="25"/>
      <c r="BI13389" s="25"/>
      <c r="BJ13389" s="25"/>
      <c r="BK13389" s="25"/>
    </row>
    <row r="13390" spans="60:63" ht="14.25" x14ac:dyDescent="0.2">
      <c r="BH13390" s="25"/>
      <c r="BI13390" s="25"/>
      <c r="BJ13390" s="25"/>
      <c r="BK13390" s="25"/>
    </row>
    <row r="13391" spans="60:63" ht="14.25" x14ac:dyDescent="0.2">
      <c r="BH13391" s="25"/>
      <c r="BI13391" s="25"/>
      <c r="BJ13391" s="25"/>
      <c r="BK13391" s="25"/>
    </row>
    <row r="13392" spans="60:63" ht="14.25" x14ac:dyDescent="0.2">
      <c r="BH13392" s="25"/>
      <c r="BI13392" s="25"/>
      <c r="BJ13392" s="25"/>
      <c r="BK13392" s="25"/>
    </row>
    <row r="13393" spans="60:63" ht="14.25" x14ac:dyDescent="0.2">
      <c r="BH13393" s="25"/>
      <c r="BI13393" s="25"/>
      <c r="BJ13393" s="25"/>
      <c r="BK13393" s="25"/>
    </row>
    <row r="13394" spans="60:63" ht="14.25" x14ac:dyDescent="0.2">
      <c r="BH13394" s="25"/>
      <c r="BI13394" s="25"/>
      <c r="BJ13394" s="25"/>
      <c r="BK13394" s="25"/>
    </row>
    <row r="13395" spans="60:63" ht="14.25" x14ac:dyDescent="0.2">
      <c r="BH13395" s="25"/>
      <c r="BI13395" s="25"/>
      <c r="BJ13395" s="25"/>
      <c r="BK13395" s="25"/>
    </row>
    <row r="13396" spans="60:63" ht="14.25" x14ac:dyDescent="0.2">
      <c r="BH13396" s="25"/>
      <c r="BI13396" s="25"/>
      <c r="BJ13396" s="25"/>
      <c r="BK13396" s="25"/>
    </row>
    <row r="13397" spans="60:63" ht="14.25" x14ac:dyDescent="0.2">
      <c r="BH13397" s="25"/>
      <c r="BI13397" s="25"/>
      <c r="BJ13397" s="25"/>
      <c r="BK13397" s="25"/>
    </row>
    <row r="13398" spans="60:63" ht="14.25" x14ac:dyDescent="0.2">
      <c r="BH13398" s="25"/>
      <c r="BI13398" s="25"/>
      <c r="BJ13398" s="25"/>
      <c r="BK13398" s="25"/>
    </row>
    <row r="13399" spans="60:63" ht="14.25" x14ac:dyDescent="0.2">
      <c r="BH13399" s="25"/>
      <c r="BI13399" s="25"/>
      <c r="BJ13399" s="25"/>
      <c r="BK13399" s="25"/>
    </row>
    <row r="13400" spans="60:63" ht="14.25" x14ac:dyDescent="0.2">
      <c r="BH13400" s="25"/>
      <c r="BI13400" s="25"/>
      <c r="BJ13400" s="25"/>
      <c r="BK13400" s="25"/>
    </row>
    <row r="13401" spans="60:63" ht="14.25" x14ac:dyDescent="0.2">
      <c r="BH13401" s="25"/>
      <c r="BI13401" s="25"/>
      <c r="BJ13401" s="25"/>
      <c r="BK13401" s="25"/>
    </row>
    <row r="13402" spans="60:63" ht="14.25" x14ac:dyDescent="0.2">
      <c r="BH13402" s="25"/>
      <c r="BI13402" s="25"/>
      <c r="BJ13402" s="25"/>
      <c r="BK13402" s="25"/>
    </row>
    <row r="13403" spans="60:63" ht="14.25" x14ac:dyDescent="0.2">
      <c r="BH13403" s="25"/>
      <c r="BI13403" s="25"/>
      <c r="BJ13403" s="25"/>
      <c r="BK13403" s="25"/>
    </row>
    <row r="13404" spans="60:63" ht="14.25" x14ac:dyDescent="0.2">
      <c r="BH13404" s="25"/>
      <c r="BI13404" s="25"/>
      <c r="BJ13404" s="25"/>
      <c r="BK13404" s="25"/>
    </row>
    <row r="13405" spans="60:63" ht="14.25" x14ac:dyDescent="0.2">
      <c r="BH13405" s="25"/>
      <c r="BI13405" s="25"/>
      <c r="BJ13405" s="25"/>
      <c r="BK13405" s="25"/>
    </row>
    <row r="13406" spans="60:63" ht="14.25" x14ac:dyDescent="0.2">
      <c r="BH13406" s="25"/>
      <c r="BI13406" s="25"/>
      <c r="BJ13406" s="25"/>
      <c r="BK13406" s="25"/>
    </row>
    <row r="13407" spans="60:63" ht="14.25" x14ac:dyDescent="0.2">
      <c r="BH13407" s="25"/>
      <c r="BI13407" s="25"/>
      <c r="BJ13407" s="25"/>
      <c r="BK13407" s="25"/>
    </row>
    <row r="13408" spans="60:63" ht="14.25" x14ac:dyDescent="0.2">
      <c r="BH13408" s="25"/>
      <c r="BI13408" s="25"/>
      <c r="BJ13408" s="25"/>
      <c r="BK13408" s="25"/>
    </row>
    <row r="13409" spans="60:63" ht="14.25" x14ac:dyDescent="0.2">
      <c r="BH13409" s="25"/>
      <c r="BI13409" s="25"/>
      <c r="BJ13409" s="25"/>
      <c r="BK13409" s="25"/>
    </row>
    <row r="13410" spans="60:63" ht="14.25" x14ac:dyDescent="0.2">
      <c r="BH13410" s="25"/>
      <c r="BI13410" s="25"/>
      <c r="BJ13410" s="25"/>
      <c r="BK13410" s="25"/>
    </row>
    <row r="13411" spans="60:63" ht="14.25" x14ac:dyDescent="0.2">
      <c r="BH13411" s="25"/>
      <c r="BI13411" s="25"/>
      <c r="BJ13411" s="25"/>
      <c r="BK13411" s="25"/>
    </row>
    <row r="13412" spans="60:63" ht="14.25" x14ac:dyDescent="0.2">
      <c r="BH13412" s="25"/>
      <c r="BI13412" s="25"/>
      <c r="BJ13412" s="25"/>
      <c r="BK13412" s="25"/>
    </row>
    <row r="13413" spans="60:63" ht="14.25" x14ac:dyDescent="0.2">
      <c r="BH13413" s="25"/>
      <c r="BI13413" s="25"/>
      <c r="BJ13413" s="25"/>
      <c r="BK13413" s="25"/>
    </row>
    <row r="13414" spans="60:63" ht="14.25" x14ac:dyDescent="0.2">
      <c r="BH13414" s="25"/>
      <c r="BI13414" s="25"/>
      <c r="BJ13414" s="25"/>
      <c r="BK13414" s="25"/>
    </row>
    <row r="13415" spans="60:63" ht="14.25" x14ac:dyDescent="0.2">
      <c r="BH13415" s="25"/>
      <c r="BI13415" s="25"/>
      <c r="BJ13415" s="25"/>
      <c r="BK13415" s="25"/>
    </row>
    <row r="13416" spans="60:63" ht="14.25" x14ac:dyDescent="0.2">
      <c r="BH13416" s="25"/>
      <c r="BI13416" s="25"/>
      <c r="BJ13416" s="25"/>
      <c r="BK13416" s="25"/>
    </row>
    <row r="13417" spans="60:63" ht="14.25" x14ac:dyDescent="0.2">
      <c r="BH13417" s="25"/>
      <c r="BI13417" s="25"/>
      <c r="BJ13417" s="25"/>
      <c r="BK13417" s="25"/>
    </row>
    <row r="13418" spans="60:63" ht="14.25" x14ac:dyDescent="0.2">
      <c r="BH13418" s="25"/>
      <c r="BI13418" s="25"/>
      <c r="BJ13418" s="25"/>
      <c r="BK13418" s="25"/>
    </row>
    <row r="13419" spans="60:63" ht="14.25" x14ac:dyDescent="0.2">
      <c r="BH13419" s="25"/>
      <c r="BI13419" s="25"/>
      <c r="BJ13419" s="25"/>
      <c r="BK13419" s="25"/>
    </row>
    <row r="13420" spans="60:63" ht="14.25" x14ac:dyDescent="0.2">
      <c r="BH13420" s="25"/>
      <c r="BI13420" s="25"/>
      <c r="BJ13420" s="25"/>
      <c r="BK13420" s="25"/>
    </row>
    <row r="13421" spans="60:63" ht="14.25" x14ac:dyDescent="0.2">
      <c r="BH13421" s="25"/>
      <c r="BI13421" s="25"/>
      <c r="BJ13421" s="25"/>
      <c r="BK13421" s="25"/>
    </row>
    <row r="13422" spans="60:63" ht="14.25" x14ac:dyDescent="0.2">
      <c r="BH13422" s="25"/>
      <c r="BI13422" s="25"/>
      <c r="BJ13422" s="25"/>
      <c r="BK13422" s="25"/>
    </row>
    <row r="13423" spans="60:63" ht="14.25" x14ac:dyDescent="0.2">
      <c r="BH13423" s="25"/>
      <c r="BI13423" s="25"/>
      <c r="BJ13423" s="25"/>
      <c r="BK13423" s="25"/>
    </row>
    <row r="13424" spans="60:63" ht="14.25" x14ac:dyDescent="0.2">
      <c r="BH13424" s="25"/>
      <c r="BI13424" s="25"/>
      <c r="BJ13424" s="25"/>
      <c r="BK13424" s="25"/>
    </row>
    <row r="13425" spans="60:63" ht="14.25" x14ac:dyDescent="0.2">
      <c r="BH13425" s="25"/>
      <c r="BI13425" s="25"/>
      <c r="BJ13425" s="25"/>
      <c r="BK13425" s="25"/>
    </row>
    <row r="13426" spans="60:63" ht="14.25" x14ac:dyDescent="0.2">
      <c r="BH13426" s="25"/>
      <c r="BI13426" s="25"/>
      <c r="BJ13426" s="25"/>
      <c r="BK13426" s="25"/>
    </row>
    <row r="13427" spans="60:63" ht="14.25" x14ac:dyDescent="0.2">
      <c r="BH13427" s="25"/>
      <c r="BI13427" s="25"/>
      <c r="BJ13427" s="25"/>
      <c r="BK13427" s="25"/>
    </row>
    <row r="13428" spans="60:63" ht="14.25" x14ac:dyDescent="0.2">
      <c r="BH13428" s="25"/>
      <c r="BI13428" s="25"/>
      <c r="BJ13428" s="25"/>
      <c r="BK13428" s="25"/>
    </row>
    <row r="13429" spans="60:63" ht="14.25" x14ac:dyDescent="0.2">
      <c r="BH13429" s="25"/>
      <c r="BI13429" s="25"/>
      <c r="BJ13429" s="25"/>
      <c r="BK13429" s="25"/>
    </row>
    <row r="13430" spans="60:63" ht="14.25" x14ac:dyDescent="0.2">
      <c r="BH13430" s="25"/>
      <c r="BI13430" s="25"/>
      <c r="BJ13430" s="25"/>
      <c r="BK13430" s="25"/>
    </row>
    <row r="13431" spans="60:63" ht="14.25" x14ac:dyDescent="0.2">
      <c r="BH13431" s="25"/>
      <c r="BI13431" s="25"/>
      <c r="BJ13431" s="25"/>
      <c r="BK13431" s="25"/>
    </row>
    <row r="13432" spans="60:63" ht="14.25" x14ac:dyDescent="0.2">
      <c r="BH13432" s="25"/>
      <c r="BI13432" s="25"/>
      <c r="BJ13432" s="25"/>
      <c r="BK13432" s="25"/>
    </row>
    <row r="13433" spans="60:63" ht="14.25" x14ac:dyDescent="0.2">
      <c r="BH13433" s="25"/>
      <c r="BI13433" s="25"/>
      <c r="BJ13433" s="25"/>
      <c r="BK13433" s="25"/>
    </row>
    <row r="13434" spans="60:63" ht="14.25" x14ac:dyDescent="0.2">
      <c r="BH13434" s="25"/>
      <c r="BI13434" s="25"/>
      <c r="BJ13434" s="25"/>
      <c r="BK13434" s="25"/>
    </row>
    <row r="13435" spans="60:63" ht="14.25" x14ac:dyDescent="0.2">
      <c r="BH13435" s="25"/>
      <c r="BI13435" s="25"/>
      <c r="BJ13435" s="25"/>
      <c r="BK13435" s="25"/>
    </row>
    <row r="13436" spans="60:63" ht="14.25" x14ac:dyDescent="0.2">
      <c r="BH13436" s="25"/>
      <c r="BI13436" s="25"/>
      <c r="BJ13436" s="25"/>
      <c r="BK13436" s="25"/>
    </row>
    <row r="13437" spans="60:63" ht="14.25" x14ac:dyDescent="0.2">
      <c r="BH13437" s="25"/>
      <c r="BI13437" s="25"/>
      <c r="BJ13437" s="25"/>
      <c r="BK13437" s="25"/>
    </row>
    <row r="13438" spans="60:63" ht="14.25" x14ac:dyDescent="0.2">
      <c r="BH13438" s="25"/>
      <c r="BI13438" s="25"/>
      <c r="BJ13438" s="25"/>
      <c r="BK13438" s="25"/>
    </row>
    <row r="13439" spans="60:63" ht="14.25" x14ac:dyDescent="0.2">
      <c r="BH13439" s="25"/>
      <c r="BI13439" s="25"/>
      <c r="BJ13439" s="25"/>
      <c r="BK13439" s="25"/>
    </row>
    <row r="13440" spans="60:63" ht="14.25" x14ac:dyDescent="0.2">
      <c r="BH13440" s="25"/>
      <c r="BI13440" s="25"/>
      <c r="BJ13440" s="25"/>
      <c r="BK13440" s="25"/>
    </row>
    <row r="13441" spans="60:63" ht="14.25" x14ac:dyDescent="0.2">
      <c r="BH13441" s="25"/>
      <c r="BI13441" s="25"/>
      <c r="BJ13441" s="25"/>
      <c r="BK13441" s="25"/>
    </row>
    <row r="13442" spans="60:63" ht="14.25" x14ac:dyDescent="0.2">
      <c r="BH13442" s="25"/>
      <c r="BI13442" s="25"/>
      <c r="BJ13442" s="25"/>
      <c r="BK13442" s="25"/>
    </row>
    <row r="13443" spans="60:63" ht="14.25" x14ac:dyDescent="0.2">
      <c r="BH13443" s="25"/>
      <c r="BI13443" s="25"/>
      <c r="BJ13443" s="25"/>
      <c r="BK13443" s="25"/>
    </row>
    <row r="13444" spans="60:63" ht="14.25" x14ac:dyDescent="0.2">
      <c r="BH13444" s="25"/>
      <c r="BI13444" s="25"/>
      <c r="BJ13444" s="25"/>
      <c r="BK13444" s="25"/>
    </row>
    <row r="13445" spans="60:63" ht="14.25" x14ac:dyDescent="0.2">
      <c r="BH13445" s="25"/>
      <c r="BI13445" s="25"/>
      <c r="BJ13445" s="25"/>
      <c r="BK13445" s="25"/>
    </row>
    <row r="13446" spans="60:63" ht="14.25" x14ac:dyDescent="0.2">
      <c r="BH13446" s="25"/>
      <c r="BI13446" s="25"/>
      <c r="BJ13446" s="25"/>
      <c r="BK13446" s="25"/>
    </row>
    <row r="13447" spans="60:63" ht="14.25" x14ac:dyDescent="0.2">
      <c r="BH13447" s="25"/>
      <c r="BI13447" s="25"/>
      <c r="BJ13447" s="25"/>
      <c r="BK13447" s="25"/>
    </row>
    <row r="13448" spans="60:63" ht="14.25" x14ac:dyDescent="0.2">
      <c r="BH13448" s="25"/>
      <c r="BI13448" s="25"/>
      <c r="BJ13448" s="25"/>
      <c r="BK13448" s="25"/>
    </row>
    <row r="13449" spans="60:63" ht="14.25" x14ac:dyDescent="0.2">
      <c r="BH13449" s="25"/>
      <c r="BI13449" s="25"/>
      <c r="BJ13449" s="25"/>
      <c r="BK13449" s="25"/>
    </row>
    <row r="13450" spans="60:63" ht="14.25" x14ac:dyDescent="0.2">
      <c r="BH13450" s="25"/>
      <c r="BI13450" s="25"/>
      <c r="BJ13450" s="25"/>
      <c r="BK13450" s="25"/>
    </row>
    <row r="13451" spans="60:63" ht="14.25" x14ac:dyDescent="0.2">
      <c r="BH13451" s="25"/>
      <c r="BI13451" s="25"/>
      <c r="BJ13451" s="25"/>
      <c r="BK13451" s="25"/>
    </row>
    <row r="13452" spans="60:63" ht="14.25" x14ac:dyDescent="0.2">
      <c r="BH13452" s="25"/>
      <c r="BI13452" s="25"/>
      <c r="BJ13452" s="25"/>
      <c r="BK13452" s="25"/>
    </row>
    <row r="13453" spans="60:63" ht="14.25" x14ac:dyDescent="0.2">
      <c r="BH13453" s="25"/>
      <c r="BI13453" s="25"/>
      <c r="BJ13453" s="25"/>
      <c r="BK13453" s="25"/>
    </row>
    <row r="13454" spans="60:63" ht="14.25" x14ac:dyDescent="0.2">
      <c r="BH13454" s="25"/>
      <c r="BI13454" s="25"/>
      <c r="BJ13454" s="25"/>
      <c r="BK13454" s="25"/>
    </row>
    <row r="13455" spans="60:63" ht="14.25" x14ac:dyDescent="0.2">
      <c r="BH13455" s="25"/>
      <c r="BI13455" s="25"/>
      <c r="BJ13455" s="25"/>
      <c r="BK13455" s="25"/>
    </row>
    <row r="13456" spans="60:63" ht="14.25" x14ac:dyDescent="0.2">
      <c r="BH13456" s="25"/>
      <c r="BI13456" s="25"/>
      <c r="BJ13456" s="25"/>
      <c r="BK13456" s="25"/>
    </row>
    <row r="13457" spans="60:63" ht="14.25" x14ac:dyDescent="0.2">
      <c r="BH13457" s="25"/>
      <c r="BI13457" s="25"/>
      <c r="BJ13457" s="25"/>
      <c r="BK13457" s="25"/>
    </row>
    <row r="13458" spans="60:63" ht="14.25" x14ac:dyDescent="0.2">
      <c r="BH13458" s="25"/>
      <c r="BI13458" s="25"/>
      <c r="BJ13458" s="25"/>
      <c r="BK13458" s="25"/>
    </row>
    <row r="13459" spans="60:63" ht="14.25" x14ac:dyDescent="0.2">
      <c r="BH13459" s="25"/>
      <c r="BI13459" s="25"/>
      <c r="BJ13459" s="25"/>
      <c r="BK13459" s="25"/>
    </row>
    <row r="13460" spans="60:63" ht="14.25" x14ac:dyDescent="0.2">
      <c r="BH13460" s="25"/>
      <c r="BI13460" s="25"/>
      <c r="BJ13460" s="25"/>
      <c r="BK13460" s="25"/>
    </row>
    <row r="13461" spans="60:63" ht="14.25" x14ac:dyDescent="0.2">
      <c r="BH13461" s="25"/>
      <c r="BI13461" s="25"/>
      <c r="BJ13461" s="25"/>
      <c r="BK13461" s="25"/>
    </row>
    <row r="13462" spans="60:63" ht="14.25" x14ac:dyDescent="0.2">
      <c r="BH13462" s="25"/>
      <c r="BI13462" s="25"/>
      <c r="BJ13462" s="25"/>
      <c r="BK13462" s="25"/>
    </row>
    <row r="13463" spans="60:63" ht="14.25" x14ac:dyDescent="0.2">
      <c r="BH13463" s="25"/>
      <c r="BI13463" s="25"/>
      <c r="BJ13463" s="25"/>
      <c r="BK13463" s="25"/>
    </row>
    <row r="13464" spans="60:63" ht="14.25" x14ac:dyDescent="0.2">
      <c r="BH13464" s="25"/>
      <c r="BI13464" s="25"/>
      <c r="BJ13464" s="25"/>
      <c r="BK13464" s="25"/>
    </row>
    <row r="13465" spans="60:63" ht="14.25" x14ac:dyDescent="0.2">
      <c r="BH13465" s="25"/>
      <c r="BI13465" s="25"/>
      <c r="BJ13465" s="25"/>
      <c r="BK13465" s="25"/>
    </row>
    <row r="13466" spans="60:63" ht="14.25" x14ac:dyDescent="0.2">
      <c r="BH13466" s="25"/>
      <c r="BI13466" s="25"/>
      <c r="BJ13466" s="25"/>
      <c r="BK13466" s="25"/>
    </row>
    <row r="13467" spans="60:63" ht="14.25" x14ac:dyDescent="0.2">
      <c r="BH13467" s="25"/>
      <c r="BI13467" s="25"/>
      <c r="BJ13467" s="25"/>
      <c r="BK13467" s="25"/>
    </row>
    <row r="13468" spans="60:63" ht="14.25" x14ac:dyDescent="0.2">
      <c r="BH13468" s="25"/>
      <c r="BI13468" s="25"/>
      <c r="BJ13468" s="25"/>
      <c r="BK13468" s="25"/>
    </row>
    <row r="13469" spans="60:63" ht="14.25" x14ac:dyDescent="0.2">
      <c r="BH13469" s="25"/>
      <c r="BI13469" s="25"/>
      <c r="BJ13469" s="25"/>
      <c r="BK13469" s="25"/>
    </row>
    <row r="13470" spans="60:63" ht="14.25" x14ac:dyDescent="0.2">
      <c r="BH13470" s="25"/>
      <c r="BI13470" s="25"/>
      <c r="BJ13470" s="25"/>
      <c r="BK13470" s="25"/>
    </row>
    <row r="13471" spans="60:63" ht="14.25" x14ac:dyDescent="0.2">
      <c r="BH13471" s="25"/>
      <c r="BI13471" s="25"/>
      <c r="BJ13471" s="25"/>
      <c r="BK13471" s="25"/>
    </row>
    <row r="13472" spans="60:63" ht="14.25" x14ac:dyDescent="0.2">
      <c r="BH13472" s="25"/>
      <c r="BI13472" s="25"/>
      <c r="BJ13472" s="25"/>
      <c r="BK13472" s="25"/>
    </row>
    <row r="13473" spans="60:63" ht="14.25" x14ac:dyDescent="0.2">
      <c r="BH13473" s="25"/>
      <c r="BI13473" s="25"/>
      <c r="BJ13473" s="25"/>
      <c r="BK13473" s="25"/>
    </row>
    <row r="13474" spans="60:63" ht="14.25" x14ac:dyDescent="0.2">
      <c r="BH13474" s="25"/>
      <c r="BI13474" s="25"/>
      <c r="BJ13474" s="25"/>
      <c r="BK13474" s="25"/>
    </row>
    <row r="13475" spans="60:63" ht="14.25" x14ac:dyDescent="0.2">
      <c r="BH13475" s="25"/>
      <c r="BI13475" s="25"/>
      <c r="BJ13475" s="25"/>
      <c r="BK13475" s="25"/>
    </row>
    <row r="13476" spans="60:63" ht="14.25" x14ac:dyDescent="0.2">
      <c r="BH13476" s="25"/>
      <c r="BI13476" s="25"/>
      <c r="BJ13476" s="25"/>
      <c r="BK13476" s="25"/>
    </row>
    <row r="13477" spans="60:63" ht="14.25" x14ac:dyDescent="0.2">
      <c r="BH13477" s="25"/>
      <c r="BI13477" s="25"/>
      <c r="BJ13477" s="25"/>
      <c r="BK13477" s="25"/>
    </row>
    <row r="13478" spans="60:63" ht="14.25" x14ac:dyDescent="0.2">
      <c r="BH13478" s="25"/>
      <c r="BI13478" s="25"/>
      <c r="BJ13478" s="25"/>
      <c r="BK13478" s="25"/>
    </row>
    <row r="13479" spans="60:63" ht="14.25" x14ac:dyDescent="0.2">
      <c r="BH13479" s="25"/>
      <c r="BI13479" s="25"/>
      <c r="BJ13479" s="25"/>
      <c r="BK13479" s="25"/>
    </row>
    <row r="13480" spans="60:63" ht="14.25" x14ac:dyDescent="0.2">
      <c r="BH13480" s="25"/>
      <c r="BI13480" s="25"/>
      <c r="BJ13480" s="25"/>
      <c r="BK13480" s="25"/>
    </row>
    <row r="13481" spans="60:63" ht="14.25" x14ac:dyDescent="0.2">
      <c r="BH13481" s="25"/>
      <c r="BI13481" s="25"/>
      <c r="BJ13481" s="25"/>
      <c r="BK13481" s="25"/>
    </row>
    <row r="13482" spans="60:63" ht="14.25" x14ac:dyDescent="0.2">
      <c r="BH13482" s="25"/>
      <c r="BI13482" s="25"/>
      <c r="BJ13482" s="25"/>
      <c r="BK13482" s="25"/>
    </row>
    <row r="13483" spans="60:63" ht="14.25" x14ac:dyDescent="0.2">
      <c r="BH13483" s="25"/>
      <c r="BI13483" s="25"/>
      <c r="BJ13483" s="25"/>
      <c r="BK13483" s="25"/>
    </row>
    <row r="13484" spans="60:63" ht="14.25" x14ac:dyDescent="0.2">
      <c r="BH13484" s="25"/>
      <c r="BI13484" s="25"/>
      <c r="BJ13484" s="25"/>
      <c r="BK13484" s="25"/>
    </row>
    <row r="13485" spans="60:63" ht="14.25" x14ac:dyDescent="0.2">
      <c r="BH13485" s="25"/>
      <c r="BI13485" s="25"/>
      <c r="BJ13485" s="25"/>
      <c r="BK13485" s="25"/>
    </row>
    <row r="13486" spans="60:63" ht="14.25" x14ac:dyDescent="0.2">
      <c r="BH13486" s="25"/>
      <c r="BI13486" s="25"/>
      <c r="BJ13486" s="25"/>
      <c r="BK13486" s="25"/>
    </row>
    <row r="13487" spans="60:63" ht="14.25" x14ac:dyDescent="0.2">
      <c r="BH13487" s="25"/>
      <c r="BI13487" s="25"/>
      <c r="BJ13487" s="25"/>
      <c r="BK13487" s="25"/>
    </row>
    <row r="13488" spans="60:63" ht="14.25" x14ac:dyDescent="0.2">
      <c r="BH13488" s="25"/>
      <c r="BI13488" s="25"/>
      <c r="BJ13488" s="25"/>
      <c r="BK13488" s="25"/>
    </row>
    <row r="13489" spans="60:63" ht="14.25" x14ac:dyDescent="0.2">
      <c r="BH13489" s="25"/>
      <c r="BI13489" s="25"/>
      <c r="BJ13489" s="25"/>
      <c r="BK13489" s="25"/>
    </row>
    <row r="13490" spans="60:63" ht="14.25" x14ac:dyDescent="0.2">
      <c r="BH13490" s="25"/>
      <c r="BI13490" s="25"/>
      <c r="BJ13490" s="25"/>
      <c r="BK13490" s="25"/>
    </row>
    <row r="13491" spans="60:63" ht="14.25" x14ac:dyDescent="0.2">
      <c r="BH13491" s="25"/>
      <c r="BI13491" s="25"/>
      <c r="BJ13491" s="25"/>
      <c r="BK13491" s="25"/>
    </row>
    <row r="13492" spans="60:63" ht="14.25" x14ac:dyDescent="0.2">
      <c r="BH13492" s="25"/>
      <c r="BI13492" s="25"/>
      <c r="BJ13492" s="25"/>
      <c r="BK13492" s="25"/>
    </row>
    <row r="13493" spans="60:63" ht="14.25" x14ac:dyDescent="0.2">
      <c r="BH13493" s="25"/>
      <c r="BI13493" s="25"/>
      <c r="BJ13493" s="25"/>
      <c r="BK13493" s="25"/>
    </row>
    <row r="13494" spans="60:63" ht="14.25" x14ac:dyDescent="0.2">
      <c r="BH13494" s="25"/>
      <c r="BI13494" s="25"/>
      <c r="BJ13494" s="25"/>
      <c r="BK13494" s="25"/>
    </row>
    <row r="13495" spans="60:63" ht="14.25" x14ac:dyDescent="0.2">
      <c r="BH13495" s="25"/>
      <c r="BI13495" s="25"/>
      <c r="BJ13495" s="25"/>
      <c r="BK13495" s="25"/>
    </row>
    <row r="13496" spans="60:63" ht="14.25" x14ac:dyDescent="0.2">
      <c r="BH13496" s="25"/>
      <c r="BI13496" s="25"/>
      <c r="BJ13496" s="25"/>
      <c r="BK13496" s="25"/>
    </row>
    <row r="13497" spans="60:63" ht="14.25" x14ac:dyDescent="0.2">
      <c r="BH13497" s="25"/>
      <c r="BI13497" s="25"/>
      <c r="BJ13497" s="25"/>
      <c r="BK13497" s="25"/>
    </row>
    <row r="13498" spans="60:63" ht="14.25" x14ac:dyDescent="0.2">
      <c r="BH13498" s="25"/>
      <c r="BI13498" s="25"/>
      <c r="BJ13498" s="25"/>
      <c r="BK13498" s="25"/>
    </row>
    <row r="13499" spans="60:63" ht="14.25" x14ac:dyDescent="0.2">
      <c r="BH13499" s="25"/>
      <c r="BI13499" s="25"/>
      <c r="BJ13499" s="25"/>
      <c r="BK13499" s="25"/>
    </row>
    <row r="13500" spans="60:63" ht="14.25" x14ac:dyDescent="0.2">
      <c r="BH13500" s="25"/>
      <c r="BI13500" s="25"/>
      <c r="BJ13500" s="25"/>
      <c r="BK13500" s="25"/>
    </row>
    <row r="13501" spans="60:63" ht="14.25" x14ac:dyDescent="0.2">
      <c r="BH13501" s="25"/>
      <c r="BI13501" s="25"/>
      <c r="BJ13501" s="25"/>
      <c r="BK13501" s="25"/>
    </row>
    <row r="13502" spans="60:63" ht="14.25" x14ac:dyDescent="0.2">
      <c r="BH13502" s="25"/>
      <c r="BI13502" s="25"/>
      <c r="BJ13502" s="25"/>
      <c r="BK13502" s="25"/>
    </row>
    <row r="13503" spans="60:63" ht="14.25" x14ac:dyDescent="0.2">
      <c r="BH13503" s="25"/>
      <c r="BI13503" s="25"/>
      <c r="BJ13503" s="25"/>
      <c r="BK13503" s="25"/>
    </row>
    <row r="13504" spans="60:63" ht="14.25" x14ac:dyDescent="0.2">
      <c r="BH13504" s="25"/>
      <c r="BI13504" s="25"/>
      <c r="BJ13504" s="25"/>
      <c r="BK13504" s="25"/>
    </row>
    <row r="13505" spans="60:63" ht="14.25" x14ac:dyDescent="0.2">
      <c r="BH13505" s="25"/>
      <c r="BI13505" s="25"/>
      <c r="BJ13505" s="25"/>
      <c r="BK13505" s="25"/>
    </row>
    <row r="13506" spans="60:63" ht="14.25" x14ac:dyDescent="0.2">
      <c r="BH13506" s="25"/>
      <c r="BI13506" s="25"/>
      <c r="BJ13506" s="25"/>
      <c r="BK13506" s="25"/>
    </row>
    <row r="13507" spans="60:63" ht="14.25" x14ac:dyDescent="0.2">
      <c r="BH13507" s="25"/>
      <c r="BI13507" s="25"/>
      <c r="BJ13507" s="25"/>
      <c r="BK13507" s="25"/>
    </row>
    <row r="13508" spans="60:63" ht="14.25" x14ac:dyDescent="0.2">
      <c r="BH13508" s="25"/>
      <c r="BI13508" s="25"/>
      <c r="BJ13508" s="25"/>
      <c r="BK13508" s="25"/>
    </row>
    <row r="13509" spans="60:63" ht="14.25" x14ac:dyDescent="0.2">
      <c r="BH13509" s="25"/>
      <c r="BI13509" s="25"/>
      <c r="BJ13509" s="25"/>
      <c r="BK13509" s="25"/>
    </row>
    <row r="13510" spans="60:63" ht="14.25" x14ac:dyDescent="0.2">
      <c r="BH13510" s="25"/>
      <c r="BI13510" s="25"/>
      <c r="BJ13510" s="25"/>
      <c r="BK13510" s="25"/>
    </row>
    <row r="13511" spans="60:63" ht="14.25" x14ac:dyDescent="0.2">
      <c r="BH13511" s="25"/>
      <c r="BI13511" s="25"/>
      <c r="BJ13511" s="25"/>
      <c r="BK13511" s="25"/>
    </row>
    <row r="13512" spans="60:63" ht="14.25" x14ac:dyDescent="0.2">
      <c r="BH13512" s="25"/>
      <c r="BI13512" s="25"/>
      <c r="BJ13512" s="25"/>
      <c r="BK13512" s="25"/>
    </row>
    <row r="13513" spans="60:63" ht="14.25" x14ac:dyDescent="0.2">
      <c r="BH13513" s="25"/>
      <c r="BI13513" s="25"/>
      <c r="BJ13513" s="25"/>
      <c r="BK13513" s="25"/>
    </row>
    <row r="13514" spans="60:63" ht="14.25" x14ac:dyDescent="0.2">
      <c r="BH13514" s="25"/>
      <c r="BI13514" s="25"/>
      <c r="BJ13514" s="25"/>
      <c r="BK13514" s="25"/>
    </row>
    <row r="13515" spans="60:63" ht="14.25" x14ac:dyDescent="0.2">
      <c r="BH13515" s="25"/>
      <c r="BI13515" s="25"/>
      <c r="BJ13515" s="25"/>
      <c r="BK13515" s="25"/>
    </row>
    <row r="13516" spans="60:63" ht="14.25" x14ac:dyDescent="0.2">
      <c r="BH13516" s="25"/>
      <c r="BI13516" s="25"/>
      <c r="BJ13516" s="25"/>
      <c r="BK13516" s="25"/>
    </row>
    <row r="13517" spans="60:63" ht="14.25" x14ac:dyDescent="0.2">
      <c r="BH13517" s="25"/>
      <c r="BI13517" s="25"/>
      <c r="BJ13517" s="25"/>
      <c r="BK13517" s="25"/>
    </row>
    <row r="13518" spans="60:63" ht="14.25" x14ac:dyDescent="0.2">
      <c r="BH13518" s="25"/>
      <c r="BI13518" s="25"/>
      <c r="BJ13518" s="25"/>
      <c r="BK13518" s="25"/>
    </row>
    <row r="13519" spans="60:63" ht="14.25" x14ac:dyDescent="0.2">
      <c r="BH13519" s="25"/>
      <c r="BI13519" s="25"/>
      <c r="BJ13519" s="25"/>
      <c r="BK13519" s="25"/>
    </row>
    <row r="13520" spans="60:63" ht="14.25" x14ac:dyDescent="0.2">
      <c r="BH13520" s="25"/>
      <c r="BI13520" s="25"/>
      <c r="BJ13520" s="25"/>
      <c r="BK13520" s="25"/>
    </row>
    <row r="13521" spans="60:63" ht="14.25" x14ac:dyDescent="0.2">
      <c r="BH13521" s="25"/>
      <c r="BI13521" s="25"/>
      <c r="BJ13521" s="25"/>
      <c r="BK13521" s="25"/>
    </row>
    <row r="13522" spans="60:63" ht="14.25" x14ac:dyDescent="0.2">
      <c r="BH13522" s="25"/>
      <c r="BI13522" s="25"/>
      <c r="BJ13522" s="25"/>
      <c r="BK13522" s="25"/>
    </row>
    <row r="13523" spans="60:63" ht="14.25" x14ac:dyDescent="0.2">
      <c r="BH13523" s="25"/>
      <c r="BI13523" s="25"/>
      <c r="BJ13523" s="25"/>
      <c r="BK13523" s="25"/>
    </row>
    <row r="13524" spans="60:63" ht="14.25" x14ac:dyDescent="0.2">
      <c r="BH13524" s="25"/>
      <c r="BI13524" s="25"/>
      <c r="BJ13524" s="25"/>
      <c r="BK13524" s="25"/>
    </row>
    <row r="13525" spans="60:63" ht="14.25" x14ac:dyDescent="0.2">
      <c r="BH13525" s="25"/>
      <c r="BI13525" s="25"/>
      <c r="BJ13525" s="25"/>
      <c r="BK13525" s="25"/>
    </row>
    <row r="13526" spans="60:63" ht="14.25" x14ac:dyDescent="0.2">
      <c r="BH13526" s="25"/>
      <c r="BI13526" s="25"/>
      <c r="BJ13526" s="25"/>
      <c r="BK13526" s="25"/>
    </row>
    <row r="13527" spans="60:63" ht="14.25" x14ac:dyDescent="0.2">
      <c r="BH13527" s="25"/>
      <c r="BI13527" s="25"/>
      <c r="BJ13527" s="25"/>
      <c r="BK13527" s="25"/>
    </row>
    <row r="13528" spans="60:63" ht="14.25" x14ac:dyDescent="0.2">
      <c r="BH13528" s="25"/>
      <c r="BI13528" s="25"/>
      <c r="BJ13528" s="25"/>
      <c r="BK13528" s="25"/>
    </row>
    <row r="13529" spans="60:63" ht="14.25" x14ac:dyDescent="0.2">
      <c r="BH13529" s="25"/>
      <c r="BI13529" s="25"/>
      <c r="BJ13529" s="25"/>
      <c r="BK13529" s="25"/>
    </row>
    <row r="13530" spans="60:63" ht="14.25" x14ac:dyDescent="0.2">
      <c r="BH13530" s="25"/>
      <c r="BI13530" s="25"/>
      <c r="BJ13530" s="25"/>
      <c r="BK13530" s="25"/>
    </row>
    <row r="13531" spans="60:63" ht="14.25" x14ac:dyDescent="0.2">
      <c r="BH13531" s="25"/>
      <c r="BI13531" s="25"/>
      <c r="BJ13531" s="25"/>
      <c r="BK13531" s="25"/>
    </row>
    <row r="13532" spans="60:63" ht="14.25" x14ac:dyDescent="0.2">
      <c r="BH13532" s="25"/>
      <c r="BI13532" s="25"/>
      <c r="BJ13532" s="25"/>
      <c r="BK13532" s="25"/>
    </row>
    <row r="13533" spans="60:63" ht="14.25" x14ac:dyDescent="0.2">
      <c r="BH13533" s="25"/>
      <c r="BI13533" s="25"/>
      <c r="BJ13533" s="25"/>
      <c r="BK13533" s="25"/>
    </row>
    <row r="13534" spans="60:63" ht="14.25" x14ac:dyDescent="0.2">
      <c r="BH13534" s="25"/>
      <c r="BI13534" s="25"/>
      <c r="BJ13534" s="25"/>
      <c r="BK13534" s="25"/>
    </row>
    <row r="13535" spans="60:63" ht="14.25" x14ac:dyDescent="0.2">
      <c r="BH13535" s="25"/>
      <c r="BI13535" s="25"/>
      <c r="BJ13535" s="25"/>
      <c r="BK13535" s="25"/>
    </row>
    <row r="13536" spans="60:63" ht="14.25" x14ac:dyDescent="0.2">
      <c r="BH13536" s="25"/>
      <c r="BI13536" s="25"/>
      <c r="BJ13536" s="25"/>
      <c r="BK13536" s="25"/>
    </row>
    <row r="13537" spans="60:63" ht="14.25" x14ac:dyDescent="0.2">
      <c r="BH13537" s="25"/>
      <c r="BI13537" s="25"/>
      <c r="BJ13537" s="25"/>
      <c r="BK13537" s="25"/>
    </row>
    <row r="13538" spans="60:63" ht="14.25" x14ac:dyDescent="0.2">
      <c r="BH13538" s="25"/>
      <c r="BI13538" s="25"/>
      <c r="BJ13538" s="25"/>
      <c r="BK13538" s="25"/>
    </row>
    <row r="13539" spans="60:63" ht="14.25" x14ac:dyDescent="0.2">
      <c r="BH13539" s="25"/>
      <c r="BI13539" s="25"/>
      <c r="BJ13539" s="25"/>
      <c r="BK13539" s="25"/>
    </row>
    <row r="13540" spans="60:63" ht="14.25" x14ac:dyDescent="0.2">
      <c r="BH13540" s="25"/>
      <c r="BI13540" s="25"/>
      <c r="BJ13540" s="25"/>
      <c r="BK13540" s="25"/>
    </row>
    <row r="13541" spans="60:63" ht="14.25" x14ac:dyDescent="0.2">
      <c r="BH13541" s="25"/>
      <c r="BI13541" s="25"/>
      <c r="BJ13541" s="25"/>
      <c r="BK13541" s="25"/>
    </row>
    <row r="13542" spans="60:63" ht="14.25" x14ac:dyDescent="0.2">
      <c r="BH13542" s="25"/>
      <c r="BI13542" s="25"/>
      <c r="BJ13542" s="25"/>
      <c r="BK13542" s="25"/>
    </row>
    <row r="13543" spans="60:63" ht="14.25" x14ac:dyDescent="0.2">
      <c r="BH13543" s="25"/>
      <c r="BI13543" s="25"/>
      <c r="BJ13543" s="25"/>
      <c r="BK13543" s="25"/>
    </row>
    <row r="13544" spans="60:63" ht="14.25" x14ac:dyDescent="0.2">
      <c r="BH13544" s="25"/>
      <c r="BI13544" s="25"/>
      <c r="BJ13544" s="25"/>
      <c r="BK13544" s="25"/>
    </row>
    <row r="13545" spans="60:63" ht="14.25" x14ac:dyDescent="0.2">
      <c r="BH13545" s="25"/>
      <c r="BI13545" s="25"/>
      <c r="BJ13545" s="25"/>
      <c r="BK13545" s="25"/>
    </row>
    <row r="13546" spans="60:63" ht="14.25" x14ac:dyDescent="0.2">
      <c r="BH13546" s="25"/>
      <c r="BI13546" s="25"/>
      <c r="BJ13546" s="25"/>
      <c r="BK13546" s="25"/>
    </row>
    <row r="13547" spans="60:63" ht="14.25" x14ac:dyDescent="0.2">
      <c r="BH13547" s="25"/>
      <c r="BI13547" s="25"/>
      <c r="BJ13547" s="25"/>
      <c r="BK13547" s="25"/>
    </row>
    <row r="13548" spans="60:63" ht="14.25" x14ac:dyDescent="0.2">
      <c r="BH13548" s="25"/>
      <c r="BI13548" s="25"/>
      <c r="BJ13548" s="25"/>
      <c r="BK13548" s="25"/>
    </row>
    <row r="13549" spans="60:63" ht="14.25" x14ac:dyDescent="0.2">
      <c r="BH13549" s="25"/>
      <c r="BI13549" s="25"/>
      <c r="BJ13549" s="25"/>
      <c r="BK13549" s="25"/>
    </row>
    <row r="13550" spans="60:63" ht="14.25" x14ac:dyDescent="0.2">
      <c r="BH13550" s="25"/>
      <c r="BI13550" s="25"/>
      <c r="BJ13550" s="25"/>
      <c r="BK13550" s="25"/>
    </row>
    <row r="13551" spans="60:63" ht="14.25" x14ac:dyDescent="0.2">
      <c r="BH13551" s="25"/>
      <c r="BI13551" s="25"/>
      <c r="BJ13551" s="25"/>
      <c r="BK13551" s="25"/>
    </row>
    <row r="13552" spans="60:63" ht="14.25" x14ac:dyDescent="0.2">
      <c r="BH13552" s="25"/>
      <c r="BI13552" s="25"/>
      <c r="BJ13552" s="25"/>
      <c r="BK13552" s="25"/>
    </row>
    <row r="13553" spans="60:63" ht="14.25" x14ac:dyDescent="0.2">
      <c r="BH13553" s="25"/>
      <c r="BI13553" s="25"/>
      <c r="BJ13553" s="25"/>
      <c r="BK13553" s="25"/>
    </row>
    <row r="13554" spans="60:63" ht="14.25" x14ac:dyDescent="0.2">
      <c r="BH13554" s="25"/>
      <c r="BI13554" s="25"/>
      <c r="BJ13554" s="25"/>
      <c r="BK13554" s="25"/>
    </row>
    <row r="13555" spans="60:63" ht="14.25" x14ac:dyDescent="0.2">
      <c r="BH13555" s="25"/>
      <c r="BI13555" s="25"/>
      <c r="BJ13555" s="25"/>
      <c r="BK13555" s="25"/>
    </row>
    <row r="13556" spans="60:63" ht="14.25" x14ac:dyDescent="0.2">
      <c r="BH13556" s="25"/>
      <c r="BI13556" s="25"/>
      <c r="BJ13556" s="25"/>
      <c r="BK13556" s="25"/>
    </row>
    <row r="13557" spans="60:63" ht="14.25" x14ac:dyDescent="0.2">
      <c r="BH13557" s="25"/>
      <c r="BI13557" s="25"/>
      <c r="BJ13557" s="25"/>
      <c r="BK13557" s="25"/>
    </row>
    <row r="13558" spans="60:63" ht="14.25" x14ac:dyDescent="0.2">
      <c r="BH13558" s="25"/>
      <c r="BI13558" s="25"/>
      <c r="BJ13558" s="25"/>
      <c r="BK13558" s="25"/>
    </row>
    <row r="13559" spans="60:63" ht="14.25" x14ac:dyDescent="0.2">
      <c r="BH13559" s="25"/>
      <c r="BI13559" s="25"/>
      <c r="BJ13559" s="25"/>
      <c r="BK13559" s="25"/>
    </row>
    <row r="13560" spans="60:63" ht="14.25" x14ac:dyDescent="0.2">
      <c r="BH13560" s="25"/>
      <c r="BI13560" s="25"/>
      <c r="BJ13560" s="25"/>
      <c r="BK13560" s="25"/>
    </row>
    <row r="13561" spans="60:63" ht="14.25" x14ac:dyDescent="0.2">
      <c r="BH13561" s="25"/>
      <c r="BI13561" s="25"/>
      <c r="BJ13561" s="25"/>
      <c r="BK13561" s="25"/>
    </row>
    <row r="13562" spans="60:63" ht="14.25" x14ac:dyDescent="0.2">
      <c r="BH13562" s="25"/>
      <c r="BI13562" s="25"/>
      <c r="BJ13562" s="25"/>
      <c r="BK13562" s="25"/>
    </row>
    <row r="13563" spans="60:63" ht="14.25" x14ac:dyDescent="0.2">
      <c r="BH13563" s="25"/>
      <c r="BI13563" s="25"/>
      <c r="BJ13563" s="25"/>
      <c r="BK13563" s="25"/>
    </row>
    <row r="13564" spans="60:63" ht="14.25" x14ac:dyDescent="0.2">
      <c r="BH13564" s="25"/>
      <c r="BI13564" s="25"/>
      <c r="BJ13564" s="25"/>
      <c r="BK13564" s="25"/>
    </row>
    <row r="13565" spans="60:63" ht="14.25" x14ac:dyDescent="0.2">
      <c r="BH13565" s="25"/>
      <c r="BI13565" s="25"/>
      <c r="BJ13565" s="25"/>
      <c r="BK13565" s="25"/>
    </row>
    <row r="13566" spans="60:63" ht="14.25" x14ac:dyDescent="0.2">
      <c r="BH13566" s="25"/>
      <c r="BI13566" s="25"/>
      <c r="BJ13566" s="25"/>
      <c r="BK13566" s="25"/>
    </row>
    <row r="13567" spans="60:63" ht="14.25" x14ac:dyDescent="0.2">
      <c r="BH13567" s="25"/>
      <c r="BI13567" s="25"/>
      <c r="BJ13567" s="25"/>
      <c r="BK13567" s="25"/>
    </row>
    <row r="13568" spans="60:63" ht="14.25" x14ac:dyDescent="0.2">
      <c r="BH13568" s="25"/>
      <c r="BI13568" s="25"/>
      <c r="BJ13568" s="25"/>
      <c r="BK13568" s="25"/>
    </row>
    <row r="13569" spans="60:63" ht="14.25" x14ac:dyDescent="0.2">
      <c r="BH13569" s="25"/>
      <c r="BI13569" s="25"/>
      <c r="BJ13569" s="25"/>
      <c r="BK13569" s="25"/>
    </row>
    <row r="13570" spans="60:63" ht="14.25" x14ac:dyDescent="0.2">
      <c r="BH13570" s="25"/>
      <c r="BI13570" s="25"/>
      <c r="BJ13570" s="25"/>
      <c r="BK13570" s="25"/>
    </row>
    <row r="13571" spans="60:63" ht="14.25" x14ac:dyDescent="0.2">
      <c r="BH13571" s="25"/>
      <c r="BI13571" s="25"/>
      <c r="BJ13571" s="25"/>
      <c r="BK13571" s="25"/>
    </row>
    <row r="13572" spans="60:63" ht="14.25" x14ac:dyDescent="0.2">
      <c r="BH13572" s="25"/>
      <c r="BI13572" s="25"/>
      <c r="BJ13572" s="25"/>
      <c r="BK13572" s="25"/>
    </row>
    <row r="13573" spans="60:63" ht="14.25" x14ac:dyDescent="0.2">
      <c r="BH13573" s="25"/>
      <c r="BI13573" s="25"/>
      <c r="BJ13573" s="25"/>
      <c r="BK13573" s="25"/>
    </row>
    <row r="13574" spans="60:63" ht="14.25" x14ac:dyDescent="0.2">
      <c r="BH13574" s="25"/>
      <c r="BI13574" s="25"/>
      <c r="BJ13574" s="25"/>
      <c r="BK13574" s="25"/>
    </row>
    <row r="13575" spans="60:63" ht="14.25" x14ac:dyDescent="0.2">
      <c r="BH13575" s="25"/>
      <c r="BI13575" s="25"/>
      <c r="BJ13575" s="25"/>
      <c r="BK13575" s="25"/>
    </row>
    <row r="13576" spans="60:63" ht="14.25" x14ac:dyDescent="0.2">
      <c r="BH13576" s="25"/>
      <c r="BI13576" s="25"/>
      <c r="BJ13576" s="25"/>
      <c r="BK13576" s="25"/>
    </row>
    <row r="13577" spans="60:63" ht="14.25" x14ac:dyDescent="0.2">
      <c r="BH13577" s="25"/>
      <c r="BI13577" s="25"/>
      <c r="BJ13577" s="25"/>
      <c r="BK13577" s="25"/>
    </row>
    <row r="13578" spans="60:63" ht="14.25" x14ac:dyDescent="0.2">
      <c r="BH13578" s="25"/>
      <c r="BI13578" s="25"/>
      <c r="BJ13578" s="25"/>
      <c r="BK13578" s="25"/>
    </row>
    <row r="13579" spans="60:63" ht="14.25" x14ac:dyDescent="0.2">
      <c r="BH13579" s="25"/>
      <c r="BI13579" s="25"/>
      <c r="BJ13579" s="25"/>
      <c r="BK13579" s="25"/>
    </row>
    <row r="13580" spans="60:63" ht="14.25" x14ac:dyDescent="0.2">
      <c r="BH13580" s="25"/>
      <c r="BI13580" s="25"/>
      <c r="BJ13580" s="25"/>
      <c r="BK13580" s="25"/>
    </row>
    <row r="13581" spans="60:63" ht="14.25" x14ac:dyDescent="0.2">
      <c r="BH13581" s="25"/>
      <c r="BI13581" s="25"/>
      <c r="BJ13581" s="25"/>
      <c r="BK13581" s="25"/>
    </row>
    <row r="13582" spans="60:63" ht="14.25" x14ac:dyDescent="0.2">
      <c r="BH13582" s="25"/>
      <c r="BI13582" s="25"/>
      <c r="BJ13582" s="25"/>
      <c r="BK13582" s="25"/>
    </row>
    <row r="13583" spans="60:63" ht="14.25" x14ac:dyDescent="0.2">
      <c r="BH13583" s="25"/>
      <c r="BI13583" s="25"/>
      <c r="BJ13583" s="25"/>
      <c r="BK13583" s="25"/>
    </row>
    <row r="13584" spans="60:63" ht="14.25" x14ac:dyDescent="0.2">
      <c r="BH13584" s="25"/>
      <c r="BI13584" s="25"/>
      <c r="BJ13584" s="25"/>
      <c r="BK13584" s="25"/>
    </row>
    <row r="13585" spans="60:63" ht="14.25" x14ac:dyDescent="0.2">
      <c r="BH13585" s="25"/>
      <c r="BI13585" s="25"/>
      <c r="BJ13585" s="25"/>
      <c r="BK13585" s="25"/>
    </row>
    <row r="13586" spans="60:63" ht="14.25" x14ac:dyDescent="0.2">
      <c r="BH13586" s="25"/>
      <c r="BI13586" s="25"/>
      <c r="BJ13586" s="25"/>
      <c r="BK13586" s="25"/>
    </row>
    <row r="13587" spans="60:63" ht="14.25" x14ac:dyDescent="0.2">
      <c r="BH13587" s="25"/>
      <c r="BI13587" s="25"/>
      <c r="BJ13587" s="25"/>
      <c r="BK13587" s="25"/>
    </row>
    <row r="13588" spans="60:63" ht="14.25" x14ac:dyDescent="0.2">
      <c r="BH13588" s="25"/>
      <c r="BI13588" s="25"/>
      <c r="BJ13588" s="25"/>
      <c r="BK13588" s="25"/>
    </row>
    <row r="13589" spans="60:63" ht="14.25" x14ac:dyDescent="0.2">
      <c r="BH13589" s="25"/>
      <c r="BI13589" s="25"/>
      <c r="BJ13589" s="25"/>
      <c r="BK13589" s="25"/>
    </row>
    <row r="13590" spans="60:63" ht="14.25" x14ac:dyDescent="0.2">
      <c r="BH13590" s="25"/>
      <c r="BI13590" s="25"/>
      <c r="BJ13590" s="25"/>
      <c r="BK13590" s="25"/>
    </row>
    <row r="13591" spans="60:63" ht="14.25" x14ac:dyDescent="0.2">
      <c r="BH13591" s="25"/>
      <c r="BI13591" s="25"/>
      <c r="BJ13591" s="25"/>
      <c r="BK13591" s="25"/>
    </row>
    <row r="13592" spans="60:63" ht="14.25" x14ac:dyDescent="0.2">
      <c r="BH13592" s="25"/>
      <c r="BI13592" s="25"/>
      <c r="BJ13592" s="25"/>
      <c r="BK13592" s="25"/>
    </row>
    <row r="13593" spans="60:63" ht="14.25" x14ac:dyDescent="0.2">
      <c r="BH13593" s="25"/>
      <c r="BI13593" s="25"/>
      <c r="BJ13593" s="25"/>
      <c r="BK13593" s="25"/>
    </row>
    <row r="13594" spans="60:63" ht="14.25" x14ac:dyDescent="0.2">
      <c r="BH13594" s="25"/>
      <c r="BI13594" s="25"/>
      <c r="BJ13594" s="25"/>
      <c r="BK13594" s="25"/>
    </row>
    <row r="13595" spans="60:63" ht="14.25" x14ac:dyDescent="0.2">
      <c r="BH13595" s="25"/>
      <c r="BI13595" s="25"/>
      <c r="BJ13595" s="25"/>
      <c r="BK13595" s="25"/>
    </row>
    <row r="13596" spans="60:63" ht="14.25" x14ac:dyDescent="0.2">
      <c r="BH13596" s="25"/>
      <c r="BI13596" s="25"/>
      <c r="BJ13596" s="25"/>
      <c r="BK13596" s="25"/>
    </row>
    <row r="13597" spans="60:63" ht="14.25" x14ac:dyDescent="0.2">
      <c r="BH13597" s="25"/>
      <c r="BI13597" s="25"/>
      <c r="BJ13597" s="25"/>
      <c r="BK13597" s="25"/>
    </row>
    <row r="13598" spans="60:63" ht="14.25" x14ac:dyDescent="0.2">
      <c r="BH13598" s="25"/>
      <c r="BI13598" s="25"/>
      <c r="BJ13598" s="25"/>
      <c r="BK13598" s="25"/>
    </row>
    <row r="13599" spans="60:63" ht="14.25" x14ac:dyDescent="0.2">
      <c r="BH13599" s="25"/>
      <c r="BI13599" s="25"/>
      <c r="BJ13599" s="25"/>
      <c r="BK13599" s="25"/>
    </row>
    <row r="13600" spans="60:63" ht="14.25" x14ac:dyDescent="0.2">
      <c r="BH13600" s="25"/>
      <c r="BI13600" s="25"/>
      <c r="BJ13600" s="25"/>
      <c r="BK13600" s="25"/>
    </row>
    <row r="13601" spans="60:63" ht="14.25" x14ac:dyDescent="0.2">
      <c r="BH13601" s="25"/>
      <c r="BI13601" s="25"/>
      <c r="BJ13601" s="25"/>
      <c r="BK13601" s="25"/>
    </row>
    <row r="13602" spans="60:63" ht="14.25" x14ac:dyDescent="0.2">
      <c r="BH13602" s="25"/>
      <c r="BI13602" s="25"/>
      <c r="BJ13602" s="25"/>
      <c r="BK13602" s="25"/>
    </row>
    <row r="13603" spans="60:63" ht="14.25" x14ac:dyDescent="0.2">
      <c r="BH13603" s="25"/>
      <c r="BI13603" s="25"/>
      <c r="BJ13603" s="25"/>
      <c r="BK13603" s="25"/>
    </row>
    <row r="13604" spans="60:63" ht="14.25" x14ac:dyDescent="0.2">
      <c r="BH13604" s="25"/>
      <c r="BI13604" s="25"/>
      <c r="BJ13604" s="25"/>
      <c r="BK13604" s="25"/>
    </row>
    <row r="13605" spans="60:63" ht="14.25" x14ac:dyDescent="0.2">
      <c r="BH13605" s="25"/>
      <c r="BI13605" s="25"/>
      <c r="BJ13605" s="25"/>
      <c r="BK13605" s="25"/>
    </row>
    <row r="13606" spans="60:63" ht="14.25" x14ac:dyDescent="0.2">
      <c r="BH13606" s="25"/>
      <c r="BI13606" s="25"/>
      <c r="BJ13606" s="25"/>
      <c r="BK13606" s="25"/>
    </row>
    <row r="13607" spans="60:63" ht="14.25" x14ac:dyDescent="0.2">
      <c r="BH13607" s="25"/>
      <c r="BI13607" s="25"/>
      <c r="BJ13607" s="25"/>
      <c r="BK13607" s="25"/>
    </row>
    <row r="13608" spans="60:63" ht="14.25" x14ac:dyDescent="0.2">
      <c r="BH13608" s="25"/>
      <c r="BI13608" s="25"/>
      <c r="BJ13608" s="25"/>
      <c r="BK13608" s="25"/>
    </row>
    <row r="13609" spans="60:63" ht="14.25" x14ac:dyDescent="0.2">
      <c r="BH13609" s="25"/>
      <c r="BI13609" s="25"/>
      <c r="BJ13609" s="25"/>
      <c r="BK13609" s="25"/>
    </row>
    <row r="13610" spans="60:63" ht="14.25" x14ac:dyDescent="0.2">
      <c r="BH13610" s="25"/>
      <c r="BI13610" s="25"/>
      <c r="BJ13610" s="25"/>
      <c r="BK13610" s="25"/>
    </row>
    <row r="13611" spans="60:63" ht="14.25" x14ac:dyDescent="0.2">
      <c r="BH13611" s="25"/>
      <c r="BI13611" s="25"/>
      <c r="BJ13611" s="25"/>
      <c r="BK13611" s="25"/>
    </row>
    <row r="13612" spans="60:63" ht="14.25" x14ac:dyDescent="0.2">
      <c r="BH13612" s="25"/>
      <c r="BI13612" s="25"/>
      <c r="BJ13612" s="25"/>
      <c r="BK13612" s="25"/>
    </row>
    <row r="13613" spans="60:63" ht="14.25" x14ac:dyDescent="0.2">
      <c r="BH13613" s="25"/>
      <c r="BI13613" s="25"/>
      <c r="BJ13613" s="25"/>
      <c r="BK13613" s="25"/>
    </row>
    <row r="13614" spans="60:63" ht="14.25" x14ac:dyDescent="0.2">
      <c r="BH13614" s="25"/>
      <c r="BI13614" s="25"/>
      <c r="BJ13614" s="25"/>
      <c r="BK13614" s="25"/>
    </row>
    <row r="13615" spans="60:63" ht="14.25" x14ac:dyDescent="0.2">
      <c r="BH13615" s="25"/>
      <c r="BI13615" s="25"/>
      <c r="BJ13615" s="25"/>
      <c r="BK13615" s="25"/>
    </row>
    <row r="13616" spans="60:63" ht="14.25" x14ac:dyDescent="0.2">
      <c r="BH13616" s="25"/>
      <c r="BI13616" s="25"/>
      <c r="BJ13616" s="25"/>
      <c r="BK13616" s="25"/>
    </row>
    <row r="13617" spans="60:63" ht="14.25" x14ac:dyDescent="0.2">
      <c r="BH13617" s="25"/>
      <c r="BI13617" s="25"/>
      <c r="BJ13617" s="25"/>
      <c r="BK13617" s="25"/>
    </row>
    <row r="13618" spans="60:63" ht="14.25" x14ac:dyDescent="0.2">
      <c r="BH13618" s="25"/>
      <c r="BI13618" s="25"/>
      <c r="BJ13618" s="25"/>
      <c r="BK13618" s="25"/>
    </row>
    <row r="13619" spans="60:63" ht="14.25" x14ac:dyDescent="0.2">
      <c r="BH13619" s="25"/>
      <c r="BI13619" s="25"/>
      <c r="BJ13619" s="25"/>
      <c r="BK13619" s="25"/>
    </row>
    <row r="13620" spans="60:63" ht="14.25" x14ac:dyDescent="0.2">
      <c r="BH13620" s="25"/>
      <c r="BI13620" s="25"/>
      <c r="BJ13620" s="25"/>
      <c r="BK13620" s="25"/>
    </row>
    <row r="13621" spans="60:63" ht="14.25" x14ac:dyDescent="0.2">
      <c r="BH13621" s="25"/>
      <c r="BI13621" s="25"/>
      <c r="BJ13621" s="25"/>
      <c r="BK13621" s="25"/>
    </row>
    <row r="13622" spans="60:63" ht="14.25" x14ac:dyDescent="0.2">
      <c r="BH13622" s="25"/>
      <c r="BI13622" s="25"/>
      <c r="BJ13622" s="25"/>
      <c r="BK13622" s="25"/>
    </row>
    <row r="13623" spans="60:63" ht="14.25" x14ac:dyDescent="0.2">
      <c r="BH13623" s="25"/>
      <c r="BI13623" s="25"/>
      <c r="BJ13623" s="25"/>
      <c r="BK13623" s="25"/>
    </row>
    <row r="13624" spans="60:63" ht="14.25" x14ac:dyDescent="0.2">
      <c r="BH13624" s="25"/>
      <c r="BI13624" s="25"/>
      <c r="BJ13624" s="25"/>
      <c r="BK13624" s="25"/>
    </row>
    <row r="13625" spans="60:63" ht="14.25" x14ac:dyDescent="0.2">
      <c r="BH13625" s="25"/>
      <c r="BI13625" s="25"/>
      <c r="BJ13625" s="25"/>
      <c r="BK13625" s="25"/>
    </row>
    <row r="13626" spans="60:63" ht="14.25" x14ac:dyDescent="0.2">
      <c r="BH13626" s="25"/>
      <c r="BI13626" s="25"/>
      <c r="BJ13626" s="25"/>
      <c r="BK13626" s="25"/>
    </row>
    <row r="13627" spans="60:63" ht="14.25" x14ac:dyDescent="0.2">
      <c r="BH13627" s="25"/>
      <c r="BI13627" s="25"/>
      <c r="BJ13627" s="25"/>
      <c r="BK13627" s="25"/>
    </row>
    <row r="13628" spans="60:63" ht="14.25" x14ac:dyDescent="0.2">
      <c r="BH13628" s="25"/>
      <c r="BI13628" s="25"/>
      <c r="BJ13628" s="25"/>
      <c r="BK13628" s="25"/>
    </row>
    <row r="13629" spans="60:63" ht="14.25" x14ac:dyDescent="0.2">
      <c r="BH13629" s="25"/>
      <c r="BI13629" s="25"/>
      <c r="BJ13629" s="25"/>
      <c r="BK13629" s="25"/>
    </row>
    <row r="13630" spans="60:63" ht="14.25" x14ac:dyDescent="0.2">
      <c r="BH13630" s="25"/>
      <c r="BI13630" s="25"/>
      <c r="BJ13630" s="25"/>
      <c r="BK13630" s="25"/>
    </row>
    <row r="13631" spans="60:63" ht="14.25" x14ac:dyDescent="0.2">
      <c r="BH13631" s="25"/>
      <c r="BI13631" s="25"/>
      <c r="BJ13631" s="25"/>
      <c r="BK13631" s="25"/>
    </row>
    <row r="13632" spans="60:63" ht="14.25" x14ac:dyDescent="0.2">
      <c r="BH13632" s="25"/>
      <c r="BI13632" s="25"/>
      <c r="BJ13632" s="25"/>
      <c r="BK13632" s="25"/>
    </row>
    <row r="13633" spans="60:63" ht="14.25" x14ac:dyDescent="0.2">
      <c r="BH13633" s="25"/>
      <c r="BI13633" s="25"/>
      <c r="BJ13633" s="25"/>
      <c r="BK13633" s="25"/>
    </row>
    <row r="13634" spans="60:63" ht="14.25" x14ac:dyDescent="0.2">
      <c r="BH13634" s="25"/>
      <c r="BI13634" s="25"/>
      <c r="BJ13634" s="25"/>
      <c r="BK13634" s="25"/>
    </row>
    <row r="13635" spans="60:63" ht="14.25" x14ac:dyDescent="0.2">
      <c r="BH13635" s="25"/>
      <c r="BI13635" s="25"/>
      <c r="BJ13635" s="25"/>
      <c r="BK13635" s="25"/>
    </row>
    <row r="13636" spans="60:63" ht="14.25" x14ac:dyDescent="0.2">
      <c r="BH13636" s="25"/>
      <c r="BI13636" s="25"/>
      <c r="BJ13636" s="25"/>
      <c r="BK13636" s="25"/>
    </row>
    <row r="13637" spans="60:63" ht="14.25" x14ac:dyDescent="0.2">
      <c r="BH13637" s="25"/>
      <c r="BI13637" s="25"/>
      <c r="BJ13637" s="25"/>
      <c r="BK13637" s="25"/>
    </row>
    <row r="13638" spans="60:63" ht="14.25" x14ac:dyDescent="0.2">
      <c r="BH13638" s="25"/>
      <c r="BI13638" s="25"/>
      <c r="BJ13638" s="25"/>
      <c r="BK13638" s="25"/>
    </row>
    <row r="13639" spans="60:63" ht="14.25" x14ac:dyDescent="0.2">
      <c r="BH13639" s="25"/>
      <c r="BI13639" s="25"/>
      <c r="BJ13639" s="25"/>
      <c r="BK13639" s="25"/>
    </row>
    <row r="13640" spans="60:63" ht="14.25" x14ac:dyDescent="0.2">
      <c r="BH13640" s="25"/>
      <c r="BI13640" s="25"/>
      <c r="BJ13640" s="25"/>
      <c r="BK13640" s="25"/>
    </row>
    <row r="13641" spans="60:63" ht="14.25" x14ac:dyDescent="0.2">
      <c r="BH13641" s="25"/>
      <c r="BI13641" s="25"/>
      <c r="BJ13641" s="25"/>
      <c r="BK13641" s="25"/>
    </row>
    <row r="13642" spans="60:63" ht="14.25" x14ac:dyDescent="0.2">
      <c r="BH13642" s="25"/>
      <c r="BI13642" s="25"/>
      <c r="BJ13642" s="25"/>
      <c r="BK13642" s="25"/>
    </row>
    <row r="13643" spans="60:63" ht="14.25" x14ac:dyDescent="0.2">
      <c r="BH13643" s="25"/>
      <c r="BI13643" s="25"/>
      <c r="BJ13643" s="25"/>
      <c r="BK13643" s="25"/>
    </row>
    <row r="13644" spans="60:63" ht="14.25" x14ac:dyDescent="0.2">
      <c r="BH13644" s="25"/>
      <c r="BI13644" s="25"/>
      <c r="BJ13644" s="25"/>
      <c r="BK13644" s="25"/>
    </row>
    <row r="13645" spans="60:63" ht="14.25" x14ac:dyDescent="0.2">
      <c r="BH13645" s="25"/>
      <c r="BI13645" s="25"/>
      <c r="BJ13645" s="25"/>
      <c r="BK13645" s="25"/>
    </row>
    <row r="13646" spans="60:63" ht="14.25" x14ac:dyDescent="0.2">
      <c r="BH13646" s="25"/>
      <c r="BI13646" s="25"/>
      <c r="BJ13646" s="25"/>
      <c r="BK13646" s="25"/>
    </row>
    <row r="13647" spans="60:63" ht="14.25" x14ac:dyDescent="0.2">
      <c r="BH13647" s="25"/>
      <c r="BI13647" s="25"/>
      <c r="BJ13647" s="25"/>
      <c r="BK13647" s="25"/>
    </row>
    <row r="13648" spans="60:63" ht="14.25" x14ac:dyDescent="0.2">
      <c r="BH13648" s="25"/>
      <c r="BI13648" s="25"/>
      <c r="BJ13648" s="25"/>
      <c r="BK13648" s="25"/>
    </row>
    <row r="13649" spans="60:63" ht="14.25" x14ac:dyDescent="0.2">
      <c r="BH13649" s="25"/>
      <c r="BI13649" s="25"/>
      <c r="BJ13649" s="25"/>
      <c r="BK13649" s="25"/>
    </row>
    <row r="13650" spans="60:63" ht="14.25" x14ac:dyDescent="0.2">
      <c r="BH13650" s="25"/>
      <c r="BI13650" s="25"/>
      <c r="BJ13650" s="25"/>
      <c r="BK13650" s="25"/>
    </row>
    <row r="13651" spans="60:63" ht="14.25" x14ac:dyDescent="0.2">
      <c r="BH13651" s="25"/>
      <c r="BI13651" s="25"/>
      <c r="BJ13651" s="25"/>
      <c r="BK13651" s="25"/>
    </row>
    <row r="13652" spans="60:63" ht="14.25" x14ac:dyDescent="0.2">
      <c r="BH13652" s="25"/>
      <c r="BI13652" s="25"/>
      <c r="BJ13652" s="25"/>
      <c r="BK13652" s="25"/>
    </row>
    <row r="13653" spans="60:63" ht="14.25" x14ac:dyDescent="0.2">
      <c r="BH13653" s="25"/>
      <c r="BI13653" s="25"/>
      <c r="BJ13653" s="25"/>
      <c r="BK13653" s="25"/>
    </row>
    <row r="13654" spans="60:63" ht="14.25" x14ac:dyDescent="0.2">
      <c r="BH13654" s="25"/>
      <c r="BI13654" s="25"/>
      <c r="BJ13654" s="25"/>
      <c r="BK13654" s="25"/>
    </row>
    <row r="13655" spans="60:63" ht="14.25" x14ac:dyDescent="0.2">
      <c r="BH13655" s="25"/>
      <c r="BI13655" s="25"/>
      <c r="BJ13655" s="25"/>
      <c r="BK13655" s="25"/>
    </row>
    <row r="13656" spans="60:63" ht="14.25" x14ac:dyDescent="0.2">
      <c r="BH13656" s="25"/>
      <c r="BI13656" s="25"/>
      <c r="BJ13656" s="25"/>
      <c r="BK13656" s="25"/>
    </row>
    <row r="13657" spans="60:63" ht="14.25" x14ac:dyDescent="0.2">
      <c r="BH13657" s="25"/>
      <c r="BI13657" s="25"/>
      <c r="BJ13657" s="25"/>
      <c r="BK13657" s="25"/>
    </row>
    <row r="13658" spans="60:63" ht="14.25" x14ac:dyDescent="0.2">
      <c r="BH13658" s="25"/>
      <c r="BI13658" s="25"/>
      <c r="BJ13658" s="25"/>
      <c r="BK13658" s="25"/>
    </row>
    <row r="13659" spans="60:63" ht="14.25" x14ac:dyDescent="0.2">
      <c r="BH13659" s="25"/>
      <c r="BI13659" s="25"/>
      <c r="BJ13659" s="25"/>
      <c r="BK13659" s="25"/>
    </row>
    <row r="13660" spans="60:63" ht="14.25" x14ac:dyDescent="0.2">
      <c r="BH13660" s="25"/>
      <c r="BI13660" s="25"/>
      <c r="BJ13660" s="25"/>
      <c r="BK13660" s="25"/>
    </row>
    <row r="13661" spans="60:63" ht="14.25" x14ac:dyDescent="0.2">
      <c r="BH13661" s="25"/>
      <c r="BI13661" s="25"/>
      <c r="BJ13661" s="25"/>
      <c r="BK13661" s="25"/>
    </row>
    <row r="13662" spans="60:63" ht="14.25" x14ac:dyDescent="0.2">
      <c r="BH13662" s="25"/>
      <c r="BI13662" s="25"/>
      <c r="BJ13662" s="25"/>
      <c r="BK13662" s="25"/>
    </row>
    <row r="13663" spans="60:63" ht="14.25" x14ac:dyDescent="0.2">
      <c r="BH13663" s="25"/>
      <c r="BI13663" s="25"/>
      <c r="BJ13663" s="25"/>
      <c r="BK13663" s="25"/>
    </row>
    <row r="13664" spans="60:63" ht="14.25" x14ac:dyDescent="0.2">
      <c r="BH13664" s="25"/>
      <c r="BI13664" s="25"/>
      <c r="BJ13664" s="25"/>
      <c r="BK13664" s="25"/>
    </row>
    <row r="13665" spans="60:63" ht="14.25" x14ac:dyDescent="0.2">
      <c r="BH13665" s="25"/>
      <c r="BI13665" s="25"/>
      <c r="BJ13665" s="25"/>
      <c r="BK13665" s="25"/>
    </row>
    <row r="13666" spans="60:63" ht="14.25" x14ac:dyDescent="0.2">
      <c r="BH13666" s="25"/>
      <c r="BI13666" s="25"/>
      <c r="BJ13666" s="25"/>
      <c r="BK13666" s="25"/>
    </row>
    <row r="13667" spans="60:63" ht="14.25" x14ac:dyDescent="0.2">
      <c r="BH13667" s="25"/>
      <c r="BI13667" s="25"/>
      <c r="BJ13667" s="25"/>
      <c r="BK13667" s="25"/>
    </row>
    <row r="13668" spans="60:63" ht="14.25" x14ac:dyDescent="0.2">
      <c r="BH13668" s="25"/>
      <c r="BI13668" s="25"/>
      <c r="BJ13668" s="25"/>
      <c r="BK13668" s="25"/>
    </row>
    <row r="13669" spans="60:63" ht="14.25" x14ac:dyDescent="0.2">
      <c r="BH13669" s="25"/>
      <c r="BI13669" s="25"/>
      <c r="BJ13669" s="25"/>
      <c r="BK13669" s="25"/>
    </row>
    <row r="13670" spans="60:63" ht="14.25" x14ac:dyDescent="0.2">
      <c r="BH13670" s="25"/>
      <c r="BI13670" s="25"/>
      <c r="BJ13670" s="25"/>
      <c r="BK13670" s="25"/>
    </row>
    <row r="13671" spans="60:63" ht="14.25" x14ac:dyDescent="0.2">
      <c r="BH13671" s="25"/>
      <c r="BI13671" s="25"/>
      <c r="BJ13671" s="25"/>
      <c r="BK13671" s="25"/>
    </row>
    <row r="13672" spans="60:63" ht="14.25" x14ac:dyDescent="0.2">
      <c r="BH13672" s="25"/>
      <c r="BI13672" s="25"/>
      <c r="BJ13672" s="25"/>
      <c r="BK13672" s="25"/>
    </row>
    <row r="13673" spans="60:63" ht="14.25" x14ac:dyDescent="0.2">
      <c r="BH13673" s="25"/>
      <c r="BI13673" s="25"/>
      <c r="BJ13673" s="25"/>
      <c r="BK13673" s="25"/>
    </row>
    <row r="13674" spans="60:63" ht="14.25" x14ac:dyDescent="0.2">
      <c r="BH13674" s="25"/>
      <c r="BI13674" s="25"/>
      <c r="BJ13674" s="25"/>
      <c r="BK13674" s="25"/>
    </row>
    <row r="13675" spans="60:63" ht="14.25" x14ac:dyDescent="0.2">
      <c r="BH13675" s="25"/>
      <c r="BI13675" s="25"/>
      <c r="BJ13675" s="25"/>
      <c r="BK13675" s="25"/>
    </row>
    <row r="13676" spans="60:63" ht="14.25" x14ac:dyDescent="0.2">
      <c r="BH13676" s="25"/>
      <c r="BI13676" s="25"/>
      <c r="BJ13676" s="25"/>
      <c r="BK13676" s="25"/>
    </row>
    <row r="13677" spans="60:63" ht="14.25" x14ac:dyDescent="0.2">
      <c r="BH13677" s="25"/>
      <c r="BI13677" s="25"/>
      <c r="BJ13677" s="25"/>
      <c r="BK13677" s="25"/>
    </row>
    <row r="13678" spans="60:63" ht="14.25" x14ac:dyDescent="0.2">
      <c r="BH13678" s="25"/>
      <c r="BI13678" s="25"/>
      <c r="BJ13678" s="25"/>
      <c r="BK13678" s="25"/>
    </row>
    <row r="13679" spans="60:63" ht="14.25" x14ac:dyDescent="0.2">
      <c r="BH13679" s="25"/>
      <c r="BI13679" s="25"/>
      <c r="BJ13679" s="25"/>
      <c r="BK13679" s="25"/>
    </row>
    <row r="13680" spans="60:63" ht="14.25" x14ac:dyDescent="0.2">
      <c r="BH13680" s="25"/>
      <c r="BI13680" s="25"/>
      <c r="BJ13680" s="25"/>
      <c r="BK13680" s="25"/>
    </row>
    <row r="13681" spans="60:63" ht="14.25" x14ac:dyDescent="0.2">
      <c r="BH13681" s="25"/>
      <c r="BI13681" s="25"/>
      <c r="BJ13681" s="25"/>
      <c r="BK13681" s="25"/>
    </row>
    <row r="13682" spans="60:63" ht="14.25" x14ac:dyDescent="0.2">
      <c r="BH13682" s="25"/>
      <c r="BI13682" s="25"/>
      <c r="BJ13682" s="25"/>
      <c r="BK13682" s="25"/>
    </row>
    <row r="13683" spans="60:63" ht="14.25" x14ac:dyDescent="0.2">
      <c r="BH13683" s="25"/>
      <c r="BI13683" s="25"/>
      <c r="BJ13683" s="25"/>
      <c r="BK13683" s="25"/>
    </row>
    <row r="13684" spans="60:63" ht="14.25" x14ac:dyDescent="0.2">
      <c r="BH13684" s="25"/>
      <c r="BI13684" s="25"/>
      <c r="BJ13684" s="25"/>
      <c r="BK13684" s="25"/>
    </row>
    <row r="13685" spans="60:63" ht="14.25" x14ac:dyDescent="0.2">
      <c r="BH13685" s="25"/>
      <c r="BI13685" s="25"/>
      <c r="BJ13685" s="25"/>
      <c r="BK13685" s="25"/>
    </row>
    <row r="13686" spans="60:63" ht="14.25" x14ac:dyDescent="0.2">
      <c r="BH13686" s="25"/>
      <c r="BI13686" s="25"/>
      <c r="BJ13686" s="25"/>
      <c r="BK13686" s="25"/>
    </row>
    <row r="13687" spans="60:63" ht="14.25" x14ac:dyDescent="0.2">
      <c r="BH13687" s="25"/>
      <c r="BI13687" s="25"/>
      <c r="BJ13687" s="25"/>
      <c r="BK13687" s="25"/>
    </row>
    <row r="13688" spans="60:63" ht="14.25" x14ac:dyDescent="0.2">
      <c r="BH13688" s="25"/>
      <c r="BI13688" s="25"/>
      <c r="BJ13688" s="25"/>
      <c r="BK13688" s="25"/>
    </row>
    <row r="13689" spans="60:63" ht="14.25" x14ac:dyDescent="0.2">
      <c r="BH13689" s="25"/>
      <c r="BI13689" s="25"/>
      <c r="BJ13689" s="25"/>
      <c r="BK13689" s="25"/>
    </row>
    <row r="13690" spans="60:63" ht="14.25" x14ac:dyDescent="0.2">
      <c r="BH13690" s="25"/>
      <c r="BI13690" s="25"/>
      <c r="BJ13690" s="25"/>
      <c r="BK13690" s="25"/>
    </row>
    <row r="13691" spans="60:63" ht="14.25" x14ac:dyDescent="0.2">
      <c r="BH13691" s="25"/>
      <c r="BI13691" s="25"/>
      <c r="BJ13691" s="25"/>
      <c r="BK13691" s="25"/>
    </row>
    <row r="13692" spans="60:63" ht="14.25" x14ac:dyDescent="0.2">
      <c r="BH13692" s="25"/>
      <c r="BI13692" s="25"/>
      <c r="BJ13692" s="25"/>
      <c r="BK13692" s="25"/>
    </row>
    <row r="13693" spans="60:63" ht="14.25" x14ac:dyDescent="0.2">
      <c r="BH13693" s="25"/>
      <c r="BI13693" s="25"/>
      <c r="BJ13693" s="25"/>
      <c r="BK13693" s="25"/>
    </row>
    <row r="13694" spans="60:63" ht="14.25" x14ac:dyDescent="0.2">
      <c r="BH13694" s="25"/>
      <c r="BI13694" s="25"/>
      <c r="BJ13694" s="25"/>
      <c r="BK13694" s="25"/>
    </row>
    <row r="13695" spans="60:63" ht="14.25" x14ac:dyDescent="0.2">
      <c r="BH13695" s="25"/>
      <c r="BI13695" s="25"/>
      <c r="BJ13695" s="25"/>
      <c r="BK13695" s="25"/>
    </row>
    <row r="13696" spans="60:63" ht="14.25" x14ac:dyDescent="0.2">
      <c r="BH13696" s="25"/>
      <c r="BI13696" s="25"/>
      <c r="BJ13696" s="25"/>
      <c r="BK13696" s="25"/>
    </row>
    <row r="13697" spans="60:63" ht="14.25" x14ac:dyDescent="0.2">
      <c r="BH13697" s="25"/>
      <c r="BI13697" s="25"/>
      <c r="BJ13697" s="25"/>
      <c r="BK13697" s="25"/>
    </row>
    <row r="13698" spans="60:63" ht="14.25" x14ac:dyDescent="0.2">
      <c r="BH13698" s="25"/>
      <c r="BI13698" s="25"/>
      <c r="BJ13698" s="25"/>
      <c r="BK13698" s="25"/>
    </row>
    <row r="13699" spans="60:63" ht="14.25" x14ac:dyDescent="0.2">
      <c r="BH13699" s="25"/>
      <c r="BI13699" s="25"/>
      <c r="BJ13699" s="25"/>
      <c r="BK13699" s="25"/>
    </row>
    <row r="13700" spans="60:63" ht="14.25" x14ac:dyDescent="0.2">
      <c r="BH13700" s="25"/>
      <c r="BI13700" s="25"/>
      <c r="BJ13700" s="25"/>
      <c r="BK13700" s="25"/>
    </row>
    <row r="13701" spans="60:63" ht="14.25" x14ac:dyDescent="0.2">
      <c r="BH13701" s="25"/>
      <c r="BI13701" s="25"/>
      <c r="BJ13701" s="25"/>
      <c r="BK13701" s="25"/>
    </row>
    <row r="13702" spans="60:63" ht="14.25" x14ac:dyDescent="0.2">
      <c r="BH13702" s="25"/>
      <c r="BI13702" s="25"/>
      <c r="BJ13702" s="25"/>
      <c r="BK13702" s="25"/>
    </row>
    <row r="13703" spans="60:63" ht="14.25" x14ac:dyDescent="0.2">
      <c r="BH13703" s="25"/>
      <c r="BI13703" s="25"/>
      <c r="BJ13703" s="25"/>
      <c r="BK13703" s="25"/>
    </row>
    <row r="13704" spans="60:63" ht="14.25" x14ac:dyDescent="0.2">
      <c r="BH13704" s="25"/>
      <c r="BI13704" s="25"/>
      <c r="BJ13704" s="25"/>
      <c r="BK13704" s="25"/>
    </row>
    <row r="13705" spans="60:63" ht="14.25" x14ac:dyDescent="0.2">
      <c r="BH13705" s="25"/>
      <c r="BI13705" s="25"/>
      <c r="BJ13705" s="25"/>
      <c r="BK13705" s="25"/>
    </row>
    <row r="13706" spans="60:63" ht="14.25" x14ac:dyDescent="0.2">
      <c r="BH13706" s="25"/>
      <c r="BI13706" s="25"/>
      <c r="BJ13706" s="25"/>
      <c r="BK13706" s="25"/>
    </row>
    <row r="13707" spans="60:63" ht="14.25" x14ac:dyDescent="0.2">
      <c r="BH13707" s="25"/>
      <c r="BI13707" s="25"/>
      <c r="BJ13707" s="25"/>
      <c r="BK13707" s="25"/>
    </row>
    <row r="13708" spans="60:63" ht="14.25" x14ac:dyDescent="0.2">
      <c r="BH13708" s="25"/>
      <c r="BI13708" s="25"/>
      <c r="BJ13708" s="25"/>
      <c r="BK13708" s="25"/>
    </row>
    <row r="13709" spans="60:63" ht="14.25" x14ac:dyDescent="0.2">
      <c r="BH13709" s="25"/>
      <c r="BI13709" s="25"/>
      <c r="BJ13709" s="25"/>
      <c r="BK13709" s="25"/>
    </row>
    <row r="13710" spans="60:63" ht="14.25" x14ac:dyDescent="0.2">
      <c r="BH13710" s="25"/>
      <c r="BI13710" s="25"/>
      <c r="BJ13710" s="25"/>
      <c r="BK13710" s="25"/>
    </row>
    <row r="13711" spans="60:63" ht="14.25" x14ac:dyDescent="0.2">
      <c r="BH13711" s="25"/>
      <c r="BI13711" s="25"/>
      <c r="BJ13711" s="25"/>
      <c r="BK13711" s="25"/>
    </row>
    <row r="13712" spans="60:63" ht="14.25" x14ac:dyDescent="0.2">
      <c r="BH13712" s="25"/>
      <c r="BI13712" s="25"/>
      <c r="BJ13712" s="25"/>
      <c r="BK13712" s="25"/>
    </row>
    <row r="13713" spans="60:63" ht="14.25" x14ac:dyDescent="0.2">
      <c r="BH13713" s="25"/>
      <c r="BI13713" s="25"/>
      <c r="BJ13713" s="25"/>
      <c r="BK13713" s="25"/>
    </row>
    <row r="13714" spans="60:63" ht="14.25" x14ac:dyDescent="0.2">
      <c r="BH13714" s="25"/>
      <c r="BI13714" s="25"/>
      <c r="BJ13714" s="25"/>
      <c r="BK13714" s="25"/>
    </row>
    <row r="13715" spans="60:63" ht="14.25" x14ac:dyDescent="0.2">
      <c r="BH13715" s="25"/>
      <c r="BI13715" s="25"/>
      <c r="BJ13715" s="25"/>
      <c r="BK13715" s="25"/>
    </row>
    <row r="13716" spans="60:63" ht="14.25" x14ac:dyDescent="0.2">
      <c r="BH13716" s="25"/>
      <c r="BI13716" s="25"/>
      <c r="BJ13716" s="25"/>
      <c r="BK13716" s="25"/>
    </row>
    <row r="13717" spans="60:63" ht="14.25" x14ac:dyDescent="0.2">
      <c r="BH13717" s="25"/>
      <c r="BI13717" s="25"/>
      <c r="BJ13717" s="25"/>
      <c r="BK13717" s="25"/>
    </row>
    <row r="13718" spans="60:63" ht="14.25" x14ac:dyDescent="0.2">
      <c r="BH13718" s="25"/>
      <c r="BI13718" s="25"/>
      <c r="BJ13718" s="25"/>
      <c r="BK13718" s="25"/>
    </row>
    <row r="13719" spans="60:63" ht="14.25" x14ac:dyDescent="0.2">
      <c r="BH13719" s="25"/>
      <c r="BI13719" s="25"/>
      <c r="BJ13719" s="25"/>
      <c r="BK13719" s="25"/>
    </row>
    <row r="13720" spans="60:63" ht="14.25" x14ac:dyDescent="0.2">
      <c r="BH13720" s="25"/>
      <c r="BI13720" s="25"/>
      <c r="BJ13720" s="25"/>
      <c r="BK13720" s="25"/>
    </row>
    <row r="13721" spans="60:63" ht="14.25" x14ac:dyDescent="0.2">
      <c r="BH13721" s="25"/>
      <c r="BI13721" s="25"/>
      <c r="BJ13721" s="25"/>
      <c r="BK13721" s="25"/>
    </row>
    <row r="13722" spans="60:63" ht="14.25" x14ac:dyDescent="0.2">
      <c r="BH13722" s="25"/>
      <c r="BI13722" s="25"/>
      <c r="BJ13722" s="25"/>
      <c r="BK13722" s="25"/>
    </row>
    <row r="13723" spans="60:63" ht="14.25" x14ac:dyDescent="0.2">
      <c r="BH13723" s="25"/>
      <c r="BI13723" s="25"/>
      <c r="BJ13723" s="25"/>
      <c r="BK13723" s="25"/>
    </row>
    <row r="13724" spans="60:63" ht="14.25" x14ac:dyDescent="0.2">
      <c r="BH13724" s="25"/>
      <c r="BI13724" s="25"/>
      <c r="BJ13724" s="25"/>
      <c r="BK13724" s="25"/>
    </row>
    <row r="13725" spans="60:63" ht="14.25" x14ac:dyDescent="0.2">
      <c r="BH13725" s="25"/>
      <c r="BI13725" s="25"/>
      <c r="BJ13725" s="25"/>
      <c r="BK13725" s="25"/>
    </row>
    <row r="13726" spans="60:63" ht="14.25" x14ac:dyDescent="0.2">
      <c r="BH13726" s="25"/>
      <c r="BI13726" s="25"/>
      <c r="BJ13726" s="25"/>
      <c r="BK13726" s="25"/>
    </row>
    <row r="13727" spans="60:63" ht="14.25" x14ac:dyDescent="0.2">
      <c r="BH13727" s="25"/>
      <c r="BI13727" s="25"/>
      <c r="BJ13727" s="25"/>
      <c r="BK13727" s="25"/>
    </row>
    <row r="13728" spans="60:63" ht="14.25" x14ac:dyDescent="0.2">
      <c r="BH13728" s="25"/>
      <c r="BI13728" s="25"/>
      <c r="BJ13728" s="25"/>
      <c r="BK13728" s="25"/>
    </row>
    <row r="13729" spans="60:63" ht="14.25" x14ac:dyDescent="0.2">
      <c r="BH13729" s="25"/>
      <c r="BI13729" s="25"/>
      <c r="BJ13729" s="25"/>
      <c r="BK13729" s="25"/>
    </row>
    <row r="13730" spans="60:63" ht="14.25" x14ac:dyDescent="0.2">
      <c r="BH13730" s="25"/>
      <c r="BI13730" s="25"/>
      <c r="BJ13730" s="25"/>
      <c r="BK13730" s="25"/>
    </row>
    <row r="13731" spans="60:63" ht="14.25" x14ac:dyDescent="0.2">
      <c r="BH13731" s="25"/>
      <c r="BI13731" s="25"/>
      <c r="BJ13731" s="25"/>
      <c r="BK13731" s="25"/>
    </row>
    <row r="13732" spans="60:63" ht="14.25" x14ac:dyDescent="0.2">
      <c r="BH13732" s="25"/>
      <c r="BI13732" s="25"/>
      <c r="BJ13732" s="25"/>
      <c r="BK13732" s="25"/>
    </row>
    <row r="13733" spans="60:63" ht="14.25" x14ac:dyDescent="0.2">
      <c r="BH13733" s="25"/>
      <c r="BI13733" s="25"/>
      <c r="BJ13733" s="25"/>
      <c r="BK13733" s="25"/>
    </row>
    <row r="13734" spans="60:63" ht="14.25" x14ac:dyDescent="0.2">
      <c r="BH13734" s="25"/>
      <c r="BI13734" s="25"/>
      <c r="BJ13734" s="25"/>
      <c r="BK13734" s="25"/>
    </row>
    <row r="13735" spans="60:63" ht="14.25" x14ac:dyDescent="0.2">
      <c r="BH13735" s="25"/>
      <c r="BI13735" s="25"/>
      <c r="BJ13735" s="25"/>
      <c r="BK13735" s="25"/>
    </row>
    <row r="13736" spans="60:63" ht="14.25" x14ac:dyDescent="0.2">
      <c r="BH13736" s="25"/>
      <c r="BI13736" s="25"/>
      <c r="BJ13736" s="25"/>
      <c r="BK13736" s="25"/>
    </row>
    <row r="13737" spans="60:63" ht="14.25" x14ac:dyDescent="0.2">
      <c r="BH13737" s="25"/>
      <c r="BI13737" s="25"/>
      <c r="BJ13737" s="25"/>
      <c r="BK13737" s="25"/>
    </row>
    <row r="13738" spans="60:63" ht="14.25" x14ac:dyDescent="0.2">
      <c r="BH13738" s="25"/>
      <c r="BI13738" s="25"/>
      <c r="BJ13738" s="25"/>
      <c r="BK13738" s="25"/>
    </row>
    <row r="13739" spans="60:63" ht="14.25" x14ac:dyDescent="0.2">
      <c r="BH13739" s="25"/>
      <c r="BI13739" s="25"/>
      <c r="BJ13739" s="25"/>
      <c r="BK13739" s="25"/>
    </row>
    <row r="13740" spans="60:63" ht="14.25" x14ac:dyDescent="0.2">
      <c r="BH13740" s="25"/>
      <c r="BI13740" s="25"/>
      <c r="BJ13740" s="25"/>
      <c r="BK13740" s="25"/>
    </row>
    <row r="13741" spans="60:63" ht="14.25" x14ac:dyDescent="0.2">
      <c r="BH13741" s="25"/>
      <c r="BI13741" s="25"/>
      <c r="BJ13741" s="25"/>
      <c r="BK13741" s="25"/>
    </row>
    <row r="13742" spans="60:63" ht="14.25" x14ac:dyDescent="0.2">
      <c r="BH13742" s="25"/>
      <c r="BI13742" s="25"/>
      <c r="BJ13742" s="25"/>
      <c r="BK13742" s="25"/>
    </row>
    <row r="13743" spans="60:63" ht="14.25" x14ac:dyDescent="0.2">
      <c r="BH13743" s="25"/>
      <c r="BI13743" s="25"/>
      <c r="BJ13743" s="25"/>
      <c r="BK13743" s="25"/>
    </row>
    <row r="13744" spans="60:63" ht="14.25" x14ac:dyDescent="0.2">
      <c r="BH13744" s="25"/>
      <c r="BI13744" s="25"/>
      <c r="BJ13744" s="25"/>
      <c r="BK13744" s="25"/>
    </row>
    <row r="13745" spans="60:63" ht="14.25" x14ac:dyDescent="0.2">
      <c r="BH13745" s="25"/>
      <c r="BI13745" s="25"/>
      <c r="BJ13745" s="25"/>
      <c r="BK13745" s="25"/>
    </row>
    <row r="13746" spans="60:63" ht="14.25" x14ac:dyDescent="0.2">
      <c r="BH13746" s="25"/>
      <c r="BI13746" s="25"/>
      <c r="BJ13746" s="25"/>
      <c r="BK13746" s="25"/>
    </row>
    <row r="13747" spans="60:63" ht="14.25" x14ac:dyDescent="0.2">
      <c r="BH13747" s="25"/>
      <c r="BI13747" s="25"/>
      <c r="BJ13747" s="25"/>
      <c r="BK13747" s="25"/>
    </row>
    <row r="13748" spans="60:63" ht="14.25" x14ac:dyDescent="0.2">
      <c r="BH13748" s="25"/>
      <c r="BI13748" s="25"/>
      <c r="BJ13748" s="25"/>
      <c r="BK13748" s="25"/>
    </row>
    <row r="13749" spans="60:63" ht="14.25" x14ac:dyDescent="0.2">
      <c r="BH13749" s="25"/>
      <c r="BI13749" s="25"/>
      <c r="BJ13749" s="25"/>
      <c r="BK13749" s="25"/>
    </row>
    <row r="13750" spans="60:63" ht="14.25" x14ac:dyDescent="0.2">
      <c r="BH13750" s="25"/>
      <c r="BI13750" s="25"/>
      <c r="BJ13750" s="25"/>
      <c r="BK13750" s="25"/>
    </row>
    <row r="13751" spans="60:63" ht="14.25" x14ac:dyDescent="0.2">
      <c r="BH13751" s="25"/>
      <c r="BI13751" s="25"/>
      <c r="BJ13751" s="25"/>
      <c r="BK13751" s="25"/>
    </row>
    <row r="13752" spans="60:63" ht="14.25" x14ac:dyDescent="0.2">
      <c r="BH13752" s="25"/>
      <c r="BI13752" s="25"/>
      <c r="BJ13752" s="25"/>
      <c r="BK13752" s="25"/>
    </row>
    <row r="13753" spans="60:63" ht="14.25" x14ac:dyDescent="0.2">
      <c r="BH13753" s="25"/>
      <c r="BI13753" s="25"/>
      <c r="BJ13753" s="25"/>
      <c r="BK13753" s="25"/>
    </row>
    <row r="13754" spans="60:63" ht="14.25" x14ac:dyDescent="0.2">
      <c r="BH13754" s="25"/>
      <c r="BI13754" s="25"/>
      <c r="BJ13754" s="25"/>
      <c r="BK13754" s="25"/>
    </row>
    <row r="13755" spans="60:63" ht="14.25" x14ac:dyDescent="0.2">
      <c r="BH13755" s="25"/>
      <c r="BI13755" s="25"/>
      <c r="BJ13755" s="25"/>
      <c r="BK13755" s="25"/>
    </row>
    <row r="13756" spans="60:63" ht="14.25" x14ac:dyDescent="0.2">
      <c r="BH13756" s="25"/>
      <c r="BI13756" s="25"/>
      <c r="BJ13756" s="25"/>
      <c r="BK13756" s="25"/>
    </row>
    <row r="13757" spans="60:63" ht="14.25" x14ac:dyDescent="0.2">
      <c r="BH13757" s="25"/>
      <c r="BI13757" s="25"/>
      <c r="BJ13757" s="25"/>
      <c r="BK13757" s="25"/>
    </row>
    <row r="13758" spans="60:63" ht="14.25" x14ac:dyDescent="0.2">
      <c r="BH13758" s="25"/>
      <c r="BI13758" s="25"/>
      <c r="BJ13758" s="25"/>
      <c r="BK13758" s="25"/>
    </row>
    <row r="13759" spans="60:63" ht="14.25" x14ac:dyDescent="0.2">
      <c r="BH13759" s="25"/>
      <c r="BI13759" s="25"/>
      <c r="BJ13759" s="25"/>
      <c r="BK13759" s="25"/>
    </row>
    <row r="13760" spans="60:63" ht="14.25" x14ac:dyDescent="0.2">
      <c r="BH13760" s="25"/>
      <c r="BI13760" s="25"/>
      <c r="BJ13760" s="25"/>
      <c r="BK13760" s="25"/>
    </row>
    <row r="13761" spans="60:63" ht="14.25" x14ac:dyDescent="0.2">
      <c r="BH13761" s="25"/>
      <c r="BI13761" s="25"/>
      <c r="BJ13761" s="25"/>
      <c r="BK13761" s="25"/>
    </row>
    <row r="13762" spans="60:63" ht="14.25" x14ac:dyDescent="0.2">
      <c r="BH13762" s="25"/>
      <c r="BI13762" s="25"/>
      <c r="BJ13762" s="25"/>
      <c r="BK13762" s="25"/>
    </row>
    <row r="13763" spans="60:63" ht="14.25" x14ac:dyDescent="0.2">
      <c r="BH13763" s="25"/>
      <c r="BI13763" s="25"/>
      <c r="BJ13763" s="25"/>
      <c r="BK13763" s="25"/>
    </row>
    <row r="13764" spans="60:63" ht="14.25" x14ac:dyDescent="0.2">
      <c r="BH13764" s="25"/>
      <c r="BI13764" s="25"/>
      <c r="BJ13764" s="25"/>
      <c r="BK13764" s="25"/>
    </row>
    <row r="13765" spans="60:63" ht="14.25" x14ac:dyDescent="0.2">
      <c r="BH13765" s="25"/>
      <c r="BI13765" s="25"/>
      <c r="BJ13765" s="25"/>
      <c r="BK13765" s="25"/>
    </row>
    <row r="13766" spans="60:63" ht="14.25" x14ac:dyDescent="0.2">
      <c r="BH13766" s="25"/>
      <c r="BI13766" s="25"/>
      <c r="BJ13766" s="25"/>
      <c r="BK13766" s="25"/>
    </row>
    <row r="13767" spans="60:63" ht="14.25" x14ac:dyDescent="0.2">
      <c r="BH13767" s="25"/>
      <c r="BI13767" s="25"/>
      <c r="BJ13767" s="25"/>
      <c r="BK13767" s="25"/>
    </row>
    <row r="13768" spans="60:63" ht="14.25" x14ac:dyDescent="0.2">
      <c r="BH13768" s="25"/>
      <c r="BI13768" s="25"/>
      <c r="BJ13768" s="25"/>
      <c r="BK13768" s="25"/>
    </row>
    <row r="13769" spans="60:63" ht="14.25" x14ac:dyDescent="0.2">
      <c r="BH13769" s="25"/>
      <c r="BI13769" s="25"/>
      <c r="BJ13769" s="25"/>
      <c r="BK13769" s="25"/>
    </row>
    <row r="13770" spans="60:63" ht="14.25" x14ac:dyDescent="0.2">
      <c r="BH13770" s="25"/>
      <c r="BI13770" s="25"/>
      <c r="BJ13770" s="25"/>
      <c r="BK13770" s="25"/>
    </row>
    <row r="13771" spans="60:63" ht="14.25" x14ac:dyDescent="0.2">
      <c r="BH13771" s="25"/>
      <c r="BI13771" s="25"/>
      <c r="BJ13771" s="25"/>
      <c r="BK13771" s="25"/>
    </row>
    <row r="13772" spans="60:63" ht="14.25" x14ac:dyDescent="0.2">
      <c r="BH13772" s="25"/>
      <c r="BI13772" s="25"/>
      <c r="BJ13772" s="25"/>
      <c r="BK13772" s="25"/>
    </row>
    <row r="13773" spans="60:63" ht="14.25" x14ac:dyDescent="0.2">
      <c r="BH13773" s="25"/>
      <c r="BI13773" s="25"/>
      <c r="BJ13773" s="25"/>
      <c r="BK13773" s="25"/>
    </row>
    <row r="13774" spans="60:63" ht="14.25" x14ac:dyDescent="0.2">
      <c r="BH13774" s="25"/>
      <c r="BI13774" s="25"/>
      <c r="BJ13774" s="25"/>
      <c r="BK13774" s="25"/>
    </row>
    <row r="13775" spans="60:63" ht="14.25" x14ac:dyDescent="0.2">
      <c r="BH13775" s="25"/>
      <c r="BI13775" s="25"/>
      <c r="BJ13775" s="25"/>
      <c r="BK13775" s="25"/>
    </row>
    <row r="13776" spans="60:63" ht="14.25" x14ac:dyDescent="0.2">
      <c r="BH13776" s="25"/>
      <c r="BI13776" s="25"/>
      <c r="BJ13776" s="25"/>
      <c r="BK13776" s="25"/>
    </row>
    <row r="13777" spans="60:63" ht="14.25" x14ac:dyDescent="0.2">
      <c r="BH13777" s="25"/>
      <c r="BI13777" s="25"/>
      <c r="BJ13777" s="25"/>
      <c r="BK13777" s="25"/>
    </row>
    <row r="13778" spans="60:63" ht="14.25" x14ac:dyDescent="0.2">
      <c r="BH13778" s="25"/>
      <c r="BI13778" s="25"/>
      <c r="BJ13778" s="25"/>
      <c r="BK13778" s="25"/>
    </row>
    <row r="13779" spans="60:63" ht="14.25" x14ac:dyDescent="0.2">
      <c r="BH13779" s="25"/>
      <c r="BI13779" s="25"/>
      <c r="BJ13779" s="25"/>
      <c r="BK13779" s="25"/>
    </row>
    <row r="13780" spans="60:63" ht="14.25" x14ac:dyDescent="0.2">
      <c r="BH13780" s="25"/>
      <c r="BI13780" s="25"/>
      <c r="BJ13780" s="25"/>
      <c r="BK13780" s="25"/>
    </row>
    <row r="13781" spans="60:63" ht="14.25" x14ac:dyDescent="0.2">
      <c r="BH13781" s="25"/>
      <c r="BI13781" s="25"/>
      <c r="BJ13781" s="25"/>
      <c r="BK13781" s="25"/>
    </row>
    <row r="13782" spans="60:63" ht="14.25" x14ac:dyDescent="0.2">
      <c r="BH13782" s="25"/>
      <c r="BI13782" s="25"/>
      <c r="BJ13782" s="25"/>
      <c r="BK13782" s="25"/>
    </row>
    <row r="13783" spans="60:63" ht="14.25" x14ac:dyDescent="0.2">
      <c r="BH13783" s="25"/>
      <c r="BI13783" s="25"/>
      <c r="BJ13783" s="25"/>
      <c r="BK13783" s="25"/>
    </row>
    <row r="13784" spans="60:63" ht="14.25" x14ac:dyDescent="0.2">
      <c r="BH13784" s="25"/>
      <c r="BI13784" s="25"/>
      <c r="BJ13784" s="25"/>
      <c r="BK13784" s="25"/>
    </row>
    <row r="13785" spans="60:63" ht="14.25" x14ac:dyDescent="0.2">
      <c r="BH13785" s="25"/>
      <c r="BI13785" s="25"/>
      <c r="BJ13785" s="25"/>
      <c r="BK13785" s="25"/>
    </row>
    <row r="13786" spans="60:63" ht="14.25" x14ac:dyDescent="0.2">
      <c r="BH13786" s="25"/>
      <c r="BI13786" s="25"/>
      <c r="BJ13786" s="25"/>
      <c r="BK13786" s="25"/>
    </row>
    <row r="13787" spans="60:63" ht="14.25" x14ac:dyDescent="0.2">
      <c r="BH13787" s="25"/>
      <c r="BI13787" s="25"/>
      <c r="BJ13787" s="25"/>
      <c r="BK13787" s="25"/>
    </row>
    <row r="13788" spans="60:63" ht="14.25" x14ac:dyDescent="0.2">
      <c r="BH13788" s="25"/>
      <c r="BI13788" s="25"/>
      <c r="BJ13788" s="25"/>
      <c r="BK13788" s="25"/>
    </row>
    <row r="13789" spans="60:63" ht="14.25" x14ac:dyDescent="0.2">
      <c r="BH13789" s="25"/>
      <c r="BI13789" s="25"/>
      <c r="BJ13789" s="25"/>
      <c r="BK13789" s="25"/>
    </row>
    <row r="13790" spans="60:63" ht="14.25" x14ac:dyDescent="0.2">
      <c r="BH13790" s="25"/>
      <c r="BI13790" s="25"/>
      <c r="BJ13790" s="25"/>
      <c r="BK13790" s="25"/>
    </row>
    <row r="13791" spans="60:63" ht="14.25" x14ac:dyDescent="0.2">
      <c r="BH13791" s="25"/>
      <c r="BI13791" s="25"/>
      <c r="BJ13791" s="25"/>
      <c r="BK13791" s="25"/>
    </row>
    <row r="13792" spans="60:63" ht="14.25" x14ac:dyDescent="0.2">
      <c r="BH13792" s="25"/>
      <c r="BI13792" s="25"/>
      <c r="BJ13792" s="25"/>
      <c r="BK13792" s="25"/>
    </row>
    <row r="13793" spans="60:63" ht="14.25" x14ac:dyDescent="0.2">
      <c r="BH13793" s="25"/>
      <c r="BI13793" s="25"/>
      <c r="BJ13793" s="25"/>
      <c r="BK13793" s="25"/>
    </row>
    <row r="13794" spans="60:63" ht="14.25" x14ac:dyDescent="0.2">
      <c r="BH13794" s="25"/>
      <c r="BI13794" s="25"/>
      <c r="BJ13794" s="25"/>
      <c r="BK13794" s="25"/>
    </row>
    <row r="13795" spans="60:63" ht="14.25" x14ac:dyDescent="0.2">
      <c r="BH13795" s="25"/>
      <c r="BI13795" s="25"/>
      <c r="BJ13795" s="25"/>
      <c r="BK13795" s="25"/>
    </row>
    <row r="13796" spans="60:63" ht="14.25" x14ac:dyDescent="0.2">
      <c r="BH13796" s="25"/>
      <c r="BI13796" s="25"/>
      <c r="BJ13796" s="25"/>
      <c r="BK13796" s="25"/>
    </row>
    <row r="13797" spans="60:63" ht="14.25" x14ac:dyDescent="0.2">
      <c r="BH13797" s="25"/>
      <c r="BI13797" s="25"/>
      <c r="BJ13797" s="25"/>
      <c r="BK13797" s="25"/>
    </row>
    <row r="13798" spans="60:63" ht="14.25" x14ac:dyDescent="0.2">
      <c r="BH13798" s="25"/>
      <c r="BI13798" s="25"/>
      <c r="BJ13798" s="25"/>
      <c r="BK13798" s="25"/>
    </row>
    <row r="13799" spans="60:63" ht="14.25" x14ac:dyDescent="0.2">
      <c r="BH13799" s="25"/>
      <c r="BI13799" s="25"/>
      <c r="BJ13799" s="25"/>
      <c r="BK13799" s="25"/>
    </row>
    <row r="13800" spans="60:63" ht="14.25" x14ac:dyDescent="0.2">
      <c r="BH13800" s="25"/>
      <c r="BI13800" s="25"/>
      <c r="BJ13800" s="25"/>
      <c r="BK13800" s="25"/>
    </row>
    <row r="13801" spans="60:63" ht="14.25" x14ac:dyDescent="0.2">
      <c r="BH13801" s="25"/>
      <c r="BI13801" s="25"/>
      <c r="BJ13801" s="25"/>
      <c r="BK13801" s="25"/>
    </row>
    <row r="13802" spans="60:63" ht="14.25" x14ac:dyDescent="0.2">
      <c r="BH13802" s="25"/>
      <c r="BI13802" s="25"/>
      <c r="BJ13802" s="25"/>
      <c r="BK13802" s="25"/>
    </row>
    <row r="13803" spans="60:63" ht="14.25" x14ac:dyDescent="0.2">
      <c r="BH13803" s="25"/>
      <c r="BI13803" s="25"/>
      <c r="BJ13803" s="25"/>
      <c r="BK13803" s="25"/>
    </row>
    <row r="13804" spans="60:63" ht="14.25" x14ac:dyDescent="0.2">
      <c r="BH13804" s="25"/>
      <c r="BI13804" s="25"/>
      <c r="BJ13804" s="25"/>
      <c r="BK13804" s="25"/>
    </row>
    <row r="13805" spans="60:63" ht="14.25" x14ac:dyDescent="0.2">
      <c r="BH13805" s="25"/>
      <c r="BI13805" s="25"/>
      <c r="BJ13805" s="25"/>
      <c r="BK13805" s="25"/>
    </row>
    <row r="13806" spans="60:63" ht="14.25" x14ac:dyDescent="0.2">
      <c r="BH13806" s="25"/>
      <c r="BI13806" s="25"/>
      <c r="BJ13806" s="25"/>
      <c r="BK13806" s="25"/>
    </row>
    <row r="13807" spans="60:63" ht="14.25" x14ac:dyDescent="0.2">
      <c r="BH13807" s="25"/>
      <c r="BI13807" s="25"/>
      <c r="BJ13807" s="25"/>
      <c r="BK13807" s="25"/>
    </row>
    <row r="13808" spans="60:63" ht="14.25" x14ac:dyDescent="0.2">
      <c r="BH13808" s="25"/>
      <c r="BI13808" s="25"/>
      <c r="BJ13808" s="25"/>
      <c r="BK13808" s="25"/>
    </row>
    <row r="13809" spans="60:63" ht="14.25" x14ac:dyDescent="0.2">
      <c r="BH13809" s="25"/>
      <c r="BI13809" s="25"/>
      <c r="BJ13809" s="25"/>
      <c r="BK13809" s="25"/>
    </row>
    <row r="13810" spans="60:63" ht="14.25" x14ac:dyDescent="0.2">
      <c r="BH13810" s="25"/>
      <c r="BI13810" s="25"/>
      <c r="BJ13810" s="25"/>
      <c r="BK13810" s="25"/>
    </row>
    <row r="13811" spans="60:63" ht="14.25" x14ac:dyDescent="0.2">
      <c r="BH13811" s="25"/>
      <c r="BI13811" s="25"/>
      <c r="BJ13811" s="25"/>
      <c r="BK13811" s="25"/>
    </row>
    <row r="13812" spans="60:63" ht="14.25" x14ac:dyDescent="0.2">
      <c r="BH13812" s="25"/>
      <c r="BI13812" s="25"/>
      <c r="BJ13812" s="25"/>
      <c r="BK13812" s="25"/>
    </row>
    <row r="13813" spans="60:63" ht="14.25" x14ac:dyDescent="0.2">
      <c r="BH13813" s="25"/>
      <c r="BI13813" s="25"/>
      <c r="BJ13813" s="25"/>
      <c r="BK13813" s="25"/>
    </row>
    <row r="13814" spans="60:63" ht="14.25" x14ac:dyDescent="0.2">
      <c r="BH13814" s="25"/>
      <c r="BI13814" s="25"/>
      <c r="BJ13814" s="25"/>
      <c r="BK13814" s="25"/>
    </row>
    <row r="13815" spans="60:63" ht="14.25" x14ac:dyDescent="0.2">
      <c r="BH13815" s="25"/>
      <c r="BI13815" s="25"/>
      <c r="BJ13815" s="25"/>
      <c r="BK13815" s="25"/>
    </row>
    <row r="13816" spans="60:63" ht="14.25" x14ac:dyDescent="0.2">
      <c r="BH13816" s="25"/>
      <c r="BI13816" s="25"/>
      <c r="BJ13816" s="25"/>
      <c r="BK13816" s="25"/>
    </row>
    <row r="13817" spans="60:63" ht="14.25" x14ac:dyDescent="0.2">
      <c r="BH13817" s="25"/>
      <c r="BI13817" s="25"/>
      <c r="BJ13817" s="25"/>
      <c r="BK13817" s="25"/>
    </row>
    <row r="13818" spans="60:63" ht="14.25" x14ac:dyDescent="0.2">
      <c r="BH13818" s="25"/>
      <c r="BI13818" s="25"/>
      <c r="BJ13818" s="25"/>
      <c r="BK13818" s="25"/>
    </row>
    <row r="13819" spans="60:63" ht="14.25" x14ac:dyDescent="0.2">
      <c r="BH13819" s="25"/>
      <c r="BI13819" s="25"/>
      <c r="BJ13819" s="25"/>
      <c r="BK13819" s="25"/>
    </row>
    <row r="13820" spans="60:63" ht="14.25" x14ac:dyDescent="0.2">
      <c r="BH13820" s="25"/>
      <c r="BI13820" s="25"/>
      <c r="BJ13820" s="25"/>
      <c r="BK13820" s="25"/>
    </row>
    <row r="13821" spans="60:63" ht="14.25" x14ac:dyDescent="0.2">
      <c r="BH13821" s="25"/>
      <c r="BI13821" s="25"/>
      <c r="BJ13821" s="25"/>
      <c r="BK13821" s="25"/>
    </row>
    <row r="13822" spans="60:63" ht="14.25" x14ac:dyDescent="0.2">
      <c r="BH13822" s="25"/>
      <c r="BI13822" s="25"/>
      <c r="BJ13822" s="25"/>
      <c r="BK13822" s="25"/>
    </row>
    <row r="13823" spans="60:63" ht="14.25" x14ac:dyDescent="0.2">
      <c r="BH13823" s="25"/>
      <c r="BI13823" s="25"/>
      <c r="BJ13823" s="25"/>
      <c r="BK13823" s="25"/>
    </row>
    <row r="13824" spans="60:63" ht="14.25" x14ac:dyDescent="0.2">
      <c r="BH13824" s="25"/>
      <c r="BI13824" s="25"/>
      <c r="BJ13824" s="25"/>
      <c r="BK13824" s="25"/>
    </row>
    <row r="13825" spans="60:63" ht="14.25" x14ac:dyDescent="0.2">
      <c r="BH13825" s="25"/>
      <c r="BI13825" s="25"/>
      <c r="BJ13825" s="25"/>
      <c r="BK13825" s="25"/>
    </row>
    <row r="13826" spans="60:63" ht="14.25" x14ac:dyDescent="0.2">
      <c r="BH13826" s="25"/>
      <c r="BI13826" s="25"/>
      <c r="BJ13826" s="25"/>
      <c r="BK13826" s="25"/>
    </row>
    <row r="13827" spans="60:63" ht="14.25" x14ac:dyDescent="0.2">
      <c r="BH13827" s="25"/>
      <c r="BI13827" s="25"/>
      <c r="BJ13827" s="25"/>
      <c r="BK13827" s="25"/>
    </row>
    <row r="13828" spans="60:63" ht="14.25" x14ac:dyDescent="0.2">
      <c r="BH13828" s="25"/>
      <c r="BI13828" s="25"/>
      <c r="BJ13828" s="25"/>
      <c r="BK13828" s="25"/>
    </row>
    <row r="13829" spans="60:63" ht="14.25" x14ac:dyDescent="0.2">
      <c r="BH13829" s="25"/>
      <c r="BI13829" s="25"/>
      <c r="BJ13829" s="25"/>
      <c r="BK13829" s="25"/>
    </row>
    <row r="13830" spans="60:63" ht="14.25" x14ac:dyDescent="0.2">
      <c r="BH13830" s="25"/>
      <c r="BI13830" s="25"/>
      <c r="BJ13830" s="25"/>
      <c r="BK13830" s="25"/>
    </row>
    <row r="13831" spans="60:63" ht="14.25" x14ac:dyDescent="0.2">
      <c r="BH13831" s="25"/>
      <c r="BI13831" s="25"/>
      <c r="BJ13831" s="25"/>
      <c r="BK13831" s="25"/>
    </row>
    <row r="13832" spans="60:63" ht="14.25" x14ac:dyDescent="0.2">
      <c r="BH13832" s="25"/>
      <c r="BI13832" s="25"/>
      <c r="BJ13832" s="25"/>
      <c r="BK13832" s="25"/>
    </row>
    <row r="13833" spans="60:63" ht="14.25" x14ac:dyDescent="0.2">
      <c r="BH13833" s="25"/>
      <c r="BI13833" s="25"/>
      <c r="BJ13833" s="25"/>
      <c r="BK13833" s="25"/>
    </row>
    <row r="13834" spans="60:63" ht="14.25" x14ac:dyDescent="0.2">
      <c r="BH13834" s="25"/>
      <c r="BI13834" s="25"/>
      <c r="BJ13834" s="25"/>
      <c r="BK13834" s="25"/>
    </row>
    <row r="13835" spans="60:63" ht="14.25" x14ac:dyDescent="0.2">
      <c r="BH13835" s="25"/>
      <c r="BI13835" s="25"/>
      <c r="BJ13835" s="25"/>
      <c r="BK13835" s="25"/>
    </row>
    <row r="13836" spans="60:63" ht="14.25" x14ac:dyDescent="0.2">
      <c r="BH13836" s="25"/>
      <c r="BI13836" s="25"/>
      <c r="BJ13836" s="25"/>
      <c r="BK13836" s="25"/>
    </row>
    <row r="13837" spans="60:63" ht="14.25" x14ac:dyDescent="0.2">
      <c r="BH13837" s="25"/>
      <c r="BI13837" s="25"/>
      <c r="BJ13837" s="25"/>
      <c r="BK13837" s="25"/>
    </row>
    <row r="13838" spans="60:63" ht="14.25" x14ac:dyDescent="0.2">
      <c r="BH13838" s="25"/>
      <c r="BI13838" s="25"/>
      <c r="BJ13838" s="25"/>
      <c r="BK13838" s="25"/>
    </row>
    <row r="13839" spans="60:63" ht="14.25" x14ac:dyDescent="0.2">
      <c r="BH13839" s="25"/>
      <c r="BI13839" s="25"/>
      <c r="BJ13839" s="25"/>
      <c r="BK13839" s="25"/>
    </row>
    <row r="13840" spans="60:63" ht="14.25" x14ac:dyDescent="0.2">
      <c r="BH13840" s="25"/>
      <c r="BI13840" s="25"/>
      <c r="BJ13840" s="25"/>
      <c r="BK13840" s="25"/>
    </row>
    <row r="13841" spans="60:63" ht="14.25" x14ac:dyDescent="0.2">
      <c r="BH13841" s="25"/>
      <c r="BI13841" s="25"/>
      <c r="BJ13841" s="25"/>
      <c r="BK13841" s="25"/>
    </row>
    <row r="13842" spans="60:63" ht="14.25" x14ac:dyDescent="0.2">
      <c r="BH13842" s="25"/>
      <c r="BI13842" s="25"/>
      <c r="BJ13842" s="25"/>
      <c r="BK13842" s="25"/>
    </row>
    <row r="13843" spans="60:63" ht="14.25" x14ac:dyDescent="0.2">
      <c r="BH13843" s="25"/>
      <c r="BI13843" s="25"/>
      <c r="BJ13843" s="25"/>
      <c r="BK13843" s="25"/>
    </row>
    <row r="13844" spans="60:63" ht="14.25" x14ac:dyDescent="0.2">
      <c r="BH13844" s="25"/>
      <c r="BI13844" s="25"/>
      <c r="BJ13844" s="25"/>
      <c r="BK13844" s="25"/>
    </row>
    <row r="13845" spans="60:63" ht="14.25" x14ac:dyDescent="0.2">
      <c r="BH13845" s="25"/>
      <c r="BI13845" s="25"/>
      <c r="BJ13845" s="25"/>
      <c r="BK13845" s="25"/>
    </row>
    <row r="13846" spans="60:63" ht="14.25" x14ac:dyDescent="0.2">
      <c r="BH13846" s="25"/>
      <c r="BI13846" s="25"/>
      <c r="BJ13846" s="25"/>
      <c r="BK13846" s="25"/>
    </row>
    <row r="13847" spans="60:63" ht="14.25" x14ac:dyDescent="0.2">
      <c r="BH13847" s="25"/>
      <c r="BI13847" s="25"/>
      <c r="BJ13847" s="25"/>
      <c r="BK13847" s="25"/>
    </row>
    <row r="13848" spans="60:63" ht="14.25" x14ac:dyDescent="0.2">
      <c r="BH13848" s="25"/>
      <c r="BI13848" s="25"/>
      <c r="BJ13848" s="25"/>
      <c r="BK13848" s="25"/>
    </row>
    <row r="13849" spans="60:63" ht="14.25" x14ac:dyDescent="0.2">
      <c r="BH13849" s="25"/>
      <c r="BI13849" s="25"/>
      <c r="BJ13849" s="25"/>
      <c r="BK13849" s="25"/>
    </row>
    <row r="13850" spans="60:63" ht="14.25" x14ac:dyDescent="0.2">
      <c r="BH13850" s="25"/>
      <c r="BI13850" s="25"/>
      <c r="BJ13850" s="25"/>
      <c r="BK13850" s="25"/>
    </row>
    <row r="13851" spans="60:63" ht="14.25" x14ac:dyDescent="0.2">
      <c r="BH13851" s="25"/>
      <c r="BI13851" s="25"/>
      <c r="BJ13851" s="25"/>
      <c r="BK13851" s="25"/>
    </row>
    <row r="13852" spans="60:63" ht="14.25" x14ac:dyDescent="0.2">
      <c r="BH13852" s="25"/>
      <c r="BI13852" s="25"/>
      <c r="BJ13852" s="25"/>
      <c r="BK13852" s="25"/>
    </row>
    <row r="13853" spans="60:63" ht="14.25" x14ac:dyDescent="0.2">
      <c r="BH13853" s="25"/>
      <c r="BI13853" s="25"/>
      <c r="BJ13853" s="25"/>
      <c r="BK13853" s="25"/>
    </row>
    <row r="13854" spans="60:63" ht="14.25" x14ac:dyDescent="0.2">
      <c r="BH13854" s="25"/>
      <c r="BI13854" s="25"/>
      <c r="BJ13854" s="25"/>
      <c r="BK13854" s="25"/>
    </row>
    <row r="13855" spans="60:63" ht="14.25" x14ac:dyDescent="0.2">
      <c r="BH13855" s="25"/>
      <c r="BI13855" s="25"/>
      <c r="BJ13855" s="25"/>
      <c r="BK13855" s="25"/>
    </row>
    <row r="13856" spans="60:63" ht="14.25" x14ac:dyDescent="0.2">
      <c r="BH13856" s="25"/>
      <c r="BI13856" s="25"/>
      <c r="BJ13856" s="25"/>
      <c r="BK13856" s="25"/>
    </row>
    <row r="13857" spans="60:63" ht="14.25" x14ac:dyDescent="0.2">
      <c r="BH13857" s="25"/>
      <c r="BI13857" s="25"/>
      <c r="BJ13857" s="25"/>
      <c r="BK13857" s="25"/>
    </row>
    <row r="13858" spans="60:63" ht="14.25" x14ac:dyDescent="0.2">
      <c r="BH13858" s="25"/>
      <c r="BI13858" s="25"/>
      <c r="BJ13858" s="25"/>
      <c r="BK13858" s="25"/>
    </row>
    <row r="13859" spans="60:63" ht="14.25" x14ac:dyDescent="0.2">
      <c r="BH13859" s="25"/>
      <c r="BI13859" s="25"/>
      <c r="BJ13859" s="25"/>
      <c r="BK13859" s="25"/>
    </row>
    <row r="13860" spans="60:63" ht="14.25" x14ac:dyDescent="0.2">
      <c r="BH13860" s="25"/>
      <c r="BI13860" s="25"/>
      <c r="BJ13860" s="25"/>
      <c r="BK13860" s="25"/>
    </row>
    <row r="13861" spans="60:63" ht="14.25" x14ac:dyDescent="0.2">
      <c r="BH13861" s="25"/>
      <c r="BI13861" s="25"/>
      <c r="BJ13861" s="25"/>
      <c r="BK13861" s="25"/>
    </row>
    <row r="13862" spans="60:63" ht="14.25" x14ac:dyDescent="0.2">
      <c r="BH13862" s="25"/>
      <c r="BI13862" s="25"/>
      <c r="BJ13862" s="25"/>
      <c r="BK13862" s="25"/>
    </row>
    <row r="13863" spans="60:63" ht="14.25" x14ac:dyDescent="0.2">
      <c r="BH13863" s="25"/>
      <c r="BI13863" s="25"/>
      <c r="BJ13863" s="25"/>
      <c r="BK13863" s="25"/>
    </row>
    <row r="13864" spans="60:63" ht="14.25" x14ac:dyDescent="0.2">
      <c r="BH13864" s="25"/>
      <c r="BI13864" s="25"/>
      <c r="BJ13864" s="25"/>
      <c r="BK13864" s="25"/>
    </row>
    <row r="13865" spans="60:63" ht="14.25" x14ac:dyDescent="0.2">
      <c r="BH13865" s="25"/>
      <c r="BI13865" s="25"/>
      <c r="BJ13865" s="25"/>
      <c r="BK13865" s="25"/>
    </row>
    <row r="13866" spans="60:63" ht="14.25" x14ac:dyDescent="0.2">
      <c r="BH13866" s="25"/>
      <c r="BI13866" s="25"/>
      <c r="BJ13866" s="25"/>
      <c r="BK13866" s="25"/>
    </row>
    <row r="13867" spans="60:63" ht="14.25" x14ac:dyDescent="0.2">
      <c r="BH13867" s="25"/>
      <c r="BI13867" s="25"/>
      <c r="BJ13867" s="25"/>
      <c r="BK13867" s="25"/>
    </row>
    <row r="13868" spans="60:63" ht="14.25" x14ac:dyDescent="0.2">
      <c r="BH13868" s="25"/>
      <c r="BI13868" s="25"/>
      <c r="BJ13868" s="25"/>
      <c r="BK13868" s="25"/>
    </row>
    <row r="13869" spans="60:63" ht="14.25" x14ac:dyDescent="0.2">
      <c r="BH13869" s="25"/>
      <c r="BI13869" s="25"/>
      <c r="BJ13869" s="25"/>
      <c r="BK13869" s="25"/>
    </row>
    <row r="13870" spans="60:63" ht="14.25" x14ac:dyDescent="0.2">
      <c r="BH13870" s="25"/>
      <c r="BI13870" s="25"/>
      <c r="BJ13870" s="25"/>
      <c r="BK13870" s="25"/>
    </row>
    <row r="13871" spans="60:63" ht="14.25" x14ac:dyDescent="0.2">
      <c r="BH13871" s="25"/>
      <c r="BI13871" s="25"/>
      <c r="BJ13871" s="25"/>
      <c r="BK13871" s="25"/>
    </row>
    <row r="13872" spans="60:63" ht="14.25" x14ac:dyDescent="0.2">
      <c r="BH13872" s="25"/>
      <c r="BI13872" s="25"/>
      <c r="BJ13872" s="25"/>
      <c r="BK13872" s="25"/>
    </row>
    <row r="13873" spans="60:63" ht="14.25" x14ac:dyDescent="0.2">
      <c r="BH13873" s="25"/>
      <c r="BI13873" s="25"/>
      <c r="BJ13873" s="25"/>
      <c r="BK13873" s="25"/>
    </row>
    <row r="13874" spans="60:63" ht="14.25" x14ac:dyDescent="0.2">
      <c r="BH13874" s="25"/>
      <c r="BI13874" s="25"/>
      <c r="BJ13874" s="25"/>
      <c r="BK13874" s="25"/>
    </row>
    <row r="13875" spans="60:63" ht="14.25" x14ac:dyDescent="0.2">
      <c r="BH13875" s="25"/>
      <c r="BI13875" s="25"/>
      <c r="BJ13875" s="25"/>
      <c r="BK13875" s="25"/>
    </row>
    <row r="13876" spans="60:63" ht="14.25" x14ac:dyDescent="0.2">
      <c r="BH13876" s="25"/>
      <c r="BI13876" s="25"/>
      <c r="BJ13876" s="25"/>
      <c r="BK13876" s="25"/>
    </row>
    <row r="13877" spans="60:63" ht="14.25" x14ac:dyDescent="0.2">
      <c r="BH13877" s="25"/>
      <c r="BI13877" s="25"/>
      <c r="BJ13877" s="25"/>
      <c r="BK13877" s="25"/>
    </row>
    <row r="13878" spans="60:63" ht="14.25" x14ac:dyDescent="0.2">
      <c r="BH13878" s="25"/>
      <c r="BI13878" s="25"/>
      <c r="BJ13878" s="25"/>
      <c r="BK13878" s="25"/>
    </row>
    <row r="13879" spans="60:63" ht="14.25" x14ac:dyDescent="0.2">
      <c r="BH13879" s="25"/>
      <c r="BI13879" s="25"/>
      <c r="BJ13879" s="25"/>
      <c r="BK13879" s="25"/>
    </row>
    <row r="13880" spans="60:63" ht="14.25" x14ac:dyDescent="0.2">
      <c r="BH13880" s="25"/>
      <c r="BI13880" s="25"/>
      <c r="BJ13880" s="25"/>
      <c r="BK13880" s="25"/>
    </row>
    <row r="13881" spans="60:63" ht="14.25" x14ac:dyDescent="0.2">
      <c r="BH13881" s="25"/>
      <c r="BI13881" s="25"/>
      <c r="BJ13881" s="25"/>
      <c r="BK13881" s="25"/>
    </row>
    <row r="13882" spans="60:63" ht="14.25" x14ac:dyDescent="0.2">
      <c r="BH13882" s="25"/>
      <c r="BI13882" s="25"/>
      <c r="BJ13882" s="25"/>
      <c r="BK13882" s="25"/>
    </row>
    <row r="13883" spans="60:63" ht="14.25" x14ac:dyDescent="0.2">
      <c r="BH13883" s="25"/>
      <c r="BI13883" s="25"/>
      <c r="BJ13883" s="25"/>
      <c r="BK13883" s="25"/>
    </row>
    <row r="13884" spans="60:63" ht="14.25" x14ac:dyDescent="0.2">
      <c r="BH13884" s="25"/>
      <c r="BI13884" s="25"/>
      <c r="BJ13884" s="25"/>
      <c r="BK13884" s="25"/>
    </row>
    <row r="13885" spans="60:63" ht="14.25" x14ac:dyDescent="0.2">
      <c r="BH13885" s="25"/>
      <c r="BI13885" s="25"/>
      <c r="BJ13885" s="25"/>
      <c r="BK13885" s="25"/>
    </row>
    <row r="13886" spans="60:63" ht="14.25" x14ac:dyDescent="0.2">
      <c r="BH13886" s="25"/>
      <c r="BI13886" s="25"/>
      <c r="BJ13886" s="25"/>
      <c r="BK13886" s="25"/>
    </row>
    <row r="13887" spans="60:63" ht="14.25" x14ac:dyDescent="0.2">
      <c r="BH13887" s="25"/>
      <c r="BI13887" s="25"/>
      <c r="BJ13887" s="25"/>
      <c r="BK13887" s="25"/>
    </row>
    <row r="13888" spans="60:63" ht="14.25" x14ac:dyDescent="0.2">
      <c r="BH13888" s="25"/>
      <c r="BI13888" s="25"/>
      <c r="BJ13888" s="25"/>
      <c r="BK13888" s="25"/>
    </row>
    <row r="13889" spans="60:63" ht="14.25" x14ac:dyDescent="0.2">
      <c r="BH13889" s="25"/>
      <c r="BI13889" s="25"/>
      <c r="BJ13889" s="25"/>
      <c r="BK13889" s="25"/>
    </row>
    <row r="13890" spans="60:63" ht="14.25" x14ac:dyDescent="0.2">
      <c r="BH13890" s="25"/>
      <c r="BI13890" s="25"/>
      <c r="BJ13890" s="25"/>
      <c r="BK13890" s="25"/>
    </row>
    <row r="13891" spans="60:63" ht="14.25" x14ac:dyDescent="0.2">
      <c r="BH13891" s="25"/>
      <c r="BI13891" s="25"/>
      <c r="BJ13891" s="25"/>
      <c r="BK13891" s="25"/>
    </row>
    <row r="13892" spans="60:63" ht="14.25" x14ac:dyDescent="0.2">
      <c r="BH13892" s="25"/>
      <c r="BI13892" s="25"/>
      <c r="BJ13892" s="25"/>
      <c r="BK13892" s="25"/>
    </row>
    <row r="13893" spans="60:63" ht="14.25" x14ac:dyDescent="0.2">
      <c r="BH13893" s="25"/>
      <c r="BI13893" s="25"/>
      <c r="BJ13893" s="25"/>
      <c r="BK13893" s="25"/>
    </row>
    <row r="13894" spans="60:63" ht="14.25" x14ac:dyDescent="0.2">
      <c r="BH13894" s="25"/>
      <c r="BI13894" s="25"/>
      <c r="BJ13894" s="25"/>
      <c r="BK13894" s="25"/>
    </row>
    <row r="13895" spans="60:63" ht="14.25" x14ac:dyDescent="0.2">
      <c r="BH13895" s="25"/>
      <c r="BI13895" s="25"/>
      <c r="BJ13895" s="25"/>
      <c r="BK13895" s="25"/>
    </row>
    <row r="13896" spans="60:63" ht="14.25" x14ac:dyDescent="0.2">
      <c r="BH13896" s="25"/>
      <c r="BI13896" s="25"/>
      <c r="BJ13896" s="25"/>
      <c r="BK13896" s="25"/>
    </row>
    <row r="13897" spans="60:63" ht="14.25" x14ac:dyDescent="0.2">
      <c r="BH13897" s="25"/>
      <c r="BI13897" s="25"/>
      <c r="BJ13897" s="25"/>
      <c r="BK13897" s="25"/>
    </row>
    <row r="13898" spans="60:63" ht="14.25" x14ac:dyDescent="0.2">
      <c r="BH13898" s="25"/>
      <c r="BI13898" s="25"/>
      <c r="BJ13898" s="25"/>
      <c r="BK13898" s="25"/>
    </row>
    <row r="13899" spans="60:63" ht="14.25" x14ac:dyDescent="0.2">
      <c r="BH13899" s="25"/>
      <c r="BI13899" s="25"/>
      <c r="BJ13899" s="25"/>
      <c r="BK13899" s="25"/>
    </row>
    <row r="13900" spans="60:63" ht="14.25" x14ac:dyDescent="0.2">
      <c r="BH13900" s="25"/>
      <c r="BI13900" s="25"/>
      <c r="BJ13900" s="25"/>
      <c r="BK13900" s="25"/>
    </row>
    <row r="13901" spans="60:63" ht="14.25" x14ac:dyDescent="0.2">
      <c r="BH13901" s="25"/>
      <c r="BI13901" s="25"/>
      <c r="BJ13901" s="25"/>
      <c r="BK13901" s="25"/>
    </row>
    <row r="13902" spans="60:63" ht="14.25" x14ac:dyDescent="0.2">
      <c r="BH13902" s="25"/>
      <c r="BI13902" s="25"/>
      <c r="BJ13902" s="25"/>
      <c r="BK13902" s="25"/>
    </row>
    <row r="13903" spans="60:63" ht="14.25" x14ac:dyDescent="0.2">
      <c r="BH13903" s="25"/>
      <c r="BI13903" s="25"/>
      <c r="BJ13903" s="25"/>
      <c r="BK13903" s="25"/>
    </row>
    <row r="13904" spans="60:63" ht="14.25" x14ac:dyDescent="0.2">
      <c r="BH13904" s="25"/>
      <c r="BI13904" s="25"/>
      <c r="BJ13904" s="25"/>
      <c r="BK13904" s="25"/>
    </row>
    <row r="13905" spans="60:63" ht="14.25" x14ac:dyDescent="0.2">
      <c r="BH13905" s="25"/>
      <c r="BI13905" s="25"/>
      <c r="BJ13905" s="25"/>
      <c r="BK13905" s="25"/>
    </row>
    <row r="13906" spans="60:63" ht="14.25" x14ac:dyDescent="0.2">
      <c r="BH13906" s="25"/>
      <c r="BI13906" s="25"/>
      <c r="BJ13906" s="25"/>
      <c r="BK13906" s="25"/>
    </row>
    <row r="13907" spans="60:63" ht="14.25" x14ac:dyDescent="0.2">
      <c r="BH13907" s="25"/>
      <c r="BI13907" s="25"/>
      <c r="BJ13907" s="25"/>
      <c r="BK13907" s="25"/>
    </row>
    <row r="13908" spans="60:63" ht="14.25" x14ac:dyDescent="0.2">
      <c r="BH13908" s="25"/>
      <c r="BI13908" s="25"/>
      <c r="BJ13908" s="25"/>
      <c r="BK13908" s="25"/>
    </row>
    <row r="13909" spans="60:63" ht="14.25" x14ac:dyDescent="0.2">
      <c r="BH13909" s="25"/>
      <c r="BI13909" s="25"/>
      <c r="BJ13909" s="25"/>
      <c r="BK13909" s="25"/>
    </row>
    <row r="13910" spans="60:63" ht="14.25" x14ac:dyDescent="0.2">
      <c r="BH13910" s="25"/>
      <c r="BI13910" s="25"/>
      <c r="BJ13910" s="25"/>
      <c r="BK13910" s="25"/>
    </row>
    <row r="13911" spans="60:63" ht="14.25" x14ac:dyDescent="0.2">
      <c r="BH13911" s="25"/>
      <c r="BI13911" s="25"/>
      <c r="BJ13911" s="25"/>
      <c r="BK13911" s="25"/>
    </row>
    <row r="13912" spans="60:63" ht="14.25" x14ac:dyDescent="0.2">
      <c r="BH13912" s="25"/>
      <c r="BI13912" s="25"/>
      <c r="BJ13912" s="25"/>
      <c r="BK13912" s="25"/>
    </row>
    <row r="13913" spans="60:63" ht="14.25" x14ac:dyDescent="0.2">
      <c r="BH13913" s="25"/>
      <c r="BI13913" s="25"/>
      <c r="BJ13913" s="25"/>
      <c r="BK13913" s="25"/>
    </row>
    <row r="13914" spans="60:63" ht="14.25" x14ac:dyDescent="0.2">
      <c r="BH13914" s="25"/>
      <c r="BI13914" s="25"/>
      <c r="BJ13914" s="25"/>
      <c r="BK13914" s="25"/>
    </row>
    <row r="13915" spans="60:63" ht="14.25" x14ac:dyDescent="0.2">
      <c r="BH13915" s="25"/>
      <c r="BI13915" s="25"/>
      <c r="BJ13915" s="25"/>
      <c r="BK13915" s="25"/>
    </row>
    <row r="13916" spans="60:63" ht="14.25" x14ac:dyDescent="0.2">
      <c r="BH13916" s="25"/>
      <c r="BI13916" s="25"/>
      <c r="BJ13916" s="25"/>
      <c r="BK13916" s="25"/>
    </row>
    <row r="13917" spans="60:63" ht="14.25" x14ac:dyDescent="0.2">
      <c r="BH13917" s="25"/>
      <c r="BI13917" s="25"/>
      <c r="BJ13917" s="25"/>
      <c r="BK13917" s="25"/>
    </row>
    <row r="13918" spans="60:63" ht="14.25" x14ac:dyDescent="0.2">
      <c r="BH13918" s="25"/>
      <c r="BI13918" s="25"/>
      <c r="BJ13918" s="25"/>
      <c r="BK13918" s="25"/>
    </row>
    <row r="13919" spans="60:63" ht="14.25" x14ac:dyDescent="0.2">
      <c r="BH13919" s="25"/>
      <c r="BI13919" s="25"/>
      <c r="BJ13919" s="25"/>
      <c r="BK13919" s="25"/>
    </row>
    <row r="13920" spans="60:63" ht="14.25" x14ac:dyDescent="0.2">
      <c r="BH13920" s="25"/>
      <c r="BI13920" s="25"/>
      <c r="BJ13920" s="25"/>
      <c r="BK13920" s="25"/>
    </row>
    <row r="13921" spans="60:63" ht="14.25" x14ac:dyDescent="0.2">
      <c r="BH13921" s="25"/>
      <c r="BI13921" s="25"/>
      <c r="BJ13921" s="25"/>
      <c r="BK13921" s="25"/>
    </row>
    <row r="13922" spans="60:63" ht="14.25" x14ac:dyDescent="0.2">
      <c r="BH13922" s="25"/>
      <c r="BI13922" s="25"/>
      <c r="BJ13922" s="25"/>
      <c r="BK13922" s="25"/>
    </row>
    <row r="13923" spans="60:63" ht="14.25" x14ac:dyDescent="0.2">
      <c r="BH13923" s="25"/>
      <c r="BI13923" s="25"/>
      <c r="BJ13923" s="25"/>
      <c r="BK13923" s="25"/>
    </row>
    <row r="13924" spans="60:63" ht="14.25" x14ac:dyDescent="0.2">
      <c r="BH13924" s="25"/>
      <c r="BI13924" s="25"/>
      <c r="BJ13924" s="25"/>
      <c r="BK13924" s="25"/>
    </row>
    <row r="13925" spans="60:63" ht="14.25" x14ac:dyDescent="0.2">
      <c r="BH13925" s="25"/>
      <c r="BI13925" s="25"/>
      <c r="BJ13925" s="25"/>
      <c r="BK13925" s="25"/>
    </row>
    <row r="13926" spans="60:63" ht="14.25" x14ac:dyDescent="0.2">
      <c r="BH13926" s="25"/>
      <c r="BI13926" s="25"/>
      <c r="BJ13926" s="25"/>
      <c r="BK13926" s="25"/>
    </row>
    <row r="13927" spans="60:63" ht="14.25" x14ac:dyDescent="0.2">
      <c r="BH13927" s="25"/>
      <c r="BI13927" s="25"/>
      <c r="BJ13927" s="25"/>
      <c r="BK13927" s="25"/>
    </row>
    <row r="13928" spans="60:63" ht="14.25" x14ac:dyDescent="0.2">
      <c r="BH13928" s="25"/>
      <c r="BI13928" s="25"/>
      <c r="BJ13928" s="25"/>
      <c r="BK13928" s="25"/>
    </row>
    <row r="13929" spans="60:63" ht="14.25" x14ac:dyDescent="0.2">
      <c r="BH13929" s="25"/>
      <c r="BI13929" s="25"/>
      <c r="BJ13929" s="25"/>
      <c r="BK13929" s="25"/>
    </row>
    <row r="13930" spans="60:63" ht="14.25" x14ac:dyDescent="0.2">
      <c r="BH13930" s="25"/>
      <c r="BI13930" s="25"/>
      <c r="BJ13930" s="25"/>
      <c r="BK13930" s="25"/>
    </row>
    <row r="13931" spans="60:63" ht="14.25" x14ac:dyDescent="0.2">
      <c r="BH13931" s="25"/>
      <c r="BI13931" s="25"/>
      <c r="BJ13931" s="25"/>
      <c r="BK13931" s="25"/>
    </row>
    <row r="13932" spans="60:63" ht="14.25" x14ac:dyDescent="0.2">
      <c r="BH13932" s="25"/>
      <c r="BI13932" s="25"/>
      <c r="BJ13932" s="25"/>
      <c r="BK13932" s="25"/>
    </row>
    <row r="13933" spans="60:63" ht="14.25" x14ac:dyDescent="0.2">
      <c r="BH13933" s="25"/>
      <c r="BI13933" s="25"/>
      <c r="BJ13933" s="25"/>
      <c r="BK13933" s="25"/>
    </row>
    <row r="13934" spans="60:63" ht="14.25" x14ac:dyDescent="0.2">
      <c r="BH13934" s="25"/>
      <c r="BI13934" s="25"/>
      <c r="BJ13934" s="25"/>
      <c r="BK13934" s="25"/>
    </row>
    <row r="13935" spans="60:63" ht="14.25" x14ac:dyDescent="0.2">
      <c r="BH13935" s="25"/>
      <c r="BI13935" s="25"/>
      <c r="BJ13935" s="25"/>
      <c r="BK13935" s="25"/>
    </row>
    <row r="13936" spans="60:63" ht="14.25" x14ac:dyDescent="0.2">
      <c r="BH13936" s="25"/>
      <c r="BI13936" s="25"/>
      <c r="BJ13936" s="25"/>
      <c r="BK13936" s="25"/>
    </row>
    <row r="13937" spans="60:63" ht="14.25" x14ac:dyDescent="0.2">
      <c r="BH13937" s="25"/>
      <c r="BI13937" s="25"/>
      <c r="BJ13937" s="25"/>
      <c r="BK13937" s="25"/>
    </row>
    <row r="13938" spans="60:63" ht="14.25" x14ac:dyDescent="0.2">
      <c r="BH13938" s="25"/>
      <c r="BI13938" s="25"/>
      <c r="BJ13938" s="25"/>
      <c r="BK13938" s="25"/>
    </row>
    <row r="13939" spans="60:63" ht="14.25" x14ac:dyDescent="0.2">
      <c r="BH13939" s="25"/>
      <c r="BI13939" s="25"/>
      <c r="BJ13939" s="25"/>
      <c r="BK13939" s="25"/>
    </row>
    <row r="13940" spans="60:63" ht="14.25" x14ac:dyDescent="0.2">
      <c r="BH13940" s="25"/>
      <c r="BI13940" s="25"/>
      <c r="BJ13940" s="25"/>
      <c r="BK13940" s="25"/>
    </row>
    <row r="13941" spans="60:63" ht="14.25" x14ac:dyDescent="0.2">
      <c r="BH13941" s="25"/>
      <c r="BI13941" s="25"/>
      <c r="BJ13941" s="25"/>
      <c r="BK13941" s="25"/>
    </row>
    <row r="13942" spans="60:63" ht="14.25" x14ac:dyDescent="0.2">
      <c r="BH13942" s="25"/>
      <c r="BI13942" s="25"/>
      <c r="BJ13942" s="25"/>
      <c r="BK13942" s="25"/>
    </row>
    <row r="13943" spans="60:63" ht="14.25" x14ac:dyDescent="0.2">
      <c r="BH13943" s="25"/>
      <c r="BI13943" s="25"/>
      <c r="BJ13943" s="25"/>
      <c r="BK13943" s="25"/>
    </row>
    <row r="13944" spans="60:63" ht="14.25" x14ac:dyDescent="0.2">
      <c r="BH13944" s="25"/>
      <c r="BI13944" s="25"/>
      <c r="BJ13944" s="25"/>
      <c r="BK13944" s="25"/>
    </row>
    <row r="13945" spans="60:63" ht="14.25" x14ac:dyDescent="0.2">
      <c r="BH13945" s="25"/>
      <c r="BI13945" s="25"/>
      <c r="BJ13945" s="25"/>
      <c r="BK13945" s="25"/>
    </row>
    <row r="13946" spans="60:63" ht="14.25" x14ac:dyDescent="0.2">
      <c r="BH13946" s="25"/>
      <c r="BI13946" s="25"/>
      <c r="BJ13946" s="25"/>
      <c r="BK13946" s="25"/>
    </row>
    <row r="13947" spans="60:63" ht="14.25" x14ac:dyDescent="0.2">
      <c r="BH13947" s="25"/>
      <c r="BI13947" s="25"/>
      <c r="BJ13947" s="25"/>
      <c r="BK13947" s="25"/>
    </row>
    <row r="13948" spans="60:63" ht="14.25" x14ac:dyDescent="0.2">
      <c r="BH13948" s="25"/>
      <c r="BI13948" s="25"/>
      <c r="BJ13948" s="25"/>
      <c r="BK13948" s="25"/>
    </row>
    <row r="13949" spans="60:63" ht="14.25" x14ac:dyDescent="0.2">
      <c r="BH13949" s="25"/>
      <c r="BI13949" s="25"/>
      <c r="BJ13949" s="25"/>
      <c r="BK13949" s="25"/>
    </row>
    <row r="13950" spans="60:63" ht="14.25" x14ac:dyDescent="0.2">
      <c r="BH13950" s="25"/>
      <c r="BI13950" s="25"/>
      <c r="BJ13950" s="25"/>
      <c r="BK13950" s="25"/>
    </row>
    <row r="13951" spans="60:63" ht="14.25" x14ac:dyDescent="0.2">
      <c r="BH13951" s="25"/>
      <c r="BI13951" s="25"/>
      <c r="BJ13951" s="25"/>
      <c r="BK13951" s="25"/>
    </row>
    <row r="13952" spans="60:63" ht="14.25" x14ac:dyDescent="0.2">
      <c r="BH13952" s="25"/>
      <c r="BI13952" s="25"/>
      <c r="BJ13952" s="25"/>
      <c r="BK13952" s="25"/>
    </row>
    <row r="13953" spans="60:63" ht="14.25" x14ac:dyDescent="0.2">
      <c r="BH13953" s="25"/>
      <c r="BI13953" s="25"/>
      <c r="BJ13953" s="25"/>
      <c r="BK13953" s="25"/>
    </row>
    <row r="13954" spans="60:63" ht="14.25" x14ac:dyDescent="0.2">
      <c r="BH13954" s="25"/>
      <c r="BI13954" s="25"/>
      <c r="BJ13954" s="25"/>
      <c r="BK13954" s="25"/>
    </row>
    <row r="13955" spans="60:63" ht="14.25" x14ac:dyDescent="0.2">
      <c r="BH13955" s="25"/>
      <c r="BI13955" s="25"/>
      <c r="BJ13955" s="25"/>
      <c r="BK13955" s="25"/>
    </row>
    <row r="13956" spans="60:63" ht="14.25" x14ac:dyDescent="0.2">
      <c r="BH13956" s="25"/>
      <c r="BI13956" s="25"/>
      <c r="BJ13956" s="25"/>
      <c r="BK13956" s="25"/>
    </row>
    <row r="13957" spans="60:63" ht="14.25" x14ac:dyDescent="0.2">
      <c r="BH13957" s="25"/>
      <c r="BI13957" s="25"/>
      <c r="BJ13957" s="25"/>
      <c r="BK13957" s="25"/>
    </row>
    <row r="13958" spans="60:63" ht="14.25" x14ac:dyDescent="0.2">
      <c r="BH13958" s="25"/>
      <c r="BI13958" s="25"/>
      <c r="BJ13958" s="25"/>
      <c r="BK13958" s="25"/>
    </row>
    <row r="13959" spans="60:63" ht="14.25" x14ac:dyDescent="0.2">
      <c r="BH13959" s="25"/>
      <c r="BI13959" s="25"/>
      <c r="BJ13959" s="25"/>
      <c r="BK13959" s="25"/>
    </row>
    <row r="13960" spans="60:63" ht="14.25" x14ac:dyDescent="0.2">
      <c r="BH13960" s="25"/>
      <c r="BI13960" s="25"/>
      <c r="BJ13960" s="25"/>
      <c r="BK13960" s="25"/>
    </row>
    <row r="13961" spans="60:63" ht="14.25" x14ac:dyDescent="0.2">
      <c r="BH13961" s="25"/>
      <c r="BI13961" s="25"/>
      <c r="BJ13961" s="25"/>
      <c r="BK13961" s="25"/>
    </row>
    <row r="13962" spans="60:63" ht="14.25" x14ac:dyDescent="0.2">
      <c r="BH13962" s="25"/>
      <c r="BI13962" s="25"/>
      <c r="BJ13962" s="25"/>
      <c r="BK13962" s="25"/>
    </row>
    <row r="13963" spans="60:63" ht="14.25" x14ac:dyDescent="0.2">
      <c r="BH13963" s="25"/>
      <c r="BI13963" s="25"/>
      <c r="BJ13963" s="25"/>
      <c r="BK13963" s="25"/>
    </row>
    <row r="13964" spans="60:63" ht="14.25" x14ac:dyDescent="0.2">
      <c r="BH13964" s="25"/>
      <c r="BI13964" s="25"/>
      <c r="BJ13964" s="25"/>
      <c r="BK13964" s="25"/>
    </row>
    <row r="13965" spans="60:63" ht="14.25" x14ac:dyDescent="0.2">
      <c r="BH13965" s="25"/>
      <c r="BI13965" s="25"/>
      <c r="BJ13965" s="25"/>
      <c r="BK13965" s="25"/>
    </row>
    <row r="13966" spans="60:63" ht="14.25" x14ac:dyDescent="0.2">
      <c r="BH13966" s="25"/>
      <c r="BI13966" s="25"/>
      <c r="BJ13966" s="25"/>
      <c r="BK13966" s="25"/>
    </row>
    <row r="13967" spans="60:63" ht="14.25" x14ac:dyDescent="0.2">
      <c r="BH13967" s="25"/>
      <c r="BI13967" s="25"/>
      <c r="BJ13967" s="25"/>
      <c r="BK13967" s="25"/>
    </row>
    <row r="13968" spans="60:63" ht="14.25" x14ac:dyDescent="0.2">
      <c r="BH13968" s="25"/>
      <c r="BI13968" s="25"/>
      <c r="BJ13968" s="25"/>
      <c r="BK13968" s="25"/>
    </row>
    <row r="13969" spans="60:63" ht="14.25" x14ac:dyDescent="0.2">
      <c r="BH13969" s="25"/>
      <c r="BI13969" s="25"/>
      <c r="BJ13969" s="25"/>
      <c r="BK13969" s="25"/>
    </row>
    <row r="13970" spans="60:63" ht="14.25" x14ac:dyDescent="0.2">
      <c r="BH13970" s="25"/>
      <c r="BI13970" s="25"/>
      <c r="BJ13970" s="25"/>
      <c r="BK13970" s="25"/>
    </row>
    <row r="13971" spans="60:63" ht="14.25" x14ac:dyDescent="0.2">
      <c r="BH13971" s="25"/>
      <c r="BI13971" s="25"/>
      <c r="BJ13971" s="25"/>
      <c r="BK13971" s="25"/>
    </row>
    <row r="13972" spans="60:63" ht="14.25" x14ac:dyDescent="0.2">
      <c r="BH13972" s="25"/>
      <c r="BI13972" s="25"/>
      <c r="BJ13972" s="25"/>
      <c r="BK13972" s="25"/>
    </row>
    <row r="13973" spans="60:63" ht="14.25" x14ac:dyDescent="0.2">
      <c r="BH13973" s="25"/>
      <c r="BI13973" s="25"/>
      <c r="BJ13973" s="25"/>
      <c r="BK13973" s="25"/>
    </row>
    <row r="13974" spans="60:63" ht="14.25" x14ac:dyDescent="0.2">
      <c r="BH13974" s="25"/>
      <c r="BI13974" s="25"/>
      <c r="BJ13974" s="25"/>
      <c r="BK13974" s="25"/>
    </row>
    <row r="13975" spans="60:63" ht="14.25" x14ac:dyDescent="0.2">
      <c r="BH13975" s="25"/>
      <c r="BI13975" s="25"/>
      <c r="BJ13975" s="25"/>
      <c r="BK13975" s="25"/>
    </row>
    <row r="13976" spans="60:63" ht="14.25" x14ac:dyDescent="0.2">
      <c r="BH13976" s="25"/>
      <c r="BI13976" s="25"/>
      <c r="BJ13976" s="25"/>
      <c r="BK13976" s="25"/>
    </row>
    <row r="13977" spans="60:63" ht="14.25" x14ac:dyDescent="0.2">
      <c r="BH13977" s="25"/>
      <c r="BI13977" s="25"/>
      <c r="BJ13977" s="25"/>
      <c r="BK13977" s="25"/>
    </row>
    <row r="13978" spans="60:63" ht="14.25" x14ac:dyDescent="0.2">
      <c r="BH13978" s="25"/>
      <c r="BI13978" s="25"/>
      <c r="BJ13978" s="25"/>
      <c r="BK13978" s="25"/>
    </row>
    <row r="13979" spans="60:63" ht="14.25" x14ac:dyDescent="0.2">
      <c r="BH13979" s="25"/>
      <c r="BI13979" s="25"/>
      <c r="BJ13979" s="25"/>
      <c r="BK13979" s="25"/>
    </row>
    <row r="13980" spans="60:63" ht="14.25" x14ac:dyDescent="0.2">
      <c r="BH13980" s="25"/>
      <c r="BI13980" s="25"/>
      <c r="BJ13980" s="25"/>
      <c r="BK13980" s="25"/>
    </row>
    <row r="13981" spans="60:63" ht="14.25" x14ac:dyDescent="0.2">
      <c r="BH13981" s="25"/>
      <c r="BI13981" s="25"/>
      <c r="BJ13981" s="25"/>
      <c r="BK13981" s="25"/>
    </row>
    <row r="13982" spans="60:63" ht="14.25" x14ac:dyDescent="0.2">
      <c r="BH13982" s="25"/>
      <c r="BI13982" s="25"/>
      <c r="BJ13982" s="25"/>
      <c r="BK13982" s="25"/>
    </row>
    <row r="13983" spans="60:63" ht="14.25" x14ac:dyDescent="0.2">
      <c r="BH13983" s="25"/>
      <c r="BI13983" s="25"/>
      <c r="BJ13983" s="25"/>
      <c r="BK13983" s="25"/>
    </row>
    <row r="13984" spans="60:63" ht="14.25" x14ac:dyDescent="0.2">
      <c r="BH13984" s="25"/>
      <c r="BI13984" s="25"/>
      <c r="BJ13984" s="25"/>
      <c r="BK13984" s="25"/>
    </row>
    <row r="13985" spans="60:63" ht="14.25" x14ac:dyDescent="0.2">
      <c r="BH13985" s="25"/>
      <c r="BI13985" s="25"/>
      <c r="BJ13985" s="25"/>
      <c r="BK13985" s="25"/>
    </row>
    <row r="13986" spans="60:63" ht="14.25" x14ac:dyDescent="0.2">
      <c r="BH13986" s="25"/>
      <c r="BI13986" s="25"/>
      <c r="BJ13986" s="25"/>
      <c r="BK13986" s="25"/>
    </row>
    <row r="13987" spans="60:63" ht="14.25" x14ac:dyDescent="0.2">
      <c r="BH13987" s="25"/>
      <c r="BI13987" s="25"/>
      <c r="BJ13987" s="25"/>
      <c r="BK13987" s="25"/>
    </row>
    <row r="13988" spans="60:63" ht="14.25" x14ac:dyDescent="0.2">
      <c r="BH13988" s="25"/>
      <c r="BI13988" s="25"/>
      <c r="BJ13988" s="25"/>
      <c r="BK13988" s="25"/>
    </row>
    <row r="13989" spans="60:63" ht="14.25" x14ac:dyDescent="0.2">
      <c r="BH13989" s="25"/>
      <c r="BI13989" s="25"/>
      <c r="BJ13989" s="25"/>
      <c r="BK13989" s="25"/>
    </row>
    <row r="13990" spans="60:63" ht="14.25" x14ac:dyDescent="0.2">
      <c r="BH13990" s="25"/>
      <c r="BI13990" s="25"/>
      <c r="BJ13990" s="25"/>
      <c r="BK13990" s="25"/>
    </row>
    <row r="13991" spans="60:63" ht="14.25" x14ac:dyDescent="0.2">
      <c r="BH13991" s="25"/>
      <c r="BI13991" s="25"/>
      <c r="BJ13991" s="25"/>
      <c r="BK13991" s="25"/>
    </row>
    <row r="13992" spans="60:63" ht="14.25" x14ac:dyDescent="0.2">
      <c r="BH13992" s="25"/>
      <c r="BI13992" s="25"/>
      <c r="BJ13992" s="25"/>
      <c r="BK13992" s="25"/>
    </row>
    <row r="13993" spans="60:63" ht="14.25" x14ac:dyDescent="0.2">
      <c r="BH13993" s="25"/>
      <c r="BI13993" s="25"/>
      <c r="BJ13993" s="25"/>
      <c r="BK13993" s="25"/>
    </row>
    <row r="13994" spans="60:63" ht="14.25" x14ac:dyDescent="0.2">
      <c r="BH13994" s="25"/>
      <c r="BI13994" s="25"/>
      <c r="BJ13994" s="25"/>
      <c r="BK13994" s="25"/>
    </row>
    <row r="13995" spans="60:63" ht="14.25" x14ac:dyDescent="0.2">
      <c r="BH13995" s="25"/>
      <c r="BI13995" s="25"/>
      <c r="BJ13995" s="25"/>
      <c r="BK13995" s="25"/>
    </row>
    <row r="13996" spans="60:63" ht="14.25" x14ac:dyDescent="0.2">
      <c r="BH13996" s="25"/>
      <c r="BI13996" s="25"/>
      <c r="BJ13996" s="25"/>
      <c r="BK13996" s="25"/>
    </row>
    <row r="13997" spans="60:63" ht="14.25" x14ac:dyDescent="0.2">
      <c r="BH13997" s="25"/>
      <c r="BI13997" s="25"/>
      <c r="BJ13997" s="25"/>
      <c r="BK13997" s="25"/>
    </row>
    <row r="13998" spans="60:63" ht="14.25" x14ac:dyDescent="0.2">
      <c r="BH13998" s="25"/>
      <c r="BI13998" s="25"/>
      <c r="BJ13998" s="25"/>
      <c r="BK13998" s="25"/>
    </row>
    <row r="13999" spans="60:63" ht="14.25" x14ac:dyDescent="0.2">
      <c r="BH13999" s="25"/>
      <c r="BI13999" s="25"/>
      <c r="BJ13999" s="25"/>
      <c r="BK13999" s="25"/>
    </row>
    <row r="14000" spans="60:63" ht="14.25" x14ac:dyDescent="0.2">
      <c r="BH14000" s="25"/>
      <c r="BI14000" s="25"/>
      <c r="BJ14000" s="25"/>
      <c r="BK14000" s="25"/>
    </row>
    <row r="14001" spans="60:63" ht="14.25" x14ac:dyDescent="0.2">
      <c r="BH14001" s="25"/>
      <c r="BI14001" s="25"/>
      <c r="BJ14001" s="25"/>
      <c r="BK14001" s="25"/>
    </row>
    <row r="14002" spans="60:63" ht="14.25" x14ac:dyDescent="0.2">
      <c r="BH14002" s="25"/>
      <c r="BI14002" s="25"/>
      <c r="BJ14002" s="25"/>
      <c r="BK14002" s="25"/>
    </row>
    <row r="14003" spans="60:63" ht="14.25" x14ac:dyDescent="0.2">
      <c r="BH14003" s="25"/>
      <c r="BI14003" s="25"/>
      <c r="BJ14003" s="25"/>
      <c r="BK14003" s="25"/>
    </row>
    <row r="14004" spans="60:63" ht="14.25" x14ac:dyDescent="0.2">
      <c r="BH14004" s="25"/>
      <c r="BI14004" s="25"/>
      <c r="BJ14004" s="25"/>
      <c r="BK14004" s="25"/>
    </row>
    <row r="14005" spans="60:63" ht="14.25" x14ac:dyDescent="0.2">
      <c r="BH14005" s="25"/>
      <c r="BI14005" s="25"/>
      <c r="BJ14005" s="25"/>
      <c r="BK14005" s="25"/>
    </row>
    <row r="14006" spans="60:63" ht="14.25" x14ac:dyDescent="0.2">
      <c r="BH14006" s="25"/>
      <c r="BI14006" s="25"/>
      <c r="BJ14006" s="25"/>
      <c r="BK14006" s="25"/>
    </row>
    <row r="14007" spans="60:63" ht="14.25" x14ac:dyDescent="0.2">
      <c r="BH14007" s="25"/>
      <c r="BI14007" s="25"/>
      <c r="BJ14007" s="25"/>
      <c r="BK14007" s="25"/>
    </row>
    <row r="14008" spans="60:63" ht="14.25" x14ac:dyDescent="0.2">
      <c r="BH14008" s="25"/>
      <c r="BI14008" s="25"/>
      <c r="BJ14008" s="25"/>
      <c r="BK14008" s="25"/>
    </row>
    <row r="14009" spans="60:63" ht="14.25" x14ac:dyDescent="0.2">
      <c r="BH14009" s="25"/>
      <c r="BI14009" s="25"/>
      <c r="BJ14009" s="25"/>
      <c r="BK14009" s="25"/>
    </row>
    <row r="14010" spans="60:63" ht="14.25" x14ac:dyDescent="0.2">
      <c r="BH14010" s="25"/>
      <c r="BI14010" s="25"/>
      <c r="BJ14010" s="25"/>
      <c r="BK14010" s="25"/>
    </row>
    <row r="14011" spans="60:63" ht="14.25" x14ac:dyDescent="0.2">
      <c r="BH14011" s="25"/>
      <c r="BI14011" s="25"/>
      <c r="BJ14011" s="25"/>
      <c r="BK14011" s="25"/>
    </row>
    <row r="14012" spans="60:63" ht="14.25" x14ac:dyDescent="0.2">
      <c r="BH14012" s="25"/>
      <c r="BI14012" s="25"/>
      <c r="BJ14012" s="25"/>
      <c r="BK14012" s="25"/>
    </row>
    <row r="14013" spans="60:63" ht="14.25" x14ac:dyDescent="0.2">
      <c r="BH14013" s="25"/>
      <c r="BI14013" s="25"/>
      <c r="BJ14013" s="25"/>
      <c r="BK14013" s="25"/>
    </row>
    <row r="14014" spans="60:63" ht="14.25" x14ac:dyDescent="0.2">
      <c r="BH14014" s="25"/>
      <c r="BI14014" s="25"/>
      <c r="BJ14014" s="25"/>
      <c r="BK14014" s="25"/>
    </row>
    <row r="14015" spans="60:63" ht="14.25" x14ac:dyDescent="0.2">
      <c r="BH14015" s="25"/>
      <c r="BI14015" s="25"/>
      <c r="BJ14015" s="25"/>
      <c r="BK14015" s="25"/>
    </row>
    <row r="14016" spans="60:63" ht="14.25" x14ac:dyDescent="0.2">
      <c r="BH14016" s="25"/>
      <c r="BI14016" s="25"/>
      <c r="BJ14016" s="25"/>
      <c r="BK14016" s="25"/>
    </row>
    <row r="14017" spans="60:63" ht="14.25" x14ac:dyDescent="0.2">
      <c r="BH14017" s="25"/>
      <c r="BI14017" s="25"/>
      <c r="BJ14017" s="25"/>
      <c r="BK14017" s="25"/>
    </row>
    <row r="14018" spans="60:63" ht="14.25" x14ac:dyDescent="0.2">
      <c r="BH14018" s="25"/>
      <c r="BI14018" s="25"/>
      <c r="BJ14018" s="25"/>
      <c r="BK14018" s="25"/>
    </row>
    <row r="14019" spans="60:63" ht="14.25" x14ac:dyDescent="0.2">
      <c r="BH14019" s="25"/>
      <c r="BI14019" s="25"/>
      <c r="BJ14019" s="25"/>
      <c r="BK14019" s="25"/>
    </row>
    <row r="14020" spans="60:63" ht="14.25" x14ac:dyDescent="0.2">
      <c r="BH14020" s="25"/>
      <c r="BI14020" s="25"/>
      <c r="BJ14020" s="25"/>
      <c r="BK14020" s="25"/>
    </row>
    <row r="14021" spans="60:63" ht="14.25" x14ac:dyDescent="0.2">
      <c r="BH14021" s="25"/>
      <c r="BI14021" s="25"/>
      <c r="BJ14021" s="25"/>
      <c r="BK14021" s="25"/>
    </row>
    <row r="14022" spans="60:63" ht="14.25" x14ac:dyDescent="0.2">
      <c r="BH14022" s="25"/>
      <c r="BI14022" s="25"/>
      <c r="BJ14022" s="25"/>
      <c r="BK14022" s="25"/>
    </row>
    <row r="14023" spans="60:63" ht="14.25" x14ac:dyDescent="0.2">
      <c r="BH14023" s="25"/>
      <c r="BI14023" s="25"/>
      <c r="BJ14023" s="25"/>
      <c r="BK14023" s="25"/>
    </row>
    <row r="14024" spans="60:63" ht="14.25" x14ac:dyDescent="0.2">
      <c r="BH14024" s="25"/>
      <c r="BI14024" s="25"/>
      <c r="BJ14024" s="25"/>
      <c r="BK14024" s="25"/>
    </row>
    <row r="14025" spans="60:63" ht="14.25" x14ac:dyDescent="0.2">
      <c r="BH14025" s="25"/>
      <c r="BI14025" s="25"/>
      <c r="BJ14025" s="25"/>
      <c r="BK14025" s="25"/>
    </row>
    <row r="14026" spans="60:63" ht="14.25" x14ac:dyDescent="0.2">
      <c r="BH14026" s="25"/>
      <c r="BI14026" s="25"/>
      <c r="BJ14026" s="25"/>
      <c r="BK14026" s="25"/>
    </row>
    <row r="14027" spans="60:63" ht="14.25" x14ac:dyDescent="0.2">
      <c r="BH14027" s="25"/>
      <c r="BI14027" s="25"/>
      <c r="BJ14027" s="25"/>
      <c r="BK14027" s="25"/>
    </row>
    <row r="14028" spans="60:63" ht="14.25" x14ac:dyDescent="0.2">
      <c r="BH14028" s="25"/>
      <c r="BI14028" s="25"/>
      <c r="BJ14028" s="25"/>
      <c r="BK14028" s="25"/>
    </row>
    <row r="14029" spans="60:63" ht="14.25" x14ac:dyDescent="0.2">
      <c r="BH14029" s="25"/>
      <c r="BI14029" s="25"/>
      <c r="BJ14029" s="25"/>
      <c r="BK14029" s="25"/>
    </row>
    <row r="14030" spans="60:63" ht="14.25" x14ac:dyDescent="0.2">
      <c r="BH14030" s="25"/>
      <c r="BI14030" s="25"/>
      <c r="BJ14030" s="25"/>
      <c r="BK14030" s="25"/>
    </row>
    <row r="14031" spans="60:63" ht="14.25" x14ac:dyDescent="0.2">
      <c r="BH14031" s="25"/>
      <c r="BI14031" s="25"/>
      <c r="BJ14031" s="25"/>
      <c r="BK14031" s="25"/>
    </row>
    <row r="14032" spans="60:63" ht="14.25" x14ac:dyDescent="0.2">
      <c r="BH14032" s="25"/>
      <c r="BI14032" s="25"/>
      <c r="BJ14032" s="25"/>
      <c r="BK14032" s="25"/>
    </row>
    <row r="14033" spans="60:63" ht="14.25" x14ac:dyDescent="0.2">
      <c r="BH14033" s="25"/>
      <c r="BI14033" s="25"/>
      <c r="BJ14033" s="25"/>
      <c r="BK14033" s="25"/>
    </row>
    <row r="14034" spans="60:63" ht="14.25" x14ac:dyDescent="0.2">
      <c r="BH14034" s="25"/>
      <c r="BI14034" s="25"/>
      <c r="BJ14034" s="25"/>
      <c r="BK14034" s="25"/>
    </row>
    <row r="14035" spans="60:63" ht="14.25" x14ac:dyDescent="0.2">
      <c r="BH14035" s="25"/>
      <c r="BI14035" s="25"/>
      <c r="BJ14035" s="25"/>
      <c r="BK14035" s="25"/>
    </row>
    <row r="14036" spans="60:63" ht="14.25" x14ac:dyDescent="0.2">
      <c r="BH14036" s="25"/>
      <c r="BI14036" s="25"/>
      <c r="BJ14036" s="25"/>
      <c r="BK14036" s="25"/>
    </row>
    <row r="14037" spans="60:63" ht="14.25" x14ac:dyDescent="0.2">
      <c r="BH14037" s="25"/>
      <c r="BI14037" s="25"/>
      <c r="BJ14037" s="25"/>
      <c r="BK14037" s="25"/>
    </row>
    <row r="14038" spans="60:63" ht="14.25" x14ac:dyDescent="0.2">
      <c r="BH14038" s="25"/>
      <c r="BI14038" s="25"/>
      <c r="BJ14038" s="25"/>
      <c r="BK14038" s="25"/>
    </row>
    <row r="14039" spans="60:63" ht="14.25" x14ac:dyDescent="0.2">
      <c r="BH14039" s="25"/>
      <c r="BI14039" s="25"/>
      <c r="BJ14039" s="25"/>
      <c r="BK14039" s="25"/>
    </row>
    <row r="14040" spans="60:63" ht="14.25" x14ac:dyDescent="0.2">
      <c r="BH14040" s="25"/>
      <c r="BI14040" s="25"/>
      <c r="BJ14040" s="25"/>
      <c r="BK14040" s="25"/>
    </row>
    <row r="14041" spans="60:63" ht="14.25" x14ac:dyDescent="0.2">
      <c r="BH14041" s="25"/>
      <c r="BI14041" s="25"/>
      <c r="BJ14041" s="25"/>
      <c r="BK14041" s="25"/>
    </row>
    <row r="14042" spans="60:63" ht="14.25" x14ac:dyDescent="0.2">
      <c r="BH14042" s="25"/>
      <c r="BI14042" s="25"/>
      <c r="BJ14042" s="25"/>
      <c r="BK14042" s="25"/>
    </row>
    <row r="14043" spans="60:63" ht="14.25" x14ac:dyDescent="0.2">
      <c r="BH14043" s="25"/>
      <c r="BI14043" s="25"/>
      <c r="BJ14043" s="25"/>
      <c r="BK14043" s="25"/>
    </row>
    <row r="14044" spans="60:63" ht="14.25" x14ac:dyDescent="0.2">
      <c r="BH14044" s="25"/>
      <c r="BI14044" s="25"/>
      <c r="BJ14044" s="25"/>
      <c r="BK14044" s="25"/>
    </row>
    <row r="14045" spans="60:63" ht="14.25" x14ac:dyDescent="0.2">
      <c r="BH14045" s="25"/>
      <c r="BI14045" s="25"/>
      <c r="BJ14045" s="25"/>
      <c r="BK14045" s="25"/>
    </row>
    <row r="14046" spans="60:63" ht="14.25" x14ac:dyDescent="0.2">
      <c r="BH14046" s="25"/>
      <c r="BI14046" s="25"/>
      <c r="BJ14046" s="25"/>
      <c r="BK14046" s="25"/>
    </row>
    <row r="14047" spans="60:63" ht="14.25" x14ac:dyDescent="0.2">
      <c r="BH14047" s="25"/>
      <c r="BI14047" s="25"/>
      <c r="BJ14047" s="25"/>
      <c r="BK14047" s="25"/>
    </row>
    <row r="14048" spans="60:63" ht="14.25" x14ac:dyDescent="0.2">
      <c r="BH14048" s="25"/>
      <c r="BI14048" s="25"/>
      <c r="BJ14048" s="25"/>
      <c r="BK14048" s="25"/>
    </row>
    <row r="14049" spans="60:63" ht="14.25" x14ac:dyDescent="0.2">
      <c r="BH14049" s="25"/>
      <c r="BI14049" s="25"/>
      <c r="BJ14049" s="25"/>
      <c r="BK14049" s="25"/>
    </row>
    <row r="14050" spans="60:63" ht="14.25" x14ac:dyDescent="0.2">
      <c r="BH14050" s="25"/>
      <c r="BI14050" s="25"/>
      <c r="BJ14050" s="25"/>
      <c r="BK14050" s="25"/>
    </row>
    <row r="14051" spans="60:63" ht="14.25" x14ac:dyDescent="0.2">
      <c r="BH14051" s="25"/>
      <c r="BI14051" s="25"/>
      <c r="BJ14051" s="25"/>
      <c r="BK14051" s="25"/>
    </row>
    <row r="14052" spans="60:63" ht="14.25" x14ac:dyDescent="0.2">
      <c r="BH14052" s="25"/>
      <c r="BI14052" s="25"/>
      <c r="BJ14052" s="25"/>
      <c r="BK14052" s="25"/>
    </row>
    <row r="14053" spans="60:63" ht="14.25" x14ac:dyDescent="0.2">
      <c r="BH14053" s="25"/>
      <c r="BI14053" s="25"/>
      <c r="BJ14053" s="25"/>
      <c r="BK14053" s="25"/>
    </row>
    <row r="14054" spans="60:63" ht="14.25" x14ac:dyDescent="0.2">
      <c r="BH14054" s="25"/>
      <c r="BI14054" s="25"/>
      <c r="BJ14054" s="25"/>
      <c r="BK14054" s="25"/>
    </row>
    <row r="14055" spans="60:63" ht="14.25" x14ac:dyDescent="0.2">
      <c r="BH14055" s="25"/>
      <c r="BI14055" s="25"/>
      <c r="BJ14055" s="25"/>
      <c r="BK14055" s="25"/>
    </row>
    <row r="14056" spans="60:63" ht="14.25" x14ac:dyDescent="0.2">
      <c r="BH14056" s="25"/>
      <c r="BI14056" s="25"/>
      <c r="BJ14056" s="25"/>
      <c r="BK14056" s="25"/>
    </row>
    <row r="14057" spans="60:63" ht="14.25" x14ac:dyDescent="0.2">
      <c r="BH14057" s="25"/>
      <c r="BI14057" s="25"/>
      <c r="BJ14057" s="25"/>
      <c r="BK14057" s="25"/>
    </row>
    <row r="14058" spans="60:63" ht="14.25" x14ac:dyDescent="0.2">
      <c r="BH14058" s="25"/>
      <c r="BI14058" s="25"/>
      <c r="BJ14058" s="25"/>
      <c r="BK14058" s="25"/>
    </row>
    <row r="14059" spans="60:63" ht="14.25" x14ac:dyDescent="0.2">
      <c r="BH14059" s="25"/>
      <c r="BI14059" s="25"/>
      <c r="BJ14059" s="25"/>
      <c r="BK14059" s="25"/>
    </row>
    <row r="14060" spans="60:63" ht="14.25" x14ac:dyDescent="0.2">
      <c r="BH14060" s="25"/>
      <c r="BI14060" s="25"/>
      <c r="BJ14060" s="25"/>
      <c r="BK14060" s="25"/>
    </row>
    <row r="14061" spans="60:63" ht="14.25" x14ac:dyDescent="0.2">
      <c r="BH14061" s="25"/>
      <c r="BI14061" s="25"/>
      <c r="BJ14061" s="25"/>
      <c r="BK14061" s="25"/>
    </row>
    <row r="14062" spans="60:63" ht="14.25" x14ac:dyDescent="0.2">
      <c r="BH14062" s="25"/>
      <c r="BI14062" s="25"/>
      <c r="BJ14062" s="25"/>
      <c r="BK14062" s="25"/>
    </row>
    <row r="14063" spans="60:63" ht="14.25" x14ac:dyDescent="0.2">
      <c r="BH14063" s="25"/>
      <c r="BI14063" s="25"/>
      <c r="BJ14063" s="25"/>
      <c r="BK14063" s="25"/>
    </row>
    <row r="14064" spans="60:63" ht="14.25" x14ac:dyDescent="0.2">
      <c r="BH14064" s="25"/>
      <c r="BI14064" s="25"/>
      <c r="BJ14064" s="25"/>
      <c r="BK14064" s="25"/>
    </row>
    <row r="14065" spans="60:63" ht="14.25" x14ac:dyDescent="0.2">
      <c r="BH14065" s="25"/>
      <c r="BI14065" s="25"/>
      <c r="BJ14065" s="25"/>
      <c r="BK14065" s="25"/>
    </row>
    <row r="14066" spans="60:63" ht="14.25" x14ac:dyDescent="0.2">
      <c r="BH14066" s="25"/>
      <c r="BI14066" s="25"/>
      <c r="BJ14066" s="25"/>
      <c r="BK14066" s="25"/>
    </row>
    <row r="14067" spans="60:63" ht="14.25" x14ac:dyDescent="0.2">
      <c r="BH14067" s="25"/>
      <c r="BI14067" s="25"/>
      <c r="BJ14067" s="25"/>
      <c r="BK14067" s="25"/>
    </row>
    <row r="14068" spans="60:63" ht="14.25" x14ac:dyDescent="0.2">
      <c r="BH14068" s="25"/>
      <c r="BI14068" s="25"/>
      <c r="BJ14068" s="25"/>
      <c r="BK14068" s="25"/>
    </row>
    <row r="14069" spans="60:63" ht="14.25" x14ac:dyDescent="0.2">
      <c r="BH14069" s="25"/>
      <c r="BI14069" s="25"/>
      <c r="BJ14069" s="25"/>
      <c r="BK14069" s="25"/>
    </row>
    <row r="14070" spans="60:63" ht="14.25" x14ac:dyDescent="0.2">
      <c r="BH14070" s="25"/>
      <c r="BI14070" s="25"/>
      <c r="BJ14070" s="25"/>
      <c r="BK14070" s="25"/>
    </row>
    <row r="14071" spans="60:63" ht="14.25" x14ac:dyDescent="0.2">
      <c r="BH14071" s="25"/>
      <c r="BI14071" s="25"/>
      <c r="BJ14071" s="25"/>
      <c r="BK14071" s="25"/>
    </row>
    <row r="14072" spans="60:63" ht="14.25" x14ac:dyDescent="0.2">
      <c r="BH14072" s="25"/>
      <c r="BI14072" s="25"/>
      <c r="BJ14072" s="25"/>
      <c r="BK14072" s="25"/>
    </row>
    <row r="14073" spans="60:63" ht="14.25" x14ac:dyDescent="0.2">
      <c r="BH14073" s="25"/>
      <c r="BI14073" s="25"/>
      <c r="BJ14073" s="25"/>
      <c r="BK14073" s="25"/>
    </row>
    <row r="14074" spans="60:63" ht="14.25" x14ac:dyDescent="0.2">
      <c r="BH14074" s="25"/>
      <c r="BI14074" s="25"/>
      <c r="BJ14074" s="25"/>
      <c r="BK14074" s="25"/>
    </row>
    <row r="14075" spans="60:63" ht="14.25" x14ac:dyDescent="0.2">
      <c r="BH14075" s="25"/>
      <c r="BI14075" s="25"/>
      <c r="BJ14075" s="25"/>
      <c r="BK14075" s="25"/>
    </row>
    <row r="14076" spans="60:63" ht="14.25" x14ac:dyDescent="0.2">
      <c r="BH14076" s="25"/>
      <c r="BI14076" s="25"/>
      <c r="BJ14076" s="25"/>
      <c r="BK14076" s="25"/>
    </row>
    <row r="14077" spans="60:63" ht="14.25" x14ac:dyDescent="0.2">
      <c r="BH14077" s="25"/>
      <c r="BI14077" s="25"/>
      <c r="BJ14077" s="25"/>
      <c r="BK14077" s="25"/>
    </row>
    <row r="14078" spans="60:63" ht="14.25" x14ac:dyDescent="0.2">
      <c r="BH14078" s="25"/>
      <c r="BI14078" s="25"/>
      <c r="BJ14078" s="25"/>
      <c r="BK14078" s="25"/>
    </row>
    <row r="14079" spans="60:63" ht="14.25" x14ac:dyDescent="0.2">
      <c r="BH14079" s="25"/>
      <c r="BI14079" s="25"/>
      <c r="BJ14079" s="25"/>
      <c r="BK14079" s="25"/>
    </row>
    <row r="14080" spans="60:63" ht="14.25" x14ac:dyDescent="0.2">
      <c r="BH14080" s="25"/>
      <c r="BI14080" s="25"/>
      <c r="BJ14080" s="25"/>
      <c r="BK14080" s="25"/>
    </row>
    <row r="14081" spans="60:63" ht="14.25" x14ac:dyDescent="0.2">
      <c r="BH14081" s="25"/>
      <c r="BI14081" s="25"/>
      <c r="BJ14081" s="25"/>
      <c r="BK14081" s="25"/>
    </row>
    <row r="14082" spans="60:63" ht="14.25" x14ac:dyDescent="0.2">
      <c r="BH14082" s="25"/>
      <c r="BI14082" s="25"/>
      <c r="BJ14082" s="25"/>
      <c r="BK14082" s="25"/>
    </row>
    <row r="14083" spans="60:63" ht="14.25" x14ac:dyDescent="0.2">
      <c r="BH14083" s="25"/>
      <c r="BI14083" s="25"/>
      <c r="BJ14083" s="25"/>
      <c r="BK14083" s="25"/>
    </row>
    <row r="14084" spans="60:63" ht="14.25" x14ac:dyDescent="0.2">
      <c r="BH14084" s="25"/>
      <c r="BI14084" s="25"/>
      <c r="BJ14084" s="25"/>
      <c r="BK14084" s="25"/>
    </row>
    <row r="14085" spans="60:63" ht="14.25" x14ac:dyDescent="0.2">
      <c r="BH14085" s="25"/>
      <c r="BI14085" s="25"/>
      <c r="BJ14085" s="25"/>
      <c r="BK14085" s="25"/>
    </row>
    <row r="14086" spans="60:63" ht="14.25" x14ac:dyDescent="0.2">
      <c r="BH14086" s="25"/>
      <c r="BI14086" s="25"/>
      <c r="BJ14086" s="25"/>
      <c r="BK14086" s="25"/>
    </row>
    <row r="14087" spans="60:63" ht="14.25" x14ac:dyDescent="0.2">
      <c r="BH14087" s="25"/>
      <c r="BI14087" s="25"/>
      <c r="BJ14087" s="25"/>
      <c r="BK14087" s="25"/>
    </row>
    <row r="14088" spans="60:63" ht="14.25" x14ac:dyDescent="0.2">
      <c r="BH14088" s="25"/>
      <c r="BI14088" s="25"/>
      <c r="BJ14088" s="25"/>
      <c r="BK14088" s="25"/>
    </row>
    <row r="14089" spans="60:63" ht="14.25" x14ac:dyDescent="0.2">
      <c r="BH14089" s="25"/>
      <c r="BI14089" s="25"/>
      <c r="BJ14089" s="25"/>
      <c r="BK14089" s="25"/>
    </row>
    <row r="14090" spans="60:63" ht="14.25" x14ac:dyDescent="0.2">
      <c r="BH14090" s="25"/>
      <c r="BI14090" s="25"/>
      <c r="BJ14090" s="25"/>
      <c r="BK14090" s="25"/>
    </row>
    <row r="14091" spans="60:63" ht="14.25" x14ac:dyDescent="0.2">
      <c r="BH14091" s="25"/>
      <c r="BI14091" s="25"/>
      <c r="BJ14091" s="25"/>
      <c r="BK14091" s="25"/>
    </row>
    <row r="14092" spans="60:63" ht="14.25" x14ac:dyDescent="0.2">
      <c r="BH14092" s="25"/>
      <c r="BI14092" s="25"/>
      <c r="BJ14092" s="25"/>
      <c r="BK14092" s="25"/>
    </row>
    <row r="14093" spans="60:63" ht="14.25" x14ac:dyDescent="0.2">
      <c r="BH14093" s="25"/>
      <c r="BI14093" s="25"/>
      <c r="BJ14093" s="25"/>
      <c r="BK14093" s="25"/>
    </row>
    <row r="14094" spans="60:63" ht="14.25" x14ac:dyDescent="0.2">
      <c r="BH14094" s="25"/>
      <c r="BI14094" s="25"/>
      <c r="BJ14094" s="25"/>
      <c r="BK14094" s="25"/>
    </row>
    <row r="14095" spans="60:63" ht="14.25" x14ac:dyDescent="0.2">
      <c r="BH14095" s="25"/>
      <c r="BI14095" s="25"/>
      <c r="BJ14095" s="25"/>
      <c r="BK14095" s="25"/>
    </row>
    <row r="14096" spans="60:63" ht="14.25" x14ac:dyDescent="0.2">
      <c r="BH14096" s="25"/>
      <c r="BI14096" s="25"/>
      <c r="BJ14096" s="25"/>
      <c r="BK14096" s="25"/>
    </row>
    <row r="14097" spans="60:63" ht="14.25" x14ac:dyDescent="0.2">
      <c r="BH14097" s="25"/>
      <c r="BI14097" s="25"/>
      <c r="BJ14097" s="25"/>
      <c r="BK14097" s="25"/>
    </row>
    <row r="14098" spans="60:63" ht="14.25" x14ac:dyDescent="0.2">
      <c r="BH14098" s="25"/>
      <c r="BI14098" s="25"/>
      <c r="BJ14098" s="25"/>
      <c r="BK14098" s="25"/>
    </row>
    <row r="14099" spans="60:63" ht="14.25" x14ac:dyDescent="0.2">
      <c r="BH14099" s="25"/>
      <c r="BI14099" s="25"/>
      <c r="BJ14099" s="25"/>
      <c r="BK14099" s="25"/>
    </row>
    <row r="14100" spans="60:63" ht="14.25" x14ac:dyDescent="0.2">
      <c r="BH14100" s="25"/>
      <c r="BI14100" s="25"/>
      <c r="BJ14100" s="25"/>
      <c r="BK14100" s="25"/>
    </row>
    <row r="14101" spans="60:63" ht="14.25" x14ac:dyDescent="0.2">
      <c r="BH14101" s="25"/>
      <c r="BI14101" s="25"/>
      <c r="BJ14101" s="25"/>
      <c r="BK14101" s="25"/>
    </row>
    <row r="14102" spans="60:63" ht="14.25" x14ac:dyDescent="0.2">
      <c r="BH14102" s="25"/>
      <c r="BI14102" s="25"/>
      <c r="BJ14102" s="25"/>
      <c r="BK14102" s="25"/>
    </row>
    <row r="14103" spans="60:63" ht="14.25" x14ac:dyDescent="0.2">
      <c r="BH14103" s="25"/>
      <c r="BI14103" s="25"/>
      <c r="BJ14103" s="25"/>
      <c r="BK14103" s="25"/>
    </row>
    <row r="14104" spans="60:63" ht="14.25" x14ac:dyDescent="0.2">
      <c r="BH14104" s="25"/>
      <c r="BI14104" s="25"/>
      <c r="BJ14104" s="25"/>
      <c r="BK14104" s="25"/>
    </row>
    <row r="14105" spans="60:63" ht="14.25" x14ac:dyDescent="0.2">
      <c r="BH14105" s="25"/>
      <c r="BI14105" s="25"/>
      <c r="BJ14105" s="25"/>
      <c r="BK14105" s="25"/>
    </row>
    <row r="14106" spans="60:63" ht="14.25" x14ac:dyDescent="0.2">
      <c r="BH14106" s="25"/>
      <c r="BI14106" s="25"/>
      <c r="BJ14106" s="25"/>
      <c r="BK14106" s="25"/>
    </row>
    <row r="14107" spans="60:63" ht="14.25" x14ac:dyDescent="0.2">
      <c r="BH14107" s="25"/>
      <c r="BI14107" s="25"/>
      <c r="BJ14107" s="25"/>
      <c r="BK14107" s="25"/>
    </row>
    <row r="14108" spans="60:63" ht="14.25" x14ac:dyDescent="0.2">
      <c r="BH14108" s="25"/>
      <c r="BI14108" s="25"/>
      <c r="BJ14108" s="25"/>
      <c r="BK14108" s="25"/>
    </row>
    <row r="14109" spans="60:63" ht="14.25" x14ac:dyDescent="0.2">
      <c r="BH14109" s="25"/>
      <c r="BI14109" s="25"/>
      <c r="BJ14109" s="25"/>
      <c r="BK14109" s="25"/>
    </row>
    <row r="14110" spans="60:63" ht="14.25" x14ac:dyDescent="0.2">
      <c r="BH14110" s="25"/>
      <c r="BI14110" s="25"/>
      <c r="BJ14110" s="25"/>
      <c r="BK14110" s="25"/>
    </row>
    <row r="14111" spans="60:63" ht="14.25" x14ac:dyDescent="0.2">
      <c r="BH14111" s="25"/>
      <c r="BI14111" s="25"/>
      <c r="BJ14111" s="25"/>
      <c r="BK14111" s="25"/>
    </row>
    <row r="14112" spans="60:63" ht="14.25" x14ac:dyDescent="0.2">
      <c r="BH14112" s="25"/>
      <c r="BI14112" s="25"/>
      <c r="BJ14112" s="25"/>
      <c r="BK14112" s="25"/>
    </row>
    <row r="14113" spans="60:63" ht="14.25" x14ac:dyDescent="0.2">
      <c r="BH14113" s="25"/>
      <c r="BI14113" s="25"/>
      <c r="BJ14113" s="25"/>
      <c r="BK14113" s="25"/>
    </row>
    <row r="14114" spans="60:63" ht="14.25" x14ac:dyDescent="0.2">
      <c r="BH14114" s="25"/>
      <c r="BI14114" s="25"/>
      <c r="BJ14114" s="25"/>
      <c r="BK14114" s="25"/>
    </row>
    <row r="14115" spans="60:63" ht="14.25" x14ac:dyDescent="0.2">
      <c r="BH14115" s="25"/>
      <c r="BI14115" s="25"/>
      <c r="BJ14115" s="25"/>
      <c r="BK14115" s="25"/>
    </row>
    <row r="14116" spans="60:63" ht="14.25" x14ac:dyDescent="0.2">
      <c r="BH14116" s="25"/>
      <c r="BI14116" s="25"/>
      <c r="BJ14116" s="25"/>
      <c r="BK14116" s="25"/>
    </row>
    <row r="14117" spans="60:63" ht="14.25" x14ac:dyDescent="0.2">
      <c r="BH14117" s="25"/>
      <c r="BI14117" s="25"/>
      <c r="BJ14117" s="25"/>
      <c r="BK14117" s="25"/>
    </row>
    <row r="14118" spans="60:63" ht="14.25" x14ac:dyDescent="0.2">
      <c r="BH14118" s="25"/>
      <c r="BI14118" s="25"/>
      <c r="BJ14118" s="25"/>
      <c r="BK14118" s="25"/>
    </row>
    <row r="14119" spans="60:63" ht="14.25" x14ac:dyDescent="0.2">
      <c r="BH14119" s="25"/>
      <c r="BI14119" s="25"/>
      <c r="BJ14119" s="25"/>
      <c r="BK14119" s="25"/>
    </row>
    <row r="14120" spans="60:63" ht="14.25" x14ac:dyDescent="0.2">
      <c r="BH14120" s="25"/>
      <c r="BI14120" s="25"/>
      <c r="BJ14120" s="25"/>
      <c r="BK14120" s="25"/>
    </row>
    <row r="14121" spans="60:63" ht="14.25" x14ac:dyDescent="0.2">
      <c r="BH14121" s="25"/>
      <c r="BI14121" s="25"/>
      <c r="BJ14121" s="25"/>
      <c r="BK14121" s="25"/>
    </row>
    <row r="14122" spans="60:63" ht="14.25" x14ac:dyDescent="0.2">
      <c r="BH14122" s="25"/>
      <c r="BI14122" s="25"/>
      <c r="BJ14122" s="25"/>
      <c r="BK14122" s="25"/>
    </row>
    <row r="14123" spans="60:63" ht="14.25" x14ac:dyDescent="0.2">
      <c r="BH14123" s="25"/>
      <c r="BI14123" s="25"/>
      <c r="BJ14123" s="25"/>
      <c r="BK14123" s="25"/>
    </row>
    <row r="14124" spans="60:63" ht="14.25" x14ac:dyDescent="0.2">
      <c r="BH14124" s="25"/>
      <c r="BI14124" s="25"/>
      <c r="BJ14124" s="25"/>
      <c r="BK14124" s="25"/>
    </row>
    <row r="14125" spans="60:63" ht="14.25" x14ac:dyDescent="0.2">
      <c r="BH14125" s="25"/>
      <c r="BI14125" s="25"/>
      <c r="BJ14125" s="25"/>
      <c r="BK14125" s="25"/>
    </row>
    <row r="14126" spans="60:63" ht="14.25" x14ac:dyDescent="0.2">
      <c r="BH14126" s="25"/>
      <c r="BI14126" s="25"/>
      <c r="BJ14126" s="25"/>
      <c r="BK14126" s="25"/>
    </row>
    <row r="14127" spans="60:63" ht="14.25" x14ac:dyDescent="0.2">
      <c r="BH14127" s="25"/>
      <c r="BI14127" s="25"/>
      <c r="BJ14127" s="25"/>
      <c r="BK14127" s="25"/>
    </row>
    <row r="14128" spans="60:63" ht="14.25" x14ac:dyDescent="0.2">
      <c r="BH14128" s="25"/>
      <c r="BI14128" s="25"/>
      <c r="BJ14128" s="25"/>
      <c r="BK14128" s="25"/>
    </row>
    <row r="14129" spans="60:63" ht="14.25" x14ac:dyDescent="0.2">
      <c r="BH14129" s="25"/>
      <c r="BI14129" s="25"/>
      <c r="BJ14129" s="25"/>
      <c r="BK14129" s="25"/>
    </row>
    <row r="14130" spans="60:63" ht="14.25" x14ac:dyDescent="0.2">
      <c r="BH14130" s="25"/>
      <c r="BI14130" s="25"/>
      <c r="BJ14130" s="25"/>
      <c r="BK14130" s="25"/>
    </row>
    <row r="14131" spans="60:63" ht="14.25" x14ac:dyDescent="0.2">
      <c r="BH14131" s="25"/>
      <c r="BI14131" s="25"/>
      <c r="BJ14131" s="25"/>
      <c r="BK14131" s="25"/>
    </row>
    <row r="14132" spans="60:63" ht="14.25" x14ac:dyDescent="0.2">
      <c r="BH14132" s="25"/>
      <c r="BI14132" s="25"/>
      <c r="BJ14132" s="25"/>
      <c r="BK14132" s="25"/>
    </row>
    <row r="14133" spans="60:63" ht="14.25" x14ac:dyDescent="0.2">
      <c r="BH14133" s="25"/>
      <c r="BI14133" s="25"/>
      <c r="BJ14133" s="25"/>
      <c r="BK14133" s="25"/>
    </row>
    <row r="14134" spans="60:63" ht="14.25" x14ac:dyDescent="0.2">
      <c r="BH14134" s="25"/>
      <c r="BI14134" s="25"/>
      <c r="BJ14134" s="25"/>
      <c r="BK14134" s="25"/>
    </row>
    <row r="14135" spans="60:63" ht="14.25" x14ac:dyDescent="0.2">
      <c r="BH14135" s="25"/>
      <c r="BI14135" s="25"/>
      <c r="BJ14135" s="25"/>
      <c r="BK14135" s="25"/>
    </row>
    <row r="14136" spans="60:63" ht="14.25" x14ac:dyDescent="0.2">
      <c r="BH14136" s="25"/>
      <c r="BI14136" s="25"/>
      <c r="BJ14136" s="25"/>
      <c r="BK14136" s="25"/>
    </row>
    <row r="14137" spans="60:63" ht="14.25" x14ac:dyDescent="0.2">
      <c r="BH14137" s="25"/>
      <c r="BI14137" s="25"/>
      <c r="BJ14137" s="25"/>
      <c r="BK14137" s="25"/>
    </row>
    <row r="14138" spans="60:63" ht="14.25" x14ac:dyDescent="0.2">
      <c r="BH14138" s="25"/>
      <c r="BI14138" s="25"/>
      <c r="BJ14138" s="25"/>
      <c r="BK14138" s="25"/>
    </row>
    <row r="14139" spans="60:63" ht="14.25" x14ac:dyDescent="0.2">
      <c r="BH14139" s="25"/>
      <c r="BI14139" s="25"/>
      <c r="BJ14139" s="25"/>
      <c r="BK14139" s="25"/>
    </row>
    <row r="14140" spans="60:63" ht="14.25" x14ac:dyDescent="0.2">
      <c r="BH14140" s="25"/>
      <c r="BI14140" s="25"/>
      <c r="BJ14140" s="25"/>
      <c r="BK14140" s="25"/>
    </row>
    <row r="14141" spans="60:63" ht="14.25" x14ac:dyDescent="0.2">
      <c r="BH14141" s="25"/>
      <c r="BI14141" s="25"/>
      <c r="BJ14141" s="25"/>
      <c r="BK14141" s="25"/>
    </row>
    <row r="14142" spans="60:63" ht="14.25" x14ac:dyDescent="0.2">
      <c r="BH14142" s="25"/>
      <c r="BI14142" s="25"/>
      <c r="BJ14142" s="25"/>
      <c r="BK14142" s="25"/>
    </row>
    <row r="14143" spans="60:63" ht="14.25" x14ac:dyDescent="0.2">
      <c r="BH14143" s="25"/>
      <c r="BI14143" s="25"/>
      <c r="BJ14143" s="25"/>
      <c r="BK14143" s="25"/>
    </row>
    <row r="14144" spans="60:63" ht="14.25" x14ac:dyDescent="0.2">
      <c r="BH14144" s="25"/>
      <c r="BI14144" s="25"/>
      <c r="BJ14144" s="25"/>
      <c r="BK14144" s="25"/>
    </row>
    <row r="14145" spans="60:63" ht="14.25" x14ac:dyDescent="0.2">
      <c r="BH14145" s="25"/>
      <c r="BI14145" s="25"/>
      <c r="BJ14145" s="25"/>
      <c r="BK14145" s="25"/>
    </row>
    <row r="14146" spans="60:63" ht="14.25" x14ac:dyDescent="0.2">
      <c r="BH14146" s="25"/>
      <c r="BI14146" s="25"/>
      <c r="BJ14146" s="25"/>
      <c r="BK14146" s="25"/>
    </row>
    <row r="14147" spans="60:63" ht="14.25" x14ac:dyDescent="0.2">
      <c r="BH14147" s="25"/>
      <c r="BI14147" s="25"/>
      <c r="BJ14147" s="25"/>
      <c r="BK14147" s="25"/>
    </row>
    <row r="14148" spans="60:63" ht="14.25" x14ac:dyDescent="0.2">
      <c r="BH14148" s="25"/>
      <c r="BI14148" s="25"/>
      <c r="BJ14148" s="25"/>
      <c r="BK14148" s="25"/>
    </row>
    <row r="14149" spans="60:63" ht="14.25" x14ac:dyDescent="0.2">
      <c r="BH14149" s="25"/>
      <c r="BI14149" s="25"/>
      <c r="BJ14149" s="25"/>
      <c r="BK14149" s="25"/>
    </row>
    <row r="14150" spans="60:63" ht="14.25" x14ac:dyDescent="0.2">
      <c r="BH14150" s="25"/>
      <c r="BI14150" s="25"/>
      <c r="BJ14150" s="25"/>
      <c r="BK14150" s="25"/>
    </row>
    <row r="14151" spans="60:63" ht="14.25" x14ac:dyDescent="0.2">
      <c r="BH14151" s="25"/>
      <c r="BI14151" s="25"/>
      <c r="BJ14151" s="25"/>
      <c r="BK14151" s="25"/>
    </row>
    <row r="14152" spans="60:63" ht="14.25" x14ac:dyDescent="0.2">
      <c r="BH14152" s="25"/>
      <c r="BI14152" s="25"/>
      <c r="BJ14152" s="25"/>
      <c r="BK14152" s="25"/>
    </row>
    <row r="14153" spans="60:63" ht="14.25" x14ac:dyDescent="0.2">
      <c r="BH14153" s="25"/>
      <c r="BI14153" s="25"/>
      <c r="BJ14153" s="25"/>
      <c r="BK14153" s="25"/>
    </row>
    <row r="14154" spans="60:63" ht="14.25" x14ac:dyDescent="0.2">
      <c r="BH14154" s="25"/>
      <c r="BI14154" s="25"/>
      <c r="BJ14154" s="25"/>
      <c r="BK14154" s="25"/>
    </row>
    <row r="14155" spans="60:63" ht="14.25" x14ac:dyDescent="0.2">
      <c r="BH14155" s="25"/>
      <c r="BI14155" s="25"/>
      <c r="BJ14155" s="25"/>
      <c r="BK14155" s="25"/>
    </row>
    <row r="14156" spans="60:63" ht="14.25" x14ac:dyDescent="0.2">
      <c r="BH14156" s="25"/>
      <c r="BI14156" s="25"/>
      <c r="BJ14156" s="25"/>
      <c r="BK14156" s="25"/>
    </row>
    <row r="14157" spans="60:63" ht="14.25" x14ac:dyDescent="0.2">
      <c r="BH14157" s="25"/>
      <c r="BI14157" s="25"/>
      <c r="BJ14157" s="25"/>
      <c r="BK14157" s="25"/>
    </row>
    <row r="14158" spans="60:63" ht="14.25" x14ac:dyDescent="0.2">
      <c r="BH14158" s="25"/>
      <c r="BI14158" s="25"/>
      <c r="BJ14158" s="25"/>
      <c r="BK14158" s="25"/>
    </row>
    <row r="14159" spans="60:63" ht="14.25" x14ac:dyDescent="0.2">
      <c r="BH14159" s="25"/>
      <c r="BI14159" s="25"/>
      <c r="BJ14159" s="25"/>
      <c r="BK14159" s="25"/>
    </row>
    <row r="14160" spans="60:63" ht="14.25" x14ac:dyDescent="0.2">
      <c r="BH14160" s="25"/>
      <c r="BI14160" s="25"/>
      <c r="BJ14160" s="25"/>
      <c r="BK14160" s="25"/>
    </row>
    <row r="14161" spans="60:63" ht="14.25" x14ac:dyDescent="0.2">
      <c r="BH14161" s="25"/>
      <c r="BI14161" s="25"/>
      <c r="BJ14161" s="25"/>
      <c r="BK14161" s="25"/>
    </row>
    <row r="14162" spans="60:63" ht="14.25" x14ac:dyDescent="0.2">
      <c r="BH14162" s="25"/>
      <c r="BI14162" s="25"/>
      <c r="BJ14162" s="25"/>
      <c r="BK14162" s="25"/>
    </row>
    <row r="14163" spans="60:63" ht="14.25" x14ac:dyDescent="0.2">
      <c r="BH14163" s="25"/>
      <c r="BI14163" s="25"/>
      <c r="BJ14163" s="25"/>
      <c r="BK14163" s="25"/>
    </row>
    <row r="14164" spans="60:63" ht="14.25" x14ac:dyDescent="0.2">
      <c r="BH14164" s="25"/>
      <c r="BI14164" s="25"/>
      <c r="BJ14164" s="25"/>
      <c r="BK14164" s="25"/>
    </row>
    <row r="14165" spans="60:63" ht="14.25" x14ac:dyDescent="0.2">
      <c r="BH14165" s="25"/>
      <c r="BI14165" s="25"/>
      <c r="BJ14165" s="25"/>
      <c r="BK14165" s="25"/>
    </row>
    <row r="14166" spans="60:63" ht="14.25" x14ac:dyDescent="0.2">
      <c r="BH14166" s="25"/>
      <c r="BI14166" s="25"/>
      <c r="BJ14166" s="25"/>
      <c r="BK14166" s="25"/>
    </row>
    <row r="14167" spans="60:63" ht="14.25" x14ac:dyDescent="0.2">
      <c r="BH14167" s="25"/>
      <c r="BI14167" s="25"/>
      <c r="BJ14167" s="25"/>
      <c r="BK14167" s="25"/>
    </row>
    <row r="14168" spans="60:63" ht="14.25" x14ac:dyDescent="0.2">
      <c r="BH14168" s="25"/>
      <c r="BI14168" s="25"/>
      <c r="BJ14168" s="25"/>
      <c r="BK14168" s="25"/>
    </row>
    <row r="14169" spans="60:63" ht="14.25" x14ac:dyDescent="0.2">
      <c r="BH14169" s="25"/>
      <c r="BI14169" s="25"/>
      <c r="BJ14169" s="25"/>
      <c r="BK14169" s="25"/>
    </row>
    <row r="14170" spans="60:63" ht="14.25" x14ac:dyDescent="0.2">
      <c r="BH14170" s="25"/>
      <c r="BI14170" s="25"/>
      <c r="BJ14170" s="25"/>
      <c r="BK14170" s="25"/>
    </row>
    <row r="14171" spans="60:63" ht="14.25" x14ac:dyDescent="0.2">
      <c r="BH14171" s="25"/>
      <c r="BI14171" s="25"/>
      <c r="BJ14171" s="25"/>
      <c r="BK14171" s="25"/>
    </row>
    <row r="14172" spans="60:63" ht="14.25" x14ac:dyDescent="0.2">
      <c r="BH14172" s="25"/>
      <c r="BI14172" s="25"/>
      <c r="BJ14172" s="25"/>
      <c r="BK14172" s="25"/>
    </row>
    <row r="14173" spans="60:63" ht="14.25" x14ac:dyDescent="0.2">
      <c r="BH14173" s="25"/>
      <c r="BI14173" s="25"/>
      <c r="BJ14173" s="25"/>
      <c r="BK14173" s="25"/>
    </row>
    <row r="14174" spans="60:63" ht="14.25" x14ac:dyDescent="0.2">
      <c r="BH14174" s="25"/>
      <c r="BI14174" s="25"/>
      <c r="BJ14174" s="25"/>
      <c r="BK14174" s="25"/>
    </row>
    <row r="14175" spans="60:63" ht="14.25" x14ac:dyDescent="0.2">
      <c r="BH14175" s="25"/>
      <c r="BI14175" s="25"/>
      <c r="BJ14175" s="25"/>
      <c r="BK14175" s="25"/>
    </row>
    <row r="14176" spans="60:63" ht="14.25" x14ac:dyDescent="0.2">
      <c r="BH14176" s="25"/>
      <c r="BI14176" s="25"/>
      <c r="BJ14176" s="25"/>
      <c r="BK14176" s="25"/>
    </row>
    <row r="14177" spans="60:63" ht="14.25" x14ac:dyDescent="0.2">
      <c r="BH14177" s="25"/>
      <c r="BI14177" s="25"/>
      <c r="BJ14177" s="25"/>
      <c r="BK14177" s="25"/>
    </row>
    <row r="14178" spans="60:63" ht="14.25" x14ac:dyDescent="0.2">
      <c r="BH14178" s="25"/>
      <c r="BI14178" s="25"/>
      <c r="BJ14178" s="25"/>
      <c r="BK14178" s="25"/>
    </row>
    <row r="14179" spans="60:63" ht="14.25" x14ac:dyDescent="0.2">
      <c r="BH14179" s="25"/>
      <c r="BI14179" s="25"/>
      <c r="BJ14179" s="25"/>
      <c r="BK14179" s="25"/>
    </row>
    <row r="14180" spans="60:63" ht="14.25" x14ac:dyDescent="0.2">
      <c r="BH14180" s="25"/>
      <c r="BI14180" s="25"/>
      <c r="BJ14180" s="25"/>
      <c r="BK14180" s="25"/>
    </row>
    <row r="14181" spans="60:63" ht="14.25" x14ac:dyDescent="0.2">
      <c r="BH14181" s="25"/>
      <c r="BI14181" s="25"/>
      <c r="BJ14181" s="25"/>
      <c r="BK14181" s="25"/>
    </row>
    <row r="14182" spans="60:63" ht="14.25" x14ac:dyDescent="0.2">
      <c r="BH14182" s="25"/>
      <c r="BI14182" s="25"/>
      <c r="BJ14182" s="25"/>
      <c r="BK14182" s="25"/>
    </row>
    <row r="14183" spans="60:63" ht="14.25" x14ac:dyDescent="0.2">
      <c r="BH14183" s="25"/>
      <c r="BI14183" s="25"/>
      <c r="BJ14183" s="25"/>
      <c r="BK14183" s="25"/>
    </row>
    <row r="14184" spans="60:63" ht="14.25" x14ac:dyDescent="0.2">
      <c r="BH14184" s="25"/>
      <c r="BI14184" s="25"/>
      <c r="BJ14184" s="25"/>
      <c r="BK14184" s="25"/>
    </row>
    <row r="14185" spans="60:63" ht="14.25" x14ac:dyDescent="0.2">
      <c r="BH14185" s="25"/>
      <c r="BI14185" s="25"/>
      <c r="BJ14185" s="25"/>
      <c r="BK14185" s="25"/>
    </row>
    <row r="14186" spans="60:63" ht="14.25" x14ac:dyDescent="0.2">
      <c r="BH14186" s="25"/>
      <c r="BI14186" s="25"/>
      <c r="BJ14186" s="25"/>
      <c r="BK14186" s="25"/>
    </row>
    <row r="14187" spans="60:63" ht="14.25" x14ac:dyDescent="0.2">
      <c r="BH14187" s="25"/>
      <c r="BI14187" s="25"/>
      <c r="BJ14187" s="25"/>
      <c r="BK14187" s="25"/>
    </row>
    <row r="14188" spans="60:63" ht="14.25" x14ac:dyDescent="0.2">
      <c r="BH14188" s="25"/>
      <c r="BI14188" s="25"/>
      <c r="BJ14188" s="25"/>
      <c r="BK14188" s="25"/>
    </row>
    <row r="14189" spans="60:63" ht="14.25" x14ac:dyDescent="0.2">
      <c r="BH14189" s="25"/>
      <c r="BI14189" s="25"/>
      <c r="BJ14189" s="25"/>
      <c r="BK14189" s="25"/>
    </row>
    <row r="14190" spans="60:63" ht="14.25" x14ac:dyDescent="0.2">
      <c r="BH14190" s="25"/>
      <c r="BI14190" s="25"/>
      <c r="BJ14190" s="25"/>
      <c r="BK14190" s="25"/>
    </row>
    <row r="14191" spans="60:63" ht="14.25" x14ac:dyDescent="0.2">
      <c r="BH14191" s="25"/>
      <c r="BI14191" s="25"/>
      <c r="BJ14191" s="25"/>
      <c r="BK14191" s="25"/>
    </row>
    <row r="14192" spans="60:63" ht="14.25" x14ac:dyDescent="0.2">
      <c r="BH14192" s="25"/>
      <c r="BI14192" s="25"/>
      <c r="BJ14192" s="25"/>
      <c r="BK14192" s="25"/>
    </row>
    <row r="14193" spans="60:63" ht="14.25" x14ac:dyDescent="0.2">
      <c r="BH14193" s="25"/>
      <c r="BI14193" s="25"/>
      <c r="BJ14193" s="25"/>
      <c r="BK14193" s="25"/>
    </row>
    <row r="14194" spans="60:63" ht="14.25" x14ac:dyDescent="0.2">
      <c r="BH14194" s="25"/>
      <c r="BI14194" s="25"/>
      <c r="BJ14194" s="25"/>
      <c r="BK14194" s="25"/>
    </row>
    <row r="14195" spans="60:63" ht="14.25" x14ac:dyDescent="0.2">
      <c r="BH14195" s="25"/>
      <c r="BI14195" s="25"/>
      <c r="BJ14195" s="25"/>
      <c r="BK14195" s="25"/>
    </row>
    <row r="14196" spans="60:63" ht="14.25" x14ac:dyDescent="0.2">
      <c r="BH14196" s="25"/>
      <c r="BI14196" s="25"/>
      <c r="BJ14196" s="25"/>
      <c r="BK14196" s="25"/>
    </row>
    <row r="14197" spans="60:63" ht="14.25" x14ac:dyDescent="0.2">
      <c r="BH14197" s="25"/>
      <c r="BI14197" s="25"/>
      <c r="BJ14197" s="25"/>
      <c r="BK14197" s="25"/>
    </row>
    <row r="14198" spans="60:63" ht="14.25" x14ac:dyDescent="0.2">
      <c r="BH14198" s="25"/>
      <c r="BI14198" s="25"/>
      <c r="BJ14198" s="25"/>
      <c r="BK14198" s="25"/>
    </row>
    <row r="14199" spans="60:63" ht="14.25" x14ac:dyDescent="0.2">
      <c r="BH14199" s="25"/>
      <c r="BI14199" s="25"/>
      <c r="BJ14199" s="25"/>
      <c r="BK14199" s="25"/>
    </row>
    <row r="14200" spans="60:63" ht="14.25" x14ac:dyDescent="0.2">
      <c r="BH14200" s="25"/>
      <c r="BI14200" s="25"/>
      <c r="BJ14200" s="25"/>
      <c r="BK14200" s="25"/>
    </row>
    <row r="14201" spans="60:63" ht="14.25" x14ac:dyDescent="0.2">
      <c r="BH14201" s="25"/>
      <c r="BI14201" s="25"/>
      <c r="BJ14201" s="25"/>
      <c r="BK14201" s="25"/>
    </row>
    <row r="14202" spans="60:63" ht="14.25" x14ac:dyDescent="0.2">
      <c r="BH14202" s="25"/>
      <c r="BI14202" s="25"/>
      <c r="BJ14202" s="25"/>
      <c r="BK14202" s="25"/>
    </row>
    <row r="14203" spans="60:63" ht="14.25" x14ac:dyDescent="0.2">
      <c r="BH14203" s="25"/>
      <c r="BI14203" s="25"/>
      <c r="BJ14203" s="25"/>
      <c r="BK14203" s="25"/>
    </row>
    <row r="14204" spans="60:63" ht="14.25" x14ac:dyDescent="0.2">
      <c r="BH14204" s="25"/>
      <c r="BI14204" s="25"/>
      <c r="BJ14204" s="25"/>
      <c r="BK14204" s="25"/>
    </row>
    <row r="14205" spans="60:63" ht="14.25" x14ac:dyDescent="0.2">
      <c r="BH14205" s="25"/>
      <c r="BI14205" s="25"/>
      <c r="BJ14205" s="25"/>
      <c r="BK14205" s="25"/>
    </row>
    <row r="14206" spans="60:63" ht="14.25" x14ac:dyDescent="0.2">
      <c r="BH14206" s="25"/>
      <c r="BI14206" s="25"/>
      <c r="BJ14206" s="25"/>
      <c r="BK14206" s="25"/>
    </row>
    <row r="14207" spans="60:63" ht="14.25" x14ac:dyDescent="0.2">
      <c r="BH14207" s="25"/>
      <c r="BI14207" s="25"/>
      <c r="BJ14207" s="25"/>
      <c r="BK14207" s="25"/>
    </row>
    <row r="14208" spans="60:63" ht="14.25" x14ac:dyDescent="0.2">
      <c r="BH14208" s="25"/>
      <c r="BI14208" s="25"/>
      <c r="BJ14208" s="25"/>
      <c r="BK14208" s="25"/>
    </row>
    <row r="14209" spans="60:63" ht="14.25" x14ac:dyDescent="0.2">
      <c r="BH14209" s="25"/>
      <c r="BI14209" s="25"/>
      <c r="BJ14209" s="25"/>
      <c r="BK14209" s="25"/>
    </row>
    <row r="14210" spans="60:63" ht="14.25" x14ac:dyDescent="0.2">
      <c r="BH14210" s="25"/>
      <c r="BI14210" s="25"/>
      <c r="BJ14210" s="25"/>
      <c r="BK14210" s="25"/>
    </row>
    <row r="14211" spans="60:63" ht="14.25" x14ac:dyDescent="0.2">
      <c r="BH14211" s="25"/>
      <c r="BI14211" s="25"/>
      <c r="BJ14211" s="25"/>
      <c r="BK14211" s="25"/>
    </row>
    <row r="14212" spans="60:63" ht="14.25" x14ac:dyDescent="0.2">
      <c r="BH14212" s="25"/>
      <c r="BI14212" s="25"/>
      <c r="BJ14212" s="25"/>
      <c r="BK14212" s="25"/>
    </row>
    <row r="14213" spans="60:63" ht="14.25" x14ac:dyDescent="0.2">
      <c r="BH14213" s="25"/>
      <c r="BI14213" s="25"/>
      <c r="BJ14213" s="25"/>
      <c r="BK14213" s="25"/>
    </row>
    <row r="14214" spans="60:63" ht="14.25" x14ac:dyDescent="0.2">
      <c r="BH14214" s="25"/>
      <c r="BI14214" s="25"/>
      <c r="BJ14214" s="25"/>
      <c r="BK14214" s="25"/>
    </row>
    <row r="14215" spans="60:63" ht="14.25" x14ac:dyDescent="0.2">
      <c r="BH14215" s="25"/>
      <c r="BI14215" s="25"/>
      <c r="BJ14215" s="25"/>
      <c r="BK14215" s="25"/>
    </row>
    <row r="14216" spans="60:63" ht="14.25" x14ac:dyDescent="0.2">
      <c r="BH14216" s="25"/>
      <c r="BI14216" s="25"/>
      <c r="BJ14216" s="25"/>
      <c r="BK14216" s="25"/>
    </row>
    <row r="14217" spans="60:63" ht="14.25" x14ac:dyDescent="0.2">
      <c r="BH14217" s="25"/>
      <c r="BI14217" s="25"/>
      <c r="BJ14217" s="25"/>
      <c r="BK14217" s="25"/>
    </row>
    <row r="14218" spans="60:63" ht="14.25" x14ac:dyDescent="0.2">
      <c r="BH14218" s="25"/>
      <c r="BI14218" s="25"/>
      <c r="BJ14218" s="25"/>
      <c r="BK14218" s="25"/>
    </row>
    <row r="14219" spans="60:63" ht="14.25" x14ac:dyDescent="0.2">
      <c r="BH14219" s="25"/>
      <c r="BI14219" s="25"/>
      <c r="BJ14219" s="25"/>
      <c r="BK14219" s="25"/>
    </row>
    <row r="14220" spans="60:63" ht="14.25" x14ac:dyDescent="0.2">
      <c r="BH14220" s="25"/>
      <c r="BI14220" s="25"/>
      <c r="BJ14220" s="25"/>
      <c r="BK14220" s="25"/>
    </row>
    <row r="14221" spans="60:63" ht="14.25" x14ac:dyDescent="0.2">
      <c r="BH14221" s="25"/>
      <c r="BI14221" s="25"/>
      <c r="BJ14221" s="25"/>
      <c r="BK14221" s="25"/>
    </row>
    <row r="14222" spans="60:63" ht="14.25" x14ac:dyDescent="0.2">
      <c r="BH14222" s="25"/>
      <c r="BI14222" s="25"/>
      <c r="BJ14222" s="25"/>
      <c r="BK14222" s="25"/>
    </row>
    <row r="14223" spans="60:63" ht="14.25" x14ac:dyDescent="0.2">
      <c r="BH14223" s="25"/>
      <c r="BI14223" s="25"/>
      <c r="BJ14223" s="25"/>
      <c r="BK14223" s="25"/>
    </row>
    <row r="14224" spans="60:63" ht="14.25" x14ac:dyDescent="0.2">
      <c r="BH14224" s="25"/>
      <c r="BI14224" s="25"/>
      <c r="BJ14224" s="25"/>
      <c r="BK14224" s="25"/>
    </row>
    <row r="14225" spans="60:63" ht="14.25" x14ac:dyDescent="0.2">
      <c r="BH14225" s="25"/>
      <c r="BI14225" s="25"/>
      <c r="BJ14225" s="25"/>
      <c r="BK14225" s="25"/>
    </row>
    <row r="14226" spans="60:63" ht="14.25" x14ac:dyDescent="0.2">
      <c r="BH14226" s="25"/>
      <c r="BI14226" s="25"/>
      <c r="BJ14226" s="25"/>
      <c r="BK14226" s="25"/>
    </row>
    <row r="14227" spans="60:63" ht="14.25" x14ac:dyDescent="0.2">
      <c r="BH14227" s="25"/>
      <c r="BI14227" s="25"/>
      <c r="BJ14227" s="25"/>
      <c r="BK14227" s="25"/>
    </row>
    <row r="14228" spans="60:63" ht="14.25" x14ac:dyDescent="0.2">
      <c r="BH14228" s="25"/>
      <c r="BI14228" s="25"/>
      <c r="BJ14228" s="25"/>
      <c r="BK14228" s="25"/>
    </row>
    <row r="14229" spans="60:63" ht="14.25" x14ac:dyDescent="0.2">
      <c r="BH14229" s="25"/>
      <c r="BI14229" s="25"/>
      <c r="BJ14229" s="25"/>
      <c r="BK14229" s="25"/>
    </row>
    <row r="14230" spans="60:63" ht="14.25" x14ac:dyDescent="0.2">
      <c r="BH14230" s="25"/>
      <c r="BI14230" s="25"/>
      <c r="BJ14230" s="25"/>
      <c r="BK14230" s="25"/>
    </row>
    <row r="14231" spans="60:63" ht="14.25" x14ac:dyDescent="0.2">
      <c r="BH14231" s="25"/>
      <c r="BI14231" s="25"/>
      <c r="BJ14231" s="25"/>
      <c r="BK14231" s="25"/>
    </row>
    <row r="14232" spans="60:63" ht="14.25" x14ac:dyDescent="0.2">
      <c r="BH14232" s="25"/>
      <c r="BI14232" s="25"/>
      <c r="BJ14232" s="25"/>
      <c r="BK14232" s="25"/>
    </row>
    <row r="14233" spans="60:63" ht="14.25" x14ac:dyDescent="0.2">
      <c r="BH14233" s="25"/>
      <c r="BI14233" s="25"/>
      <c r="BJ14233" s="25"/>
      <c r="BK14233" s="25"/>
    </row>
    <row r="14234" spans="60:63" ht="14.25" x14ac:dyDescent="0.2">
      <c r="BH14234" s="25"/>
      <c r="BI14234" s="25"/>
      <c r="BJ14234" s="25"/>
      <c r="BK14234" s="25"/>
    </row>
    <row r="14235" spans="60:63" ht="14.25" x14ac:dyDescent="0.2">
      <c r="BH14235" s="25"/>
      <c r="BI14235" s="25"/>
      <c r="BJ14235" s="25"/>
      <c r="BK14235" s="25"/>
    </row>
    <row r="14236" spans="60:63" ht="14.25" x14ac:dyDescent="0.2">
      <c r="BH14236" s="25"/>
      <c r="BI14236" s="25"/>
      <c r="BJ14236" s="25"/>
      <c r="BK14236" s="25"/>
    </row>
    <row r="14237" spans="60:63" ht="14.25" x14ac:dyDescent="0.2">
      <c r="BH14237" s="25"/>
      <c r="BI14237" s="25"/>
      <c r="BJ14237" s="25"/>
      <c r="BK14237" s="25"/>
    </row>
    <row r="14238" spans="60:63" ht="14.25" x14ac:dyDescent="0.2">
      <c r="BH14238" s="25"/>
      <c r="BI14238" s="25"/>
      <c r="BJ14238" s="25"/>
      <c r="BK14238" s="25"/>
    </row>
    <row r="14239" spans="60:63" ht="14.25" x14ac:dyDescent="0.2">
      <c r="BH14239" s="25"/>
      <c r="BI14239" s="25"/>
      <c r="BJ14239" s="25"/>
      <c r="BK14239" s="25"/>
    </row>
    <row r="14240" spans="60:63" ht="14.25" x14ac:dyDescent="0.2">
      <c r="BH14240" s="25"/>
      <c r="BI14240" s="25"/>
      <c r="BJ14240" s="25"/>
      <c r="BK14240" s="25"/>
    </row>
    <row r="14241" spans="60:63" ht="14.25" x14ac:dyDescent="0.2">
      <c r="BH14241" s="25"/>
      <c r="BI14241" s="25"/>
      <c r="BJ14241" s="25"/>
      <c r="BK14241" s="25"/>
    </row>
    <row r="14242" spans="60:63" ht="14.25" x14ac:dyDescent="0.2">
      <c r="BH14242" s="25"/>
      <c r="BI14242" s="25"/>
      <c r="BJ14242" s="25"/>
      <c r="BK14242" s="25"/>
    </row>
    <row r="14243" spans="60:63" ht="14.25" x14ac:dyDescent="0.2">
      <c r="BH14243" s="25"/>
      <c r="BI14243" s="25"/>
      <c r="BJ14243" s="25"/>
      <c r="BK14243" s="25"/>
    </row>
    <row r="14244" spans="60:63" ht="14.25" x14ac:dyDescent="0.2">
      <c r="BH14244" s="25"/>
      <c r="BI14244" s="25"/>
      <c r="BJ14244" s="25"/>
      <c r="BK14244" s="25"/>
    </row>
    <row r="14245" spans="60:63" ht="14.25" x14ac:dyDescent="0.2">
      <c r="BH14245" s="25"/>
      <c r="BI14245" s="25"/>
      <c r="BJ14245" s="25"/>
      <c r="BK14245" s="25"/>
    </row>
    <row r="14246" spans="60:63" ht="14.25" x14ac:dyDescent="0.2">
      <c r="BH14246" s="25"/>
      <c r="BI14246" s="25"/>
      <c r="BJ14246" s="25"/>
      <c r="BK14246" s="25"/>
    </row>
    <row r="14247" spans="60:63" ht="14.25" x14ac:dyDescent="0.2">
      <c r="BH14247" s="25"/>
      <c r="BI14247" s="25"/>
      <c r="BJ14247" s="25"/>
      <c r="BK14247" s="25"/>
    </row>
    <row r="14248" spans="60:63" ht="14.25" x14ac:dyDescent="0.2">
      <c r="BH14248" s="25"/>
      <c r="BI14248" s="25"/>
      <c r="BJ14248" s="25"/>
      <c r="BK14248" s="25"/>
    </row>
    <row r="14249" spans="60:63" ht="14.25" x14ac:dyDescent="0.2">
      <c r="BH14249" s="25"/>
      <c r="BI14249" s="25"/>
      <c r="BJ14249" s="25"/>
      <c r="BK14249" s="25"/>
    </row>
    <row r="14250" spans="60:63" ht="14.25" x14ac:dyDescent="0.2">
      <c r="BH14250" s="25"/>
      <c r="BI14250" s="25"/>
      <c r="BJ14250" s="25"/>
      <c r="BK14250" s="25"/>
    </row>
    <row r="14251" spans="60:63" ht="14.25" x14ac:dyDescent="0.2">
      <c r="BH14251" s="25"/>
      <c r="BI14251" s="25"/>
      <c r="BJ14251" s="25"/>
      <c r="BK14251" s="25"/>
    </row>
    <row r="14252" spans="60:63" ht="14.25" x14ac:dyDescent="0.2">
      <c r="BH14252" s="25"/>
      <c r="BI14252" s="25"/>
      <c r="BJ14252" s="25"/>
      <c r="BK14252" s="25"/>
    </row>
    <row r="14253" spans="60:63" ht="14.25" x14ac:dyDescent="0.2">
      <c r="BH14253" s="25"/>
      <c r="BI14253" s="25"/>
      <c r="BJ14253" s="25"/>
      <c r="BK14253" s="25"/>
    </row>
    <row r="14254" spans="60:63" ht="14.25" x14ac:dyDescent="0.2">
      <c r="BH14254" s="25"/>
      <c r="BI14254" s="25"/>
      <c r="BJ14254" s="25"/>
      <c r="BK14254" s="25"/>
    </row>
    <row r="14255" spans="60:63" ht="14.25" x14ac:dyDescent="0.2">
      <c r="BH14255" s="25"/>
      <c r="BI14255" s="25"/>
      <c r="BJ14255" s="25"/>
      <c r="BK14255" s="25"/>
    </row>
    <row r="14256" spans="60:63" ht="14.25" x14ac:dyDescent="0.2">
      <c r="BH14256" s="25"/>
      <c r="BI14256" s="25"/>
      <c r="BJ14256" s="25"/>
      <c r="BK14256" s="25"/>
    </row>
    <row r="14257" spans="60:63" ht="14.25" x14ac:dyDescent="0.2">
      <c r="BH14257" s="25"/>
      <c r="BI14257" s="25"/>
      <c r="BJ14257" s="25"/>
      <c r="BK14257" s="25"/>
    </row>
    <row r="14258" spans="60:63" ht="14.25" x14ac:dyDescent="0.2">
      <c r="BH14258" s="25"/>
      <c r="BI14258" s="25"/>
      <c r="BJ14258" s="25"/>
      <c r="BK14258" s="25"/>
    </row>
    <row r="14259" spans="60:63" ht="14.25" x14ac:dyDescent="0.2">
      <c r="BH14259" s="25"/>
      <c r="BI14259" s="25"/>
      <c r="BJ14259" s="25"/>
      <c r="BK14259" s="25"/>
    </row>
    <row r="14260" spans="60:63" ht="14.25" x14ac:dyDescent="0.2">
      <c r="BH14260" s="25"/>
      <c r="BI14260" s="25"/>
      <c r="BJ14260" s="25"/>
      <c r="BK14260" s="25"/>
    </row>
    <row r="14261" spans="60:63" ht="14.25" x14ac:dyDescent="0.2">
      <c r="BH14261" s="25"/>
      <c r="BI14261" s="25"/>
      <c r="BJ14261" s="25"/>
      <c r="BK14261" s="25"/>
    </row>
    <row r="14262" spans="60:63" ht="14.25" x14ac:dyDescent="0.2">
      <c r="BH14262" s="25"/>
      <c r="BI14262" s="25"/>
      <c r="BJ14262" s="25"/>
      <c r="BK14262" s="25"/>
    </row>
    <row r="14263" spans="60:63" ht="14.25" x14ac:dyDescent="0.2">
      <c r="BH14263" s="25"/>
      <c r="BI14263" s="25"/>
      <c r="BJ14263" s="25"/>
      <c r="BK14263" s="25"/>
    </row>
    <row r="14264" spans="60:63" ht="14.25" x14ac:dyDescent="0.2">
      <c r="BH14264" s="25"/>
      <c r="BI14264" s="25"/>
      <c r="BJ14264" s="25"/>
      <c r="BK14264" s="25"/>
    </row>
    <row r="14265" spans="60:63" ht="14.25" x14ac:dyDescent="0.2">
      <c r="BH14265" s="25"/>
      <c r="BI14265" s="25"/>
      <c r="BJ14265" s="25"/>
      <c r="BK14265" s="25"/>
    </row>
    <row r="14266" spans="60:63" ht="14.25" x14ac:dyDescent="0.2">
      <c r="BH14266" s="25"/>
      <c r="BI14266" s="25"/>
      <c r="BJ14266" s="25"/>
      <c r="BK14266" s="25"/>
    </row>
    <row r="14267" spans="60:63" ht="14.25" x14ac:dyDescent="0.2">
      <c r="BH14267" s="25"/>
      <c r="BI14267" s="25"/>
      <c r="BJ14267" s="25"/>
      <c r="BK14267" s="25"/>
    </row>
    <row r="14268" spans="60:63" ht="14.25" x14ac:dyDescent="0.2">
      <c r="BH14268" s="25"/>
      <c r="BI14268" s="25"/>
      <c r="BJ14268" s="25"/>
      <c r="BK14268" s="25"/>
    </row>
    <row r="14269" spans="60:63" ht="14.25" x14ac:dyDescent="0.2">
      <c r="BH14269" s="25"/>
      <c r="BI14269" s="25"/>
      <c r="BJ14269" s="25"/>
      <c r="BK14269" s="25"/>
    </row>
    <row r="14270" spans="60:63" ht="14.25" x14ac:dyDescent="0.2">
      <c r="BH14270" s="25"/>
      <c r="BI14270" s="25"/>
      <c r="BJ14270" s="25"/>
      <c r="BK14270" s="25"/>
    </row>
    <row r="14271" spans="60:63" ht="14.25" x14ac:dyDescent="0.2">
      <c r="BH14271" s="25"/>
      <c r="BI14271" s="25"/>
      <c r="BJ14271" s="25"/>
      <c r="BK14271" s="25"/>
    </row>
    <row r="14272" spans="60:63" ht="14.25" x14ac:dyDescent="0.2">
      <c r="BH14272" s="25"/>
      <c r="BI14272" s="25"/>
      <c r="BJ14272" s="25"/>
      <c r="BK14272" s="25"/>
    </row>
    <row r="14273" spans="60:63" ht="14.25" x14ac:dyDescent="0.2">
      <c r="BH14273" s="25"/>
      <c r="BI14273" s="25"/>
      <c r="BJ14273" s="25"/>
      <c r="BK14273" s="25"/>
    </row>
    <row r="14274" spans="60:63" ht="14.25" x14ac:dyDescent="0.2">
      <c r="BH14274" s="25"/>
      <c r="BI14274" s="25"/>
      <c r="BJ14274" s="25"/>
      <c r="BK14274" s="25"/>
    </row>
    <row r="14275" spans="60:63" ht="14.25" x14ac:dyDescent="0.2">
      <c r="BH14275" s="25"/>
      <c r="BI14275" s="25"/>
      <c r="BJ14275" s="25"/>
      <c r="BK14275" s="25"/>
    </row>
    <row r="14276" spans="60:63" ht="14.25" x14ac:dyDescent="0.2">
      <c r="BH14276" s="25"/>
      <c r="BI14276" s="25"/>
      <c r="BJ14276" s="25"/>
      <c r="BK14276" s="25"/>
    </row>
    <row r="14277" spans="60:63" ht="14.25" x14ac:dyDescent="0.2">
      <c r="BH14277" s="25"/>
      <c r="BI14277" s="25"/>
      <c r="BJ14277" s="25"/>
      <c r="BK14277" s="25"/>
    </row>
    <row r="14278" spans="60:63" ht="14.25" x14ac:dyDescent="0.2">
      <c r="BH14278" s="25"/>
      <c r="BI14278" s="25"/>
      <c r="BJ14278" s="25"/>
      <c r="BK14278" s="25"/>
    </row>
    <row r="14279" spans="60:63" ht="14.25" x14ac:dyDescent="0.2">
      <c r="BH14279" s="25"/>
      <c r="BI14279" s="25"/>
      <c r="BJ14279" s="25"/>
      <c r="BK14279" s="25"/>
    </row>
    <row r="14280" spans="60:63" ht="14.25" x14ac:dyDescent="0.2">
      <c r="BH14280" s="25"/>
      <c r="BI14280" s="25"/>
      <c r="BJ14280" s="25"/>
      <c r="BK14280" s="25"/>
    </row>
    <row r="14281" spans="60:63" ht="14.25" x14ac:dyDescent="0.2">
      <c r="BH14281" s="25"/>
      <c r="BI14281" s="25"/>
      <c r="BJ14281" s="25"/>
      <c r="BK14281" s="25"/>
    </row>
    <row r="14282" spans="60:63" ht="14.25" x14ac:dyDescent="0.2">
      <c r="BH14282" s="25"/>
      <c r="BI14282" s="25"/>
      <c r="BJ14282" s="25"/>
      <c r="BK14282" s="25"/>
    </row>
    <row r="14283" spans="60:63" ht="14.25" x14ac:dyDescent="0.2">
      <c r="BH14283" s="25"/>
      <c r="BI14283" s="25"/>
      <c r="BJ14283" s="25"/>
      <c r="BK14283" s="25"/>
    </row>
    <row r="14284" spans="60:63" ht="14.25" x14ac:dyDescent="0.2">
      <c r="BH14284" s="25"/>
      <c r="BI14284" s="25"/>
      <c r="BJ14284" s="25"/>
      <c r="BK14284" s="25"/>
    </row>
    <row r="14285" spans="60:63" ht="14.25" x14ac:dyDescent="0.2">
      <c r="BH14285" s="25"/>
      <c r="BI14285" s="25"/>
      <c r="BJ14285" s="25"/>
      <c r="BK14285" s="25"/>
    </row>
    <row r="14286" spans="60:63" ht="14.25" x14ac:dyDescent="0.2">
      <c r="BH14286" s="25"/>
      <c r="BI14286" s="25"/>
      <c r="BJ14286" s="25"/>
      <c r="BK14286" s="25"/>
    </row>
    <row r="14287" spans="60:63" ht="14.25" x14ac:dyDescent="0.2">
      <c r="BH14287" s="25"/>
      <c r="BI14287" s="25"/>
      <c r="BJ14287" s="25"/>
      <c r="BK14287" s="25"/>
    </row>
    <row r="14288" spans="60:63" ht="14.25" x14ac:dyDescent="0.2">
      <c r="BH14288" s="25"/>
      <c r="BI14288" s="25"/>
      <c r="BJ14288" s="25"/>
      <c r="BK14288" s="25"/>
    </row>
    <row r="14289" spans="60:63" ht="14.25" x14ac:dyDescent="0.2">
      <c r="BH14289" s="25"/>
      <c r="BI14289" s="25"/>
      <c r="BJ14289" s="25"/>
      <c r="BK14289" s="25"/>
    </row>
    <row r="14290" spans="60:63" ht="14.25" x14ac:dyDescent="0.2">
      <c r="BH14290" s="25"/>
      <c r="BI14290" s="25"/>
      <c r="BJ14290" s="25"/>
      <c r="BK14290" s="25"/>
    </row>
    <row r="14291" spans="60:63" ht="14.25" x14ac:dyDescent="0.2">
      <c r="BH14291" s="25"/>
      <c r="BI14291" s="25"/>
      <c r="BJ14291" s="25"/>
      <c r="BK14291" s="25"/>
    </row>
    <row r="14292" spans="60:63" ht="14.25" x14ac:dyDescent="0.2">
      <c r="BH14292" s="25"/>
      <c r="BI14292" s="25"/>
      <c r="BJ14292" s="25"/>
      <c r="BK14292" s="25"/>
    </row>
    <row r="14293" spans="60:63" ht="14.25" x14ac:dyDescent="0.2">
      <c r="BH14293" s="25"/>
      <c r="BI14293" s="25"/>
      <c r="BJ14293" s="25"/>
      <c r="BK14293" s="25"/>
    </row>
    <row r="14294" spans="60:63" ht="14.25" x14ac:dyDescent="0.2">
      <c r="BH14294" s="25"/>
      <c r="BI14294" s="25"/>
      <c r="BJ14294" s="25"/>
      <c r="BK14294" s="25"/>
    </row>
    <row r="14295" spans="60:63" ht="14.25" x14ac:dyDescent="0.2">
      <c r="BH14295" s="25"/>
      <c r="BI14295" s="25"/>
      <c r="BJ14295" s="25"/>
      <c r="BK14295" s="25"/>
    </row>
    <row r="14296" spans="60:63" ht="14.25" x14ac:dyDescent="0.2">
      <c r="BH14296" s="25"/>
      <c r="BI14296" s="25"/>
      <c r="BJ14296" s="25"/>
      <c r="BK14296" s="25"/>
    </row>
    <row r="14297" spans="60:63" ht="14.25" x14ac:dyDescent="0.2">
      <c r="BH14297" s="25"/>
      <c r="BI14297" s="25"/>
      <c r="BJ14297" s="25"/>
      <c r="BK14297" s="25"/>
    </row>
    <row r="14298" spans="60:63" ht="14.25" x14ac:dyDescent="0.2">
      <c r="BH14298" s="25"/>
      <c r="BI14298" s="25"/>
      <c r="BJ14298" s="25"/>
      <c r="BK14298" s="25"/>
    </row>
    <row r="14299" spans="60:63" ht="14.25" x14ac:dyDescent="0.2">
      <c r="BH14299" s="25"/>
      <c r="BI14299" s="25"/>
      <c r="BJ14299" s="25"/>
      <c r="BK14299" s="25"/>
    </row>
    <row r="14300" spans="60:63" ht="14.25" x14ac:dyDescent="0.2">
      <c r="BH14300" s="25"/>
      <c r="BI14300" s="25"/>
      <c r="BJ14300" s="25"/>
      <c r="BK14300" s="25"/>
    </row>
    <row r="14301" spans="60:63" ht="14.25" x14ac:dyDescent="0.2">
      <c r="BH14301" s="25"/>
      <c r="BI14301" s="25"/>
      <c r="BJ14301" s="25"/>
      <c r="BK14301" s="25"/>
    </row>
    <row r="14302" spans="60:63" ht="14.25" x14ac:dyDescent="0.2">
      <c r="BH14302" s="25"/>
      <c r="BI14302" s="25"/>
      <c r="BJ14302" s="25"/>
      <c r="BK14302" s="25"/>
    </row>
    <row r="14303" spans="60:63" ht="14.25" x14ac:dyDescent="0.2">
      <c r="BH14303" s="25"/>
      <c r="BI14303" s="25"/>
      <c r="BJ14303" s="25"/>
      <c r="BK14303" s="25"/>
    </row>
    <row r="14304" spans="60:63" ht="14.25" x14ac:dyDescent="0.2">
      <c r="BH14304" s="25"/>
      <c r="BI14304" s="25"/>
      <c r="BJ14304" s="25"/>
      <c r="BK14304" s="25"/>
    </row>
    <row r="14305" spans="60:63" ht="14.25" x14ac:dyDescent="0.2">
      <c r="BH14305" s="25"/>
      <c r="BI14305" s="25"/>
      <c r="BJ14305" s="25"/>
      <c r="BK14305" s="25"/>
    </row>
    <row r="14306" spans="60:63" ht="14.25" x14ac:dyDescent="0.2">
      <c r="BH14306" s="25"/>
      <c r="BI14306" s="25"/>
      <c r="BJ14306" s="25"/>
      <c r="BK14306" s="25"/>
    </row>
    <row r="14307" spans="60:63" ht="14.25" x14ac:dyDescent="0.2">
      <c r="BH14307" s="25"/>
      <c r="BI14307" s="25"/>
      <c r="BJ14307" s="25"/>
      <c r="BK14307" s="25"/>
    </row>
    <row r="14308" spans="60:63" ht="14.25" x14ac:dyDescent="0.2">
      <c r="BH14308" s="25"/>
      <c r="BI14308" s="25"/>
      <c r="BJ14308" s="25"/>
      <c r="BK14308" s="25"/>
    </row>
    <row r="14309" spans="60:63" ht="14.25" x14ac:dyDescent="0.2">
      <c r="BH14309" s="25"/>
      <c r="BI14309" s="25"/>
      <c r="BJ14309" s="25"/>
      <c r="BK14309" s="25"/>
    </row>
    <row r="14310" spans="60:63" ht="14.25" x14ac:dyDescent="0.2">
      <c r="BH14310" s="25"/>
      <c r="BI14310" s="25"/>
      <c r="BJ14310" s="25"/>
      <c r="BK14310" s="25"/>
    </row>
    <row r="14311" spans="60:63" ht="14.25" x14ac:dyDescent="0.2">
      <c r="BH14311" s="25"/>
      <c r="BI14311" s="25"/>
      <c r="BJ14311" s="25"/>
      <c r="BK14311" s="25"/>
    </row>
    <row r="14312" spans="60:63" ht="14.25" x14ac:dyDescent="0.2">
      <c r="BH14312" s="25"/>
      <c r="BI14312" s="25"/>
      <c r="BJ14312" s="25"/>
      <c r="BK14312" s="25"/>
    </row>
    <row r="14313" spans="60:63" ht="14.25" x14ac:dyDescent="0.2">
      <c r="BH14313" s="25"/>
      <c r="BI14313" s="25"/>
      <c r="BJ14313" s="25"/>
      <c r="BK14313" s="25"/>
    </row>
    <row r="14314" spans="60:63" ht="14.25" x14ac:dyDescent="0.2">
      <c r="BH14314" s="25"/>
      <c r="BI14314" s="25"/>
      <c r="BJ14314" s="25"/>
      <c r="BK14314" s="25"/>
    </row>
    <row r="14315" spans="60:63" ht="14.25" x14ac:dyDescent="0.2">
      <c r="BH14315" s="25"/>
      <c r="BI14315" s="25"/>
      <c r="BJ14315" s="25"/>
      <c r="BK14315" s="25"/>
    </row>
    <row r="14316" spans="60:63" ht="14.25" x14ac:dyDescent="0.2">
      <c r="BH14316" s="25"/>
      <c r="BI14316" s="25"/>
      <c r="BJ14316" s="25"/>
      <c r="BK14316" s="25"/>
    </row>
    <row r="14317" spans="60:63" ht="14.25" x14ac:dyDescent="0.2">
      <c r="BH14317" s="25"/>
      <c r="BI14317" s="25"/>
      <c r="BJ14317" s="25"/>
      <c r="BK14317" s="25"/>
    </row>
    <row r="14318" spans="60:63" ht="14.25" x14ac:dyDescent="0.2">
      <c r="BH14318" s="25"/>
      <c r="BI14318" s="25"/>
      <c r="BJ14318" s="25"/>
      <c r="BK14318" s="25"/>
    </row>
    <row r="14319" spans="60:63" ht="14.25" x14ac:dyDescent="0.2">
      <c r="BH14319" s="25"/>
      <c r="BI14319" s="25"/>
      <c r="BJ14319" s="25"/>
      <c r="BK14319" s="25"/>
    </row>
    <row r="14320" spans="60:63" ht="14.25" x14ac:dyDescent="0.2">
      <c r="BH14320" s="25"/>
      <c r="BI14320" s="25"/>
      <c r="BJ14320" s="25"/>
      <c r="BK14320" s="25"/>
    </row>
    <row r="14321" spans="60:63" ht="14.25" x14ac:dyDescent="0.2">
      <c r="BH14321" s="25"/>
      <c r="BI14321" s="25"/>
      <c r="BJ14321" s="25"/>
      <c r="BK14321" s="25"/>
    </row>
    <row r="14322" spans="60:63" ht="14.25" x14ac:dyDescent="0.2">
      <c r="BH14322" s="25"/>
      <c r="BI14322" s="25"/>
      <c r="BJ14322" s="25"/>
      <c r="BK14322" s="25"/>
    </row>
    <row r="14323" spans="60:63" ht="14.25" x14ac:dyDescent="0.2">
      <c r="BH14323" s="25"/>
      <c r="BI14323" s="25"/>
      <c r="BJ14323" s="25"/>
      <c r="BK14323" s="25"/>
    </row>
    <row r="14324" spans="60:63" ht="14.25" x14ac:dyDescent="0.2">
      <c r="BH14324" s="25"/>
      <c r="BI14324" s="25"/>
      <c r="BJ14324" s="25"/>
      <c r="BK14324" s="25"/>
    </row>
    <row r="14325" spans="60:63" ht="14.25" x14ac:dyDescent="0.2">
      <c r="BH14325" s="25"/>
      <c r="BI14325" s="25"/>
      <c r="BJ14325" s="25"/>
      <c r="BK14325" s="25"/>
    </row>
    <row r="14326" spans="60:63" ht="14.25" x14ac:dyDescent="0.2">
      <c r="BH14326" s="25"/>
      <c r="BI14326" s="25"/>
      <c r="BJ14326" s="25"/>
      <c r="BK14326" s="25"/>
    </row>
    <row r="14327" spans="60:63" ht="14.25" x14ac:dyDescent="0.2">
      <c r="BH14327" s="25"/>
      <c r="BI14327" s="25"/>
      <c r="BJ14327" s="25"/>
      <c r="BK14327" s="25"/>
    </row>
    <row r="14328" spans="60:63" ht="14.25" x14ac:dyDescent="0.2">
      <c r="BH14328" s="25"/>
      <c r="BI14328" s="25"/>
      <c r="BJ14328" s="25"/>
      <c r="BK14328" s="25"/>
    </row>
    <row r="14329" spans="60:63" ht="14.25" x14ac:dyDescent="0.2">
      <c r="BH14329" s="25"/>
      <c r="BI14329" s="25"/>
      <c r="BJ14329" s="25"/>
      <c r="BK14329" s="25"/>
    </row>
    <row r="14330" spans="60:63" ht="14.25" x14ac:dyDescent="0.2">
      <c r="BH14330" s="25"/>
      <c r="BI14330" s="25"/>
      <c r="BJ14330" s="25"/>
      <c r="BK14330" s="25"/>
    </row>
    <row r="14331" spans="60:63" ht="14.25" x14ac:dyDescent="0.2">
      <c r="BH14331" s="25"/>
      <c r="BI14331" s="25"/>
      <c r="BJ14331" s="25"/>
      <c r="BK14331" s="25"/>
    </row>
    <row r="14332" spans="60:63" ht="14.25" x14ac:dyDescent="0.2">
      <c r="BH14332" s="25"/>
      <c r="BI14332" s="25"/>
      <c r="BJ14332" s="25"/>
      <c r="BK14332" s="25"/>
    </row>
    <row r="14333" spans="60:63" ht="14.25" x14ac:dyDescent="0.2">
      <c r="BH14333" s="25"/>
      <c r="BI14333" s="25"/>
      <c r="BJ14333" s="25"/>
      <c r="BK14333" s="25"/>
    </row>
    <row r="14334" spans="60:63" ht="14.25" x14ac:dyDescent="0.2">
      <c r="BH14334" s="25"/>
      <c r="BI14334" s="25"/>
      <c r="BJ14334" s="25"/>
      <c r="BK14334" s="25"/>
    </row>
    <row r="14335" spans="60:63" ht="14.25" x14ac:dyDescent="0.2">
      <c r="BH14335" s="25"/>
      <c r="BI14335" s="25"/>
      <c r="BJ14335" s="25"/>
      <c r="BK14335" s="25"/>
    </row>
    <row r="14336" spans="60:63" ht="14.25" x14ac:dyDescent="0.2">
      <c r="BH14336" s="25"/>
      <c r="BI14336" s="25"/>
      <c r="BJ14336" s="25"/>
      <c r="BK14336" s="25"/>
    </row>
    <row r="14337" spans="60:63" ht="14.25" x14ac:dyDescent="0.2">
      <c r="BH14337" s="25"/>
      <c r="BI14337" s="25"/>
      <c r="BJ14337" s="25"/>
      <c r="BK14337" s="25"/>
    </row>
    <row r="14338" spans="60:63" ht="14.25" x14ac:dyDescent="0.2">
      <c r="BH14338" s="25"/>
      <c r="BI14338" s="25"/>
      <c r="BJ14338" s="25"/>
      <c r="BK14338" s="25"/>
    </row>
    <row r="14339" spans="60:63" ht="14.25" x14ac:dyDescent="0.2">
      <c r="BH14339" s="25"/>
      <c r="BI14339" s="25"/>
      <c r="BJ14339" s="25"/>
      <c r="BK14339" s="25"/>
    </row>
    <row r="14340" spans="60:63" ht="14.25" x14ac:dyDescent="0.2">
      <c r="BH14340" s="25"/>
      <c r="BI14340" s="25"/>
      <c r="BJ14340" s="25"/>
      <c r="BK14340" s="25"/>
    </row>
    <row r="14341" spans="60:63" ht="14.25" x14ac:dyDescent="0.2">
      <c r="BH14341" s="25"/>
      <c r="BI14341" s="25"/>
      <c r="BJ14341" s="25"/>
      <c r="BK14341" s="25"/>
    </row>
    <row r="14342" spans="60:63" ht="14.25" x14ac:dyDescent="0.2">
      <c r="BH14342" s="25"/>
      <c r="BI14342" s="25"/>
      <c r="BJ14342" s="25"/>
      <c r="BK14342" s="25"/>
    </row>
    <row r="14343" spans="60:63" ht="14.25" x14ac:dyDescent="0.2">
      <c r="BH14343" s="25"/>
      <c r="BI14343" s="25"/>
      <c r="BJ14343" s="25"/>
      <c r="BK14343" s="25"/>
    </row>
    <row r="14344" spans="60:63" ht="14.25" x14ac:dyDescent="0.2">
      <c r="BH14344" s="25"/>
      <c r="BI14344" s="25"/>
      <c r="BJ14344" s="25"/>
      <c r="BK14344" s="25"/>
    </row>
    <row r="14345" spans="60:63" ht="14.25" x14ac:dyDescent="0.2">
      <c r="BH14345" s="25"/>
      <c r="BI14345" s="25"/>
      <c r="BJ14345" s="25"/>
      <c r="BK14345" s="25"/>
    </row>
    <row r="14346" spans="60:63" ht="14.25" x14ac:dyDescent="0.2">
      <c r="BH14346" s="25"/>
      <c r="BI14346" s="25"/>
      <c r="BJ14346" s="25"/>
      <c r="BK14346" s="25"/>
    </row>
    <row r="14347" spans="60:63" ht="14.25" x14ac:dyDescent="0.2">
      <c r="BH14347" s="25"/>
      <c r="BI14347" s="25"/>
      <c r="BJ14347" s="25"/>
      <c r="BK14347" s="25"/>
    </row>
    <row r="14348" spans="60:63" ht="14.25" x14ac:dyDescent="0.2">
      <c r="BH14348" s="25"/>
      <c r="BI14348" s="25"/>
      <c r="BJ14348" s="25"/>
      <c r="BK14348" s="25"/>
    </row>
    <row r="14349" spans="60:63" ht="14.25" x14ac:dyDescent="0.2">
      <c r="BH14349" s="25"/>
      <c r="BI14349" s="25"/>
      <c r="BJ14349" s="25"/>
      <c r="BK14349" s="25"/>
    </row>
    <row r="14350" spans="60:63" ht="14.25" x14ac:dyDescent="0.2">
      <c r="BH14350" s="25"/>
      <c r="BI14350" s="25"/>
      <c r="BJ14350" s="25"/>
      <c r="BK14350" s="25"/>
    </row>
    <row r="14351" spans="60:63" ht="14.25" x14ac:dyDescent="0.2">
      <c r="BH14351" s="25"/>
      <c r="BI14351" s="25"/>
      <c r="BJ14351" s="25"/>
      <c r="BK14351" s="25"/>
    </row>
    <row r="14352" spans="60:63" ht="14.25" x14ac:dyDescent="0.2">
      <c r="BH14352" s="25"/>
      <c r="BI14352" s="25"/>
      <c r="BJ14352" s="25"/>
      <c r="BK14352" s="25"/>
    </row>
    <row r="14353" spans="60:63" ht="14.25" x14ac:dyDescent="0.2">
      <c r="BH14353" s="25"/>
      <c r="BI14353" s="25"/>
      <c r="BJ14353" s="25"/>
      <c r="BK14353" s="25"/>
    </row>
    <row r="14354" spans="60:63" ht="14.25" x14ac:dyDescent="0.2">
      <c r="BH14354" s="25"/>
      <c r="BI14354" s="25"/>
      <c r="BJ14354" s="25"/>
      <c r="BK14354" s="25"/>
    </row>
    <row r="14355" spans="60:63" ht="14.25" x14ac:dyDescent="0.2">
      <c r="BH14355" s="25"/>
      <c r="BI14355" s="25"/>
      <c r="BJ14355" s="25"/>
      <c r="BK14355" s="25"/>
    </row>
    <row r="14356" spans="60:63" ht="14.25" x14ac:dyDescent="0.2">
      <c r="BH14356" s="25"/>
      <c r="BI14356" s="25"/>
      <c r="BJ14356" s="25"/>
      <c r="BK14356" s="25"/>
    </row>
    <row r="14357" spans="60:63" ht="14.25" x14ac:dyDescent="0.2">
      <c r="BH14357" s="25"/>
      <c r="BI14357" s="25"/>
      <c r="BJ14357" s="25"/>
      <c r="BK14357" s="25"/>
    </row>
    <row r="14358" spans="60:63" ht="14.25" x14ac:dyDescent="0.2">
      <c r="BH14358" s="25"/>
      <c r="BI14358" s="25"/>
      <c r="BJ14358" s="25"/>
      <c r="BK14358" s="25"/>
    </row>
    <row r="14359" spans="60:63" ht="14.25" x14ac:dyDescent="0.2">
      <c r="BH14359" s="25"/>
      <c r="BI14359" s="25"/>
      <c r="BJ14359" s="25"/>
      <c r="BK14359" s="25"/>
    </row>
    <row r="14360" spans="60:63" ht="14.25" x14ac:dyDescent="0.2">
      <c r="BH14360" s="25"/>
      <c r="BI14360" s="25"/>
      <c r="BJ14360" s="25"/>
      <c r="BK14360" s="25"/>
    </row>
    <row r="14361" spans="60:63" ht="14.25" x14ac:dyDescent="0.2">
      <c r="BH14361" s="25"/>
      <c r="BI14361" s="25"/>
      <c r="BJ14361" s="25"/>
      <c r="BK14361" s="25"/>
    </row>
    <row r="14362" spans="60:63" ht="14.25" x14ac:dyDescent="0.2">
      <c r="BH14362" s="25"/>
      <c r="BI14362" s="25"/>
      <c r="BJ14362" s="25"/>
      <c r="BK14362" s="25"/>
    </row>
    <row r="14363" spans="60:63" ht="14.25" x14ac:dyDescent="0.2">
      <c r="BH14363" s="25"/>
      <c r="BI14363" s="25"/>
      <c r="BJ14363" s="25"/>
      <c r="BK14363" s="25"/>
    </row>
    <row r="14364" spans="60:63" ht="14.25" x14ac:dyDescent="0.2">
      <c r="BH14364" s="25"/>
      <c r="BI14364" s="25"/>
      <c r="BJ14364" s="25"/>
      <c r="BK14364" s="25"/>
    </row>
    <row r="14365" spans="60:63" ht="14.25" x14ac:dyDescent="0.2">
      <c r="BH14365" s="25"/>
      <c r="BI14365" s="25"/>
      <c r="BJ14365" s="25"/>
      <c r="BK14365" s="25"/>
    </row>
    <row r="14366" spans="60:63" ht="14.25" x14ac:dyDescent="0.2">
      <c r="BH14366" s="25"/>
      <c r="BI14366" s="25"/>
      <c r="BJ14366" s="25"/>
      <c r="BK14366" s="25"/>
    </row>
    <row r="14367" spans="60:63" ht="14.25" x14ac:dyDescent="0.2">
      <c r="BH14367" s="25"/>
      <c r="BI14367" s="25"/>
      <c r="BJ14367" s="25"/>
      <c r="BK14367" s="25"/>
    </row>
    <row r="14368" spans="60:63" ht="14.25" x14ac:dyDescent="0.2">
      <c r="BH14368" s="25"/>
      <c r="BI14368" s="25"/>
      <c r="BJ14368" s="25"/>
      <c r="BK14368" s="25"/>
    </row>
    <row r="14369" spans="60:63" ht="14.25" x14ac:dyDescent="0.2">
      <c r="BH14369" s="25"/>
      <c r="BI14369" s="25"/>
      <c r="BJ14369" s="25"/>
      <c r="BK14369" s="25"/>
    </row>
    <row r="14370" spans="60:63" ht="14.25" x14ac:dyDescent="0.2">
      <c r="BH14370" s="25"/>
      <c r="BI14370" s="25"/>
      <c r="BJ14370" s="25"/>
      <c r="BK14370" s="25"/>
    </row>
    <row r="14371" spans="60:63" ht="14.25" x14ac:dyDescent="0.2">
      <c r="BH14371" s="25"/>
      <c r="BI14371" s="25"/>
      <c r="BJ14371" s="25"/>
      <c r="BK14371" s="25"/>
    </row>
    <row r="14372" spans="60:63" ht="14.25" x14ac:dyDescent="0.2">
      <c r="BH14372" s="25"/>
      <c r="BI14372" s="25"/>
      <c r="BJ14372" s="25"/>
      <c r="BK14372" s="25"/>
    </row>
    <row r="14373" spans="60:63" ht="14.25" x14ac:dyDescent="0.2">
      <c r="BH14373" s="25"/>
      <c r="BI14373" s="25"/>
      <c r="BJ14373" s="25"/>
      <c r="BK14373" s="25"/>
    </row>
    <row r="14374" spans="60:63" ht="14.25" x14ac:dyDescent="0.2">
      <c r="BH14374" s="25"/>
      <c r="BI14374" s="25"/>
      <c r="BJ14374" s="25"/>
      <c r="BK14374" s="25"/>
    </row>
    <row r="14375" spans="60:63" ht="14.25" x14ac:dyDescent="0.2">
      <c r="BH14375" s="25"/>
      <c r="BI14375" s="25"/>
      <c r="BJ14375" s="25"/>
      <c r="BK14375" s="25"/>
    </row>
    <row r="14376" spans="60:63" ht="14.25" x14ac:dyDescent="0.2">
      <c r="BH14376" s="25"/>
      <c r="BI14376" s="25"/>
      <c r="BJ14376" s="25"/>
      <c r="BK14376" s="25"/>
    </row>
    <row r="14377" spans="60:63" ht="14.25" x14ac:dyDescent="0.2">
      <c r="BH14377" s="25"/>
      <c r="BI14377" s="25"/>
      <c r="BJ14377" s="25"/>
      <c r="BK14377" s="25"/>
    </row>
    <row r="14378" spans="60:63" ht="14.25" x14ac:dyDescent="0.2">
      <c r="BH14378" s="25"/>
      <c r="BI14378" s="25"/>
      <c r="BJ14378" s="25"/>
      <c r="BK14378" s="25"/>
    </row>
    <row r="14379" spans="60:63" ht="14.25" x14ac:dyDescent="0.2">
      <c r="BH14379" s="25"/>
      <c r="BI14379" s="25"/>
      <c r="BJ14379" s="25"/>
      <c r="BK14379" s="25"/>
    </row>
    <row r="14380" spans="60:63" ht="14.25" x14ac:dyDescent="0.2">
      <c r="BH14380" s="25"/>
      <c r="BI14380" s="25"/>
      <c r="BJ14380" s="25"/>
      <c r="BK14380" s="25"/>
    </row>
    <row r="14381" spans="60:63" ht="14.25" x14ac:dyDescent="0.2">
      <c r="BH14381" s="25"/>
      <c r="BI14381" s="25"/>
      <c r="BJ14381" s="25"/>
      <c r="BK14381" s="25"/>
    </row>
    <row r="14382" spans="60:63" ht="14.25" x14ac:dyDescent="0.2">
      <c r="BH14382" s="25"/>
      <c r="BI14382" s="25"/>
      <c r="BJ14382" s="25"/>
      <c r="BK14382" s="25"/>
    </row>
    <row r="14383" spans="60:63" ht="14.25" x14ac:dyDescent="0.2">
      <c r="BH14383" s="25"/>
      <c r="BI14383" s="25"/>
      <c r="BJ14383" s="25"/>
      <c r="BK14383" s="25"/>
    </row>
    <row r="14384" spans="60:63" ht="14.25" x14ac:dyDescent="0.2">
      <c r="BH14384" s="25"/>
      <c r="BI14384" s="25"/>
      <c r="BJ14384" s="25"/>
      <c r="BK14384" s="25"/>
    </row>
    <row r="14385" spans="60:63" ht="14.25" x14ac:dyDescent="0.2">
      <c r="BH14385" s="25"/>
      <c r="BI14385" s="25"/>
      <c r="BJ14385" s="25"/>
      <c r="BK14385" s="25"/>
    </row>
    <row r="14386" spans="60:63" ht="14.25" x14ac:dyDescent="0.2">
      <c r="BH14386" s="25"/>
      <c r="BI14386" s="25"/>
      <c r="BJ14386" s="25"/>
      <c r="BK14386" s="25"/>
    </row>
    <row r="14387" spans="60:63" ht="14.25" x14ac:dyDescent="0.2">
      <c r="BH14387" s="25"/>
      <c r="BI14387" s="25"/>
      <c r="BJ14387" s="25"/>
      <c r="BK14387" s="25"/>
    </row>
    <row r="14388" spans="60:63" ht="14.25" x14ac:dyDescent="0.2">
      <c r="BH14388" s="25"/>
      <c r="BI14388" s="25"/>
      <c r="BJ14388" s="25"/>
      <c r="BK14388" s="25"/>
    </row>
    <row r="14389" spans="60:63" ht="14.25" x14ac:dyDescent="0.2">
      <c r="BH14389" s="25"/>
      <c r="BI14389" s="25"/>
      <c r="BJ14389" s="25"/>
      <c r="BK14389" s="25"/>
    </row>
    <row r="14390" spans="60:63" ht="14.25" x14ac:dyDescent="0.2">
      <c r="BH14390" s="25"/>
      <c r="BI14390" s="25"/>
      <c r="BJ14390" s="25"/>
      <c r="BK14390" s="25"/>
    </row>
    <row r="14391" spans="60:63" ht="14.25" x14ac:dyDescent="0.2">
      <c r="BH14391" s="25"/>
      <c r="BI14391" s="25"/>
      <c r="BJ14391" s="25"/>
      <c r="BK14391" s="25"/>
    </row>
    <row r="14392" spans="60:63" ht="14.25" x14ac:dyDescent="0.2">
      <c r="BH14392" s="25"/>
      <c r="BI14392" s="25"/>
      <c r="BJ14392" s="25"/>
      <c r="BK14392" s="25"/>
    </row>
    <row r="14393" spans="60:63" ht="14.25" x14ac:dyDescent="0.2">
      <c r="BH14393" s="25"/>
      <c r="BI14393" s="25"/>
      <c r="BJ14393" s="25"/>
      <c r="BK14393" s="25"/>
    </row>
    <row r="14394" spans="60:63" ht="14.25" x14ac:dyDescent="0.2">
      <c r="BH14394" s="25"/>
      <c r="BI14394" s="25"/>
      <c r="BJ14394" s="25"/>
      <c r="BK14394" s="25"/>
    </row>
    <row r="14395" spans="60:63" ht="14.25" x14ac:dyDescent="0.2">
      <c r="BH14395" s="25"/>
      <c r="BI14395" s="25"/>
      <c r="BJ14395" s="25"/>
      <c r="BK14395" s="25"/>
    </row>
    <row r="14396" spans="60:63" ht="14.25" x14ac:dyDescent="0.2">
      <c r="BH14396" s="25"/>
      <c r="BI14396" s="25"/>
      <c r="BJ14396" s="25"/>
      <c r="BK14396" s="25"/>
    </row>
    <row r="14397" spans="60:63" ht="14.25" x14ac:dyDescent="0.2">
      <c r="BH14397" s="25"/>
      <c r="BI14397" s="25"/>
      <c r="BJ14397" s="25"/>
      <c r="BK14397" s="25"/>
    </row>
    <row r="14398" spans="60:63" ht="14.25" x14ac:dyDescent="0.2">
      <c r="BH14398" s="25"/>
      <c r="BI14398" s="25"/>
      <c r="BJ14398" s="25"/>
      <c r="BK14398" s="25"/>
    </row>
    <row r="14399" spans="60:63" ht="14.25" x14ac:dyDescent="0.2">
      <c r="BH14399" s="25"/>
      <c r="BI14399" s="25"/>
      <c r="BJ14399" s="25"/>
      <c r="BK14399" s="25"/>
    </row>
    <row r="14400" spans="60:63" ht="14.25" x14ac:dyDescent="0.2">
      <c r="BH14400" s="25"/>
      <c r="BI14400" s="25"/>
      <c r="BJ14400" s="25"/>
      <c r="BK14400" s="25"/>
    </row>
    <row r="14401" spans="60:63" ht="14.25" x14ac:dyDescent="0.2">
      <c r="BH14401" s="25"/>
      <c r="BI14401" s="25"/>
      <c r="BJ14401" s="25"/>
      <c r="BK14401" s="25"/>
    </row>
    <row r="14402" spans="60:63" ht="14.25" x14ac:dyDescent="0.2">
      <c r="BH14402" s="25"/>
      <c r="BI14402" s="25"/>
      <c r="BJ14402" s="25"/>
      <c r="BK14402" s="25"/>
    </row>
    <row r="14403" spans="60:63" ht="14.25" x14ac:dyDescent="0.2">
      <c r="BH14403" s="25"/>
      <c r="BI14403" s="25"/>
      <c r="BJ14403" s="25"/>
      <c r="BK14403" s="25"/>
    </row>
    <row r="14404" spans="60:63" ht="14.25" x14ac:dyDescent="0.2">
      <c r="BH14404" s="25"/>
      <c r="BI14404" s="25"/>
      <c r="BJ14404" s="25"/>
      <c r="BK14404" s="25"/>
    </row>
    <row r="14405" spans="60:63" ht="14.25" x14ac:dyDescent="0.2">
      <c r="BH14405" s="25"/>
      <c r="BI14405" s="25"/>
      <c r="BJ14405" s="25"/>
      <c r="BK14405" s="25"/>
    </row>
    <row r="14406" spans="60:63" ht="14.25" x14ac:dyDescent="0.2">
      <c r="BH14406" s="25"/>
      <c r="BI14406" s="25"/>
      <c r="BJ14406" s="25"/>
      <c r="BK14406" s="25"/>
    </row>
    <row r="14407" spans="60:63" ht="14.25" x14ac:dyDescent="0.2">
      <c r="BH14407" s="25"/>
      <c r="BI14407" s="25"/>
      <c r="BJ14407" s="25"/>
      <c r="BK14407" s="25"/>
    </row>
    <row r="14408" spans="60:63" ht="14.25" x14ac:dyDescent="0.2">
      <c r="BH14408" s="25"/>
      <c r="BI14408" s="25"/>
      <c r="BJ14408" s="25"/>
      <c r="BK14408" s="25"/>
    </row>
    <row r="14409" spans="60:63" ht="14.25" x14ac:dyDescent="0.2">
      <c r="BH14409" s="25"/>
      <c r="BI14409" s="25"/>
      <c r="BJ14409" s="25"/>
      <c r="BK14409" s="25"/>
    </row>
    <row r="14410" spans="60:63" ht="14.25" x14ac:dyDescent="0.2">
      <c r="BH14410" s="25"/>
      <c r="BI14410" s="25"/>
      <c r="BJ14410" s="25"/>
      <c r="BK14410" s="25"/>
    </row>
    <row r="14411" spans="60:63" ht="14.25" x14ac:dyDescent="0.2">
      <c r="BH14411" s="25"/>
      <c r="BI14411" s="25"/>
      <c r="BJ14411" s="25"/>
      <c r="BK14411" s="25"/>
    </row>
    <row r="14412" spans="60:63" ht="14.25" x14ac:dyDescent="0.2">
      <c r="BH14412" s="25"/>
      <c r="BI14412" s="25"/>
      <c r="BJ14412" s="25"/>
      <c r="BK14412" s="25"/>
    </row>
    <row r="14413" spans="60:63" ht="14.25" x14ac:dyDescent="0.2">
      <c r="BH14413" s="25"/>
      <c r="BI14413" s="25"/>
      <c r="BJ14413" s="25"/>
      <c r="BK14413" s="25"/>
    </row>
    <row r="14414" spans="60:63" ht="14.25" x14ac:dyDescent="0.2">
      <c r="BH14414" s="25"/>
      <c r="BI14414" s="25"/>
      <c r="BJ14414" s="25"/>
      <c r="BK14414" s="25"/>
    </row>
    <row r="14415" spans="60:63" ht="14.25" x14ac:dyDescent="0.2">
      <c r="BH14415" s="25"/>
      <c r="BI14415" s="25"/>
      <c r="BJ14415" s="25"/>
      <c r="BK14415" s="25"/>
    </row>
    <row r="14416" spans="60:63" ht="14.25" x14ac:dyDescent="0.2">
      <c r="BH14416" s="25"/>
      <c r="BI14416" s="25"/>
      <c r="BJ14416" s="25"/>
      <c r="BK14416" s="25"/>
    </row>
    <row r="14417" spans="60:63" ht="14.25" x14ac:dyDescent="0.2">
      <c r="BH14417" s="25"/>
      <c r="BI14417" s="25"/>
      <c r="BJ14417" s="25"/>
      <c r="BK14417" s="25"/>
    </row>
    <row r="14418" spans="60:63" ht="14.25" x14ac:dyDescent="0.2">
      <c r="BH14418" s="25"/>
      <c r="BI14418" s="25"/>
      <c r="BJ14418" s="25"/>
      <c r="BK14418" s="25"/>
    </row>
    <row r="14419" spans="60:63" ht="14.25" x14ac:dyDescent="0.2">
      <c r="BH14419" s="25"/>
      <c r="BI14419" s="25"/>
      <c r="BJ14419" s="25"/>
      <c r="BK14419" s="25"/>
    </row>
    <row r="14420" spans="60:63" ht="14.25" x14ac:dyDescent="0.2">
      <c r="BH14420" s="25"/>
      <c r="BI14420" s="25"/>
      <c r="BJ14420" s="25"/>
      <c r="BK14420" s="25"/>
    </row>
    <row r="14421" spans="60:63" ht="14.25" x14ac:dyDescent="0.2">
      <c r="BH14421" s="25"/>
      <c r="BI14421" s="25"/>
      <c r="BJ14421" s="25"/>
      <c r="BK14421" s="25"/>
    </row>
    <row r="14422" spans="60:63" ht="14.25" x14ac:dyDescent="0.2">
      <c r="BH14422" s="25"/>
      <c r="BI14422" s="25"/>
      <c r="BJ14422" s="25"/>
      <c r="BK14422" s="25"/>
    </row>
    <row r="14423" spans="60:63" ht="14.25" x14ac:dyDescent="0.2">
      <c r="BH14423" s="25"/>
      <c r="BI14423" s="25"/>
      <c r="BJ14423" s="25"/>
      <c r="BK14423" s="25"/>
    </row>
    <row r="14424" spans="60:63" ht="14.25" x14ac:dyDescent="0.2">
      <c r="BH14424" s="25"/>
      <c r="BI14424" s="25"/>
      <c r="BJ14424" s="25"/>
      <c r="BK14424" s="25"/>
    </row>
    <row r="14425" spans="60:63" ht="14.25" x14ac:dyDescent="0.2">
      <c r="BH14425" s="25"/>
      <c r="BI14425" s="25"/>
      <c r="BJ14425" s="25"/>
      <c r="BK14425" s="25"/>
    </row>
    <row r="14426" spans="60:63" ht="14.25" x14ac:dyDescent="0.2">
      <c r="BH14426" s="25"/>
      <c r="BI14426" s="25"/>
      <c r="BJ14426" s="25"/>
      <c r="BK14426" s="25"/>
    </row>
    <row r="14427" spans="60:63" ht="14.25" x14ac:dyDescent="0.2">
      <c r="BH14427" s="25"/>
      <c r="BI14427" s="25"/>
      <c r="BJ14427" s="25"/>
      <c r="BK14427" s="25"/>
    </row>
    <row r="14428" spans="60:63" ht="14.25" x14ac:dyDescent="0.2">
      <c r="BH14428" s="25"/>
      <c r="BI14428" s="25"/>
      <c r="BJ14428" s="25"/>
      <c r="BK14428" s="25"/>
    </row>
    <row r="14429" spans="60:63" ht="14.25" x14ac:dyDescent="0.2">
      <c r="BH14429" s="25"/>
      <c r="BI14429" s="25"/>
      <c r="BJ14429" s="25"/>
      <c r="BK14429" s="25"/>
    </row>
    <row r="14430" spans="60:63" ht="14.25" x14ac:dyDescent="0.2">
      <c r="BH14430" s="25"/>
      <c r="BI14430" s="25"/>
      <c r="BJ14430" s="25"/>
      <c r="BK14430" s="25"/>
    </row>
    <row r="14431" spans="60:63" ht="14.25" x14ac:dyDescent="0.2">
      <c r="BH14431" s="25"/>
      <c r="BI14431" s="25"/>
      <c r="BJ14431" s="25"/>
      <c r="BK14431" s="25"/>
    </row>
    <row r="14432" spans="60:63" ht="14.25" x14ac:dyDescent="0.2">
      <c r="BH14432" s="25"/>
      <c r="BI14432" s="25"/>
      <c r="BJ14432" s="25"/>
      <c r="BK14432" s="25"/>
    </row>
    <row r="14433" spans="60:63" ht="14.25" x14ac:dyDescent="0.2">
      <c r="BH14433" s="25"/>
      <c r="BI14433" s="25"/>
      <c r="BJ14433" s="25"/>
      <c r="BK14433" s="25"/>
    </row>
    <row r="14434" spans="60:63" ht="14.25" x14ac:dyDescent="0.2">
      <c r="BH14434" s="25"/>
      <c r="BI14434" s="25"/>
      <c r="BJ14434" s="25"/>
      <c r="BK14434" s="25"/>
    </row>
    <row r="14435" spans="60:63" ht="14.25" x14ac:dyDescent="0.2">
      <c r="BH14435" s="25"/>
      <c r="BI14435" s="25"/>
      <c r="BJ14435" s="25"/>
      <c r="BK14435" s="25"/>
    </row>
    <row r="14436" spans="60:63" ht="14.25" x14ac:dyDescent="0.2">
      <c r="BH14436" s="25"/>
      <c r="BI14436" s="25"/>
      <c r="BJ14436" s="25"/>
      <c r="BK14436" s="25"/>
    </row>
    <row r="14437" spans="60:63" ht="14.25" x14ac:dyDescent="0.2">
      <c r="BH14437" s="25"/>
      <c r="BI14437" s="25"/>
      <c r="BJ14437" s="25"/>
      <c r="BK14437" s="25"/>
    </row>
    <row r="14438" spans="60:63" ht="14.25" x14ac:dyDescent="0.2">
      <c r="BH14438" s="25"/>
      <c r="BI14438" s="25"/>
      <c r="BJ14438" s="25"/>
      <c r="BK14438" s="25"/>
    </row>
    <row r="14439" spans="60:63" ht="14.25" x14ac:dyDescent="0.2">
      <c r="BH14439" s="25"/>
      <c r="BI14439" s="25"/>
      <c r="BJ14439" s="25"/>
      <c r="BK14439" s="25"/>
    </row>
    <row r="14440" spans="60:63" ht="14.25" x14ac:dyDescent="0.2">
      <c r="BH14440" s="25"/>
      <c r="BI14440" s="25"/>
      <c r="BJ14440" s="25"/>
      <c r="BK14440" s="25"/>
    </row>
    <row r="14441" spans="60:63" ht="14.25" x14ac:dyDescent="0.2">
      <c r="BH14441" s="25"/>
      <c r="BI14441" s="25"/>
      <c r="BJ14441" s="25"/>
      <c r="BK14441" s="25"/>
    </row>
    <row r="14442" spans="60:63" ht="14.25" x14ac:dyDescent="0.2">
      <c r="BH14442" s="25"/>
      <c r="BI14442" s="25"/>
      <c r="BJ14442" s="25"/>
      <c r="BK14442" s="25"/>
    </row>
    <row r="14443" spans="60:63" ht="14.25" x14ac:dyDescent="0.2">
      <c r="BH14443" s="25"/>
      <c r="BI14443" s="25"/>
      <c r="BJ14443" s="25"/>
      <c r="BK14443" s="25"/>
    </row>
    <row r="14444" spans="60:63" ht="14.25" x14ac:dyDescent="0.2">
      <c r="BH14444" s="25"/>
      <c r="BI14444" s="25"/>
      <c r="BJ14444" s="25"/>
      <c r="BK14444" s="25"/>
    </row>
    <row r="14445" spans="60:63" ht="14.25" x14ac:dyDescent="0.2">
      <c r="BH14445" s="25"/>
      <c r="BI14445" s="25"/>
      <c r="BJ14445" s="25"/>
      <c r="BK14445" s="25"/>
    </row>
    <row r="14446" spans="60:63" ht="14.25" x14ac:dyDescent="0.2">
      <c r="BH14446" s="25"/>
      <c r="BI14446" s="25"/>
      <c r="BJ14446" s="25"/>
      <c r="BK14446" s="25"/>
    </row>
    <row r="14447" spans="60:63" ht="14.25" x14ac:dyDescent="0.2">
      <c r="BH14447" s="25"/>
      <c r="BI14447" s="25"/>
      <c r="BJ14447" s="25"/>
      <c r="BK14447" s="25"/>
    </row>
    <row r="14448" spans="60:63" ht="14.25" x14ac:dyDescent="0.2">
      <c r="BH14448" s="25"/>
      <c r="BI14448" s="25"/>
      <c r="BJ14448" s="25"/>
      <c r="BK14448" s="25"/>
    </row>
    <row r="14449" spans="60:63" ht="14.25" x14ac:dyDescent="0.2">
      <c r="BH14449" s="25"/>
      <c r="BI14449" s="25"/>
      <c r="BJ14449" s="25"/>
      <c r="BK14449" s="25"/>
    </row>
    <row r="14450" spans="60:63" ht="14.25" x14ac:dyDescent="0.2">
      <c r="BH14450" s="25"/>
      <c r="BI14450" s="25"/>
      <c r="BJ14450" s="25"/>
      <c r="BK14450" s="25"/>
    </row>
    <row r="14451" spans="60:63" ht="14.25" x14ac:dyDescent="0.2">
      <c r="BH14451" s="25"/>
      <c r="BI14451" s="25"/>
      <c r="BJ14451" s="25"/>
      <c r="BK14451" s="25"/>
    </row>
    <row r="14452" spans="60:63" ht="14.25" x14ac:dyDescent="0.2">
      <c r="BH14452" s="25"/>
      <c r="BI14452" s="25"/>
      <c r="BJ14452" s="25"/>
      <c r="BK14452" s="25"/>
    </row>
    <row r="14453" spans="60:63" ht="14.25" x14ac:dyDescent="0.2">
      <c r="BH14453" s="25"/>
      <c r="BI14453" s="25"/>
      <c r="BJ14453" s="25"/>
      <c r="BK14453" s="25"/>
    </row>
    <row r="14454" spans="60:63" ht="14.25" x14ac:dyDescent="0.2">
      <c r="BH14454" s="25"/>
      <c r="BI14454" s="25"/>
      <c r="BJ14454" s="25"/>
      <c r="BK14454" s="25"/>
    </row>
    <row r="14455" spans="60:63" ht="14.25" x14ac:dyDescent="0.2">
      <c r="BH14455" s="25"/>
      <c r="BI14455" s="25"/>
      <c r="BJ14455" s="25"/>
      <c r="BK14455" s="25"/>
    </row>
    <row r="14456" spans="60:63" ht="14.25" x14ac:dyDescent="0.2">
      <c r="BH14456" s="25"/>
      <c r="BI14456" s="25"/>
      <c r="BJ14456" s="25"/>
      <c r="BK14456" s="25"/>
    </row>
    <row r="14457" spans="60:63" ht="14.25" x14ac:dyDescent="0.2">
      <c r="BH14457" s="25"/>
      <c r="BI14457" s="25"/>
      <c r="BJ14457" s="25"/>
      <c r="BK14457" s="25"/>
    </row>
    <row r="14458" spans="60:63" ht="14.25" x14ac:dyDescent="0.2">
      <c r="BH14458" s="25"/>
      <c r="BI14458" s="25"/>
      <c r="BJ14458" s="25"/>
      <c r="BK14458" s="25"/>
    </row>
    <row r="14459" spans="60:63" ht="14.25" x14ac:dyDescent="0.2">
      <c r="BH14459" s="25"/>
      <c r="BI14459" s="25"/>
      <c r="BJ14459" s="25"/>
      <c r="BK14459" s="25"/>
    </row>
    <row r="14460" spans="60:63" ht="14.25" x14ac:dyDescent="0.2">
      <c r="BH14460" s="25"/>
      <c r="BI14460" s="25"/>
      <c r="BJ14460" s="25"/>
      <c r="BK14460" s="25"/>
    </row>
    <row r="14461" spans="60:63" ht="14.25" x14ac:dyDescent="0.2">
      <c r="BH14461" s="25"/>
      <c r="BI14461" s="25"/>
      <c r="BJ14461" s="25"/>
      <c r="BK14461" s="25"/>
    </row>
    <row r="14462" spans="60:63" ht="14.25" x14ac:dyDescent="0.2">
      <c r="BH14462" s="25"/>
      <c r="BI14462" s="25"/>
      <c r="BJ14462" s="25"/>
      <c r="BK14462" s="25"/>
    </row>
    <row r="14463" spans="60:63" ht="14.25" x14ac:dyDescent="0.2">
      <c r="BH14463" s="25"/>
      <c r="BI14463" s="25"/>
      <c r="BJ14463" s="25"/>
      <c r="BK14463" s="25"/>
    </row>
    <row r="14464" spans="60:63" ht="14.25" x14ac:dyDescent="0.2">
      <c r="BH14464" s="25"/>
      <c r="BI14464" s="25"/>
      <c r="BJ14464" s="25"/>
      <c r="BK14464" s="25"/>
    </row>
    <row r="14465" spans="60:63" ht="14.25" x14ac:dyDescent="0.2">
      <c r="BH14465" s="25"/>
      <c r="BI14465" s="25"/>
      <c r="BJ14465" s="25"/>
      <c r="BK14465" s="25"/>
    </row>
    <row r="14466" spans="60:63" ht="14.25" x14ac:dyDescent="0.2">
      <c r="BH14466" s="25"/>
      <c r="BI14466" s="25"/>
      <c r="BJ14466" s="25"/>
      <c r="BK14466" s="25"/>
    </row>
    <row r="14467" spans="60:63" ht="14.25" x14ac:dyDescent="0.2">
      <c r="BH14467" s="25"/>
      <c r="BI14467" s="25"/>
      <c r="BJ14467" s="25"/>
      <c r="BK14467" s="25"/>
    </row>
    <row r="14468" spans="60:63" ht="14.25" x14ac:dyDescent="0.2">
      <c r="BH14468" s="25"/>
      <c r="BI14468" s="25"/>
      <c r="BJ14468" s="25"/>
      <c r="BK14468" s="25"/>
    </row>
    <row r="14469" spans="60:63" ht="14.25" x14ac:dyDescent="0.2">
      <c r="BH14469" s="25"/>
      <c r="BI14469" s="25"/>
      <c r="BJ14469" s="25"/>
      <c r="BK14469" s="25"/>
    </row>
    <row r="14470" spans="60:63" ht="14.25" x14ac:dyDescent="0.2">
      <c r="BH14470" s="25"/>
      <c r="BI14470" s="25"/>
      <c r="BJ14470" s="25"/>
      <c r="BK14470" s="25"/>
    </row>
    <row r="14471" spans="60:63" ht="14.25" x14ac:dyDescent="0.2">
      <c r="BH14471" s="25"/>
      <c r="BI14471" s="25"/>
      <c r="BJ14471" s="25"/>
      <c r="BK14471" s="25"/>
    </row>
    <row r="14472" spans="60:63" ht="14.25" x14ac:dyDescent="0.2">
      <c r="BH14472" s="25"/>
      <c r="BI14472" s="25"/>
      <c r="BJ14472" s="25"/>
      <c r="BK14472" s="25"/>
    </row>
    <row r="14473" spans="60:63" ht="14.25" x14ac:dyDescent="0.2">
      <c r="BH14473" s="25"/>
      <c r="BI14473" s="25"/>
      <c r="BJ14473" s="25"/>
      <c r="BK14473" s="25"/>
    </row>
    <row r="14474" spans="60:63" ht="14.25" x14ac:dyDescent="0.2">
      <c r="BH14474" s="25"/>
      <c r="BI14474" s="25"/>
      <c r="BJ14474" s="25"/>
      <c r="BK14474" s="25"/>
    </row>
    <row r="14475" spans="60:63" ht="14.25" x14ac:dyDescent="0.2">
      <c r="BH14475" s="25"/>
      <c r="BI14475" s="25"/>
      <c r="BJ14475" s="25"/>
      <c r="BK14475" s="25"/>
    </row>
    <row r="14476" spans="60:63" ht="14.25" x14ac:dyDescent="0.2">
      <c r="BH14476" s="25"/>
      <c r="BI14476" s="25"/>
      <c r="BJ14476" s="25"/>
      <c r="BK14476" s="25"/>
    </row>
    <row r="14477" spans="60:63" ht="14.25" x14ac:dyDescent="0.2">
      <c r="BH14477" s="25"/>
      <c r="BI14477" s="25"/>
      <c r="BJ14477" s="25"/>
      <c r="BK14477" s="25"/>
    </row>
    <row r="14478" spans="60:63" ht="14.25" x14ac:dyDescent="0.2">
      <c r="BH14478" s="25"/>
      <c r="BI14478" s="25"/>
      <c r="BJ14478" s="25"/>
      <c r="BK14478" s="25"/>
    </row>
    <row r="14479" spans="60:63" ht="14.25" x14ac:dyDescent="0.2">
      <c r="BH14479" s="25"/>
      <c r="BI14479" s="25"/>
      <c r="BJ14479" s="25"/>
      <c r="BK14479" s="25"/>
    </row>
    <row r="14480" spans="60:63" ht="14.25" x14ac:dyDescent="0.2">
      <c r="BH14480" s="25"/>
      <c r="BI14480" s="25"/>
      <c r="BJ14480" s="25"/>
      <c r="BK14480" s="25"/>
    </row>
    <row r="14481" spans="60:63" ht="14.25" x14ac:dyDescent="0.2">
      <c r="BH14481" s="25"/>
      <c r="BI14481" s="25"/>
      <c r="BJ14481" s="25"/>
      <c r="BK14481" s="25"/>
    </row>
    <row r="14482" spans="60:63" ht="14.25" x14ac:dyDescent="0.2">
      <c r="BH14482" s="25"/>
      <c r="BI14482" s="25"/>
      <c r="BJ14482" s="25"/>
      <c r="BK14482" s="25"/>
    </row>
    <row r="14483" spans="60:63" ht="14.25" x14ac:dyDescent="0.2">
      <c r="BH14483" s="25"/>
      <c r="BI14483" s="25"/>
      <c r="BJ14483" s="25"/>
      <c r="BK14483" s="25"/>
    </row>
    <row r="14484" spans="60:63" ht="14.25" x14ac:dyDescent="0.2">
      <c r="BH14484" s="25"/>
      <c r="BI14484" s="25"/>
      <c r="BJ14484" s="25"/>
      <c r="BK14484" s="25"/>
    </row>
    <row r="14485" spans="60:63" ht="14.25" x14ac:dyDescent="0.2">
      <c r="BH14485" s="25"/>
      <c r="BI14485" s="25"/>
      <c r="BJ14485" s="25"/>
      <c r="BK14485" s="25"/>
    </row>
    <row r="14486" spans="60:63" ht="14.25" x14ac:dyDescent="0.2">
      <c r="BH14486" s="25"/>
      <c r="BI14486" s="25"/>
      <c r="BJ14486" s="25"/>
      <c r="BK14486" s="25"/>
    </row>
    <row r="14487" spans="60:63" ht="14.25" x14ac:dyDescent="0.2">
      <c r="BH14487" s="25"/>
      <c r="BI14487" s="25"/>
      <c r="BJ14487" s="25"/>
      <c r="BK14487" s="25"/>
    </row>
    <row r="14488" spans="60:63" ht="14.25" x14ac:dyDescent="0.2">
      <c r="BH14488" s="25"/>
      <c r="BI14488" s="25"/>
      <c r="BJ14488" s="25"/>
      <c r="BK14488" s="25"/>
    </row>
    <row r="14489" spans="60:63" ht="14.25" x14ac:dyDescent="0.2">
      <c r="BH14489" s="25"/>
      <c r="BI14489" s="25"/>
      <c r="BJ14489" s="25"/>
      <c r="BK14489" s="25"/>
    </row>
    <row r="14490" spans="60:63" ht="14.25" x14ac:dyDescent="0.2">
      <c r="BH14490" s="25"/>
      <c r="BI14490" s="25"/>
      <c r="BJ14490" s="25"/>
      <c r="BK14490" s="25"/>
    </row>
    <row r="14491" spans="60:63" ht="14.25" x14ac:dyDescent="0.2">
      <c r="BH14491" s="25"/>
      <c r="BI14491" s="25"/>
      <c r="BJ14491" s="25"/>
      <c r="BK14491" s="25"/>
    </row>
    <row r="14492" spans="60:63" ht="14.25" x14ac:dyDescent="0.2">
      <c r="BH14492" s="25"/>
      <c r="BI14492" s="25"/>
      <c r="BJ14492" s="25"/>
      <c r="BK14492" s="25"/>
    </row>
    <row r="14493" spans="60:63" ht="14.25" x14ac:dyDescent="0.2">
      <c r="BH14493" s="25"/>
      <c r="BI14493" s="25"/>
      <c r="BJ14493" s="25"/>
      <c r="BK14493" s="25"/>
    </row>
    <row r="14494" spans="60:63" ht="14.25" x14ac:dyDescent="0.2">
      <c r="BH14494" s="25"/>
      <c r="BI14494" s="25"/>
      <c r="BJ14494" s="25"/>
      <c r="BK14494" s="25"/>
    </row>
    <row r="14495" spans="60:63" ht="14.25" x14ac:dyDescent="0.2">
      <c r="BH14495" s="25"/>
      <c r="BI14495" s="25"/>
      <c r="BJ14495" s="25"/>
      <c r="BK14495" s="25"/>
    </row>
    <row r="14496" spans="60:63" ht="14.25" x14ac:dyDescent="0.2">
      <c r="BH14496" s="25"/>
      <c r="BI14496" s="25"/>
      <c r="BJ14496" s="25"/>
      <c r="BK14496" s="25"/>
    </row>
    <row r="14497" spans="60:63" ht="14.25" x14ac:dyDescent="0.2">
      <c r="BH14497" s="25"/>
      <c r="BI14497" s="25"/>
      <c r="BJ14497" s="25"/>
      <c r="BK14497" s="25"/>
    </row>
    <row r="14498" spans="60:63" ht="14.25" x14ac:dyDescent="0.2">
      <c r="BH14498" s="25"/>
      <c r="BI14498" s="25"/>
      <c r="BJ14498" s="25"/>
      <c r="BK14498" s="25"/>
    </row>
    <row r="14499" spans="60:63" ht="14.25" x14ac:dyDescent="0.2">
      <c r="BH14499" s="25"/>
      <c r="BI14499" s="25"/>
      <c r="BJ14499" s="25"/>
      <c r="BK14499" s="25"/>
    </row>
    <row r="14500" spans="60:63" ht="14.25" x14ac:dyDescent="0.2">
      <c r="BH14500" s="25"/>
      <c r="BI14500" s="25"/>
      <c r="BJ14500" s="25"/>
      <c r="BK14500" s="25"/>
    </row>
    <row r="14501" spans="60:63" ht="14.25" x14ac:dyDescent="0.2">
      <c r="BH14501" s="25"/>
      <c r="BI14501" s="25"/>
      <c r="BJ14501" s="25"/>
      <c r="BK14501" s="25"/>
    </row>
    <row r="14502" spans="60:63" ht="14.25" x14ac:dyDescent="0.2">
      <c r="BH14502" s="25"/>
      <c r="BI14502" s="25"/>
      <c r="BJ14502" s="25"/>
      <c r="BK14502" s="25"/>
    </row>
    <row r="14503" spans="60:63" ht="14.25" x14ac:dyDescent="0.2">
      <c r="BH14503" s="25"/>
      <c r="BI14503" s="25"/>
      <c r="BJ14503" s="25"/>
      <c r="BK14503" s="25"/>
    </row>
    <row r="14504" spans="60:63" ht="14.25" x14ac:dyDescent="0.2">
      <c r="BH14504" s="25"/>
      <c r="BI14504" s="25"/>
      <c r="BJ14504" s="25"/>
      <c r="BK14504" s="25"/>
    </row>
    <row r="14505" spans="60:63" ht="14.25" x14ac:dyDescent="0.2">
      <c r="BH14505" s="25"/>
      <c r="BI14505" s="25"/>
      <c r="BJ14505" s="25"/>
      <c r="BK14505" s="25"/>
    </row>
    <row r="14506" spans="60:63" ht="14.25" x14ac:dyDescent="0.2">
      <c r="BH14506" s="25"/>
      <c r="BI14506" s="25"/>
      <c r="BJ14506" s="25"/>
      <c r="BK14506" s="25"/>
    </row>
    <row r="14507" spans="60:63" ht="14.25" x14ac:dyDescent="0.2">
      <c r="BH14507" s="25"/>
      <c r="BI14507" s="25"/>
      <c r="BJ14507" s="25"/>
      <c r="BK14507" s="25"/>
    </row>
    <row r="14508" spans="60:63" ht="14.25" x14ac:dyDescent="0.2">
      <c r="BH14508" s="25"/>
      <c r="BI14508" s="25"/>
      <c r="BJ14508" s="25"/>
      <c r="BK14508" s="25"/>
    </row>
    <row r="14509" spans="60:63" ht="14.25" x14ac:dyDescent="0.2">
      <c r="BH14509" s="25"/>
      <c r="BI14509" s="25"/>
      <c r="BJ14509" s="25"/>
      <c r="BK14509" s="25"/>
    </row>
    <row r="14510" spans="60:63" ht="14.25" x14ac:dyDescent="0.2">
      <c r="BH14510" s="25"/>
      <c r="BI14510" s="25"/>
      <c r="BJ14510" s="25"/>
      <c r="BK14510" s="25"/>
    </row>
    <row r="14511" spans="60:63" ht="14.25" x14ac:dyDescent="0.2">
      <c r="BH14511" s="25"/>
      <c r="BI14511" s="25"/>
      <c r="BJ14511" s="25"/>
      <c r="BK14511" s="25"/>
    </row>
    <row r="14512" spans="60:63" ht="14.25" x14ac:dyDescent="0.2">
      <c r="BH14512" s="25"/>
      <c r="BI14512" s="25"/>
      <c r="BJ14512" s="25"/>
      <c r="BK14512" s="25"/>
    </row>
    <row r="14513" spans="60:63" ht="14.25" x14ac:dyDescent="0.2">
      <c r="BH14513" s="25"/>
      <c r="BI14513" s="25"/>
      <c r="BJ14513" s="25"/>
      <c r="BK14513" s="25"/>
    </row>
    <row r="14514" spans="60:63" ht="14.25" x14ac:dyDescent="0.2">
      <c r="BH14514" s="25"/>
      <c r="BI14514" s="25"/>
      <c r="BJ14514" s="25"/>
      <c r="BK14514" s="25"/>
    </row>
    <row r="14515" spans="60:63" ht="14.25" x14ac:dyDescent="0.2">
      <c r="BH14515" s="25"/>
      <c r="BI14515" s="25"/>
      <c r="BJ14515" s="25"/>
      <c r="BK14515" s="25"/>
    </row>
    <row r="14516" spans="60:63" ht="14.25" x14ac:dyDescent="0.2">
      <c r="BH14516" s="25"/>
      <c r="BI14516" s="25"/>
      <c r="BJ14516" s="25"/>
      <c r="BK14516" s="25"/>
    </row>
    <row r="14517" spans="60:63" ht="14.25" x14ac:dyDescent="0.2">
      <c r="BH14517" s="25"/>
      <c r="BI14517" s="25"/>
      <c r="BJ14517" s="25"/>
      <c r="BK14517" s="25"/>
    </row>
    <row r="14518" spans="60:63" ht="14.25" x14ac:dyDescent="0.2">
      <c r="BH14518" s="25"/>
      <c r="BI14518" s="25"/>
      <c r="BJ14518" s="25"/>
      <c r="BK14518" s="25"/>
    </row>
    <row r="14519" spans="60:63" ht="14.25" x14ac:dyDescent="0.2">
      <c r="BH14519" s="25"/>
      <c r="BI14519" s="25"/>
      <c r="BJ14519" s="25"/>
      <c r="BK14519" s="25"/>
    </row>
    <row r="14520" spans="60:63" ht="14.25" x14ac:dyDescent="0.2">
      <c r="BH14520" s="25"/>
      <c r="BI14520" s="25"/>
      <c r="BJ14520" s="25"/>
      <c r="BK14520" s="25"/>
    </row>
    <row r="14521" spans="60:63" ht="14.25" x14ac:dyDescent="0.2">
      <c r="BH14521" s="25"/>
      <c r="BI14521" s="25"/>
      <c r="BJ14521" s="25"/>
      <c r="BK14521" s="25"/>
    </row>
    <row r="14522" spans="60:63" ht="14.25" x14ac:dyDescent="0.2">
      <c r="BH14522" s="25"/>
      <c r="BI14522" s="25"/>
      <c r="BJ14522" s="25"/>
      <c r="BK14522" s="25"/>
    </row>
    <row r="14523" spans="60:63" ht="14.25" x14ac:dyDescent="0.2">
      <c r="BH14523" s="25"/>
      <c r="BI14523" s="25"/>
      <c r="BJ14523" s="25"/>
      <c r="BK14523" s="25"/>
    </row>
    <row r="14524" spans="60:63" ht="14.25" x14ac:dyDescent="0.2">
      <c r="BH14524" s="25"/>
      <c r="BI14524" s="25"/>
      <c r="BJ14524" s="25"/>
      <c r="BK14524" s="25"/>
    </row>
    <row r="14525" spans="60:63" ht="14.25" x14ac:dyDescent="0.2">
      <c r="BH14525" s="25"/>
      <c r="BI14525" s="25"/>
      <c r="BJ14525" s="25"/>
      <c r="BK14525" s="25"/>
    </row>
    <row r="14526" spans="60:63" ht="14.25" x14ac:dyDescent="0.2">
      <c r="BH14526" s="25"/>
      <c r="BI14526" s="25"/>
      <c r="BJ14526" s="25"/>
      <c r="BK14526" s="25"/>
    </row>
    <row r="14527" spans="60:63" ht="14.25" x14ac:dyDescent="0.2">
      <c r="BH14527" s="25"/>
      <c r="BI14527" s="25"/>
      <c r="BJ14527" s="25"/>
      <c r="BK14527" s="25"/>
    </row>
    <row r="14528" spans="60:63" ht="14.25" x14ac:dyDescent="0.2">
      <c r="BH14528" s="25"/>
      <c r="BI14528" s="25"/>
      <c r="BJ14528" s="25"/>
      <c r="BK14528" s="25"/>
    </row>
    <row r="14529" spans="60:63" ht="14.25" x14ac:dyDescent="0.2">
      <c r="BH14529" s="25"/>
      <c r="BI14529" s="25"/>
      <c r="BJ14529" s="25"/>
      <c r="BK14529" s="25"/>
    </row>
    <row r="14530" spans="60:63" ht="14.25" x14ac:dyDescent="0.2">
      <c r="BH14530" s="25"/>
      <c r="BI14530" s="25"/>
      <c r="BJ14530" s="25"/>
      <c r="BK14530" s="25"/>
    </row>
    <row r="14531" spans="60:63" ht="14.25" x14ac:dyDescent="0.2">
      <c r="BH14531" s="25"/>
      <c r="BI14531" s="25"/>
      <c r="BJ14531" s="25"/>
      <c r="BK14531" s="25"/>
    </row>
    <row r="14532" spans="60:63" ht="14.25" x14ac:dyDescent="0.2">
      <c r="BH14532" s="25"/>
      <c r="BI14532" s="25"/>
      <c r="BJ14532" s="25"/>
      <c r="BK14532" s="25"/>
    </row>
    <row r="14533" spans="60:63" ht="14.25" x14ac:dyDescent="0.2">
      <c r="BH14533" s="25"/>
      <c r="BI14533" s="25"/>
      <c r="BJ14533" s="25"/>
      <c r="BK14533" s="25"/>
    </row>
    <row r="14534" spans="60:63" ht="14.25" x14ac:dyDescent="0.2">
      <c r="BH14534" s="25"/>
      <c r="BI14534" s="25"/>
      <c r="BJ14534" s="25"/>
      <c r="BK14534" s="25"/>
    </row>
    <row r="14535" spans="60:63" ht="14.25" x14ac:dyDescent="0.2">
      <c r="BH14535" s="25"/>
      <c r="BI14535" s="25"/>
      <c r="BJ14535" s="25"/>
      <c r="BK14535" s="25"/>
    </row>
    <row r="14536" spans="60:63" ht="14.25" x14ac:dyDescent="0.2">
      <c r="BH14536" s="25"/>
      <c r="BI14536" s="25"/>
      <c r="BJ14536" s="25"/>
      <c r="BK14536" s="25"/>
    </row>
    <row r="14537" spans="60:63" ht="14.25" x14ac:dyDescent="0.2">
      <c r="BH14537" s="25"/>
      <c r="BI14537" s="25"/>
      <c r="BJ14537" s="25"/>
      <c r="BK14537" s="25"/>
    </row>
    <row r="14538" spans="60:63" ht="14.25" x14ac:dyDescent="0.2">
      <c r="BH14538" s="25"/>
      <c r="BI14538" s="25"/>
      <c r="BJ14538" s="25"/>
      <c r="BK14538" s="25"/>
    </row>
    <row r="14539" spans="60:63" ht="14.25" x14ac:dyDescent="0.2">
      <c r="BH14539" s="25"/>
      <c r="BI14539" s="25"/>
      <c r="BJ14539" s="25"/>
      <c r="BK14539" s="25"/>
    </row>
    <row r="14540" spans="60:63" ht="14.25" x14ac:dyDescent="0.2">
      <c r="BH14540" s="25"/>
      <c r="BI14540" s="25"/>
      <c r="BJ14540" s="25"/>
      <c r="BK14540" s="25"/>
    </row>
    <row r="14541" spans="60:63" ht="14.25" x14ac:dyDescent="0.2">
      <c r="BH14541" s="25"/>
      <c r="BI14541" s="25"/>
      <c r="BJ14541" s="25"/>
      <c r="BK14541" s="25"/>
    </row>
    <row r="14542" spans="60:63" ht="14.25" x14ac:dyDescent="0.2">
      <c r="BH14542" s="25"/>
      <c r="BI14542" s="25"/>
      <c r="BJ14542" s="25"/>
      <c r="BK14542" s="25"/>
    </row>
    <row r="14543" spans="60:63" ht="14.25" x14ac:dyDescent="0.2">
      <c r="BH14543" s="25"/>
      <c r="BI14543" s="25"/>
      <c r="BJ14543" s="25"/>
      <c r="BK14543" s="25"/>
    </row>
    <row r="14544" spans="60:63" ht="14.25" x14ac:dyDescent="0.2">
      <c r="BH14544" s="25"/>
      <c r="BI14544" s="25"/>
      <c r="BJ14544" s="25"/>
      <c r="BK14544" s="25"/>
    </row>
    <row r="14545" spans="60:63" ht="14.25" x14ac:dyDescent="0.2">
      <c r="BH14545" s="25"/>
      <c r="BI14545" s="25"/>
      <c r="BJ14545" s="25"/>
      <c r="BK14545" s="25"/>
    </row>
    <row r="14546" spans="60:63" ht="14.25" x14ac:dyDescent="0.2">
      <c r="BH14546" s="25"/>
      <c r="BI14546" s="25"/>
      <c r="BJ14546" s="25"/>
      <c r="BK14546" s="25"/>
    </row>
    <row r="14547" spans="60:63" ht="14.25" x14ac:dyDescent="0.2">
      <c r="BH14547" s="25"/>
      <c r="BI14547" s="25"/>
      <c r="BJ14547" s="25"/>
      <c r="BK14547" s="25"/>
    </row>
    <row r="14548" spans="60:63" ht="14.25" x14ac:dyDescent="0.2">
      <c r="BH14548" s="25"/>
      <c r="BI14548" s="25"/>
      <c r="BJ14548" s="25"/>
      <c r="BK14548" s="25"/>
    </row>
    <row r="14549" spans="60:63" ht="14.25" x14ac:dyDescent="0.2">
      <c r="BH14549" s="25"/>
      <c r="BI14549" s="25"/>
      <c r="BJ14549" s="25"/>
      <c r="BK14549" s="25"/>
    </row>
    <row r="14550" spans="60:63" ht="14.25" x14ac:dyDescent="0.2">
      <c r="BH14550" s="25"/>
      <c r="BI14550" s="25"/>
      <c r="BJ14550" s="25"/>
      <c r="BK14550" s="25"/>
    </row>
    <row r="14551" spans="60:63" ht="14.25" x14ac:dyDescent="0.2">
      <c r="BH14551" s="25"/>
      <c r="BI14551" s="25"/>
      <c r="BJ14551" s="25"/>
      <c r="BK14551" s="25"/>
    </row>
    <row r="14552" spans="60:63" ht="14.25" x14ac:dyDescent="0.2">
      <c r="BH14552" s="25"/>
      <c r="BI14552" s="25"/>
      <c r="BJ14552" s="25"/>
      <c r="BK14552" s="25"/>
    </row>
    <row r="14553" spans="60:63" ht="14.25" x14ac:dyDescent="0.2">
      <c r="BH14553" s="25"/>
      <c r="BI14553" s="25"/>
      <c r="BJ14553" s="25"/>
      <c r="BK14553" s="25"/>
    </row>
    <row r="14554" spans="60:63" ht="14.25" x14ac:dyDescent="0.2">
      <c r="BH14554" s="25"/>
      <c r="BI14554" s="25"/>
      <c r="BJ14554" s="25"/>
      <c r="BK14554" s="25"/>
    </row>
    <row r="14555" spans="60:63" ht="14.25" x14ac:dyDescent="0.2">
      <c r="BH14555" s="25"/>
      <c r="BI14555" s="25"/>
      <c r="BJ14555" s="25"/>
      <c r="BK14555" s="25"/>
    </row>
    <row r="14556" spans="60:63" ht="14.25" x14ac:dyDescent="0.2">
      <c r="BH14556" s="25"/>
      <c r="BI14556" s="25"/>
      <c r="BJ14556" s="25"/>
      <c r="BK14556" s="25"/>
    </row>
    <row r="14557" spans="60:63" ht="14.25" x14ac:dyDescent="0.2">
      <c r="BH14557" s="25"/>
      <c r="BI14557" s="25"/>
      <c r="BJ14557" s="25"/>
      <c r="BK14557" s="25"/>
    </row>
    <row r="14558" spans="60:63" ht="14.25" x14ac:dyDescent="0.2">
      <c r="BH14558" s="25"/>
      <c r="BI14558" s="25"/>
      <c r="BJ14558" s="25"/>
      <c r="BK14558" s="25"/>
    </row>
    <row r="14559" spans="60:63" ht="14.25" x14ac:dyDescent="0.2">
      <c r="BH14559" s="25"/>
      <c r="BI14559" s="25"/>
      <c r="BJ14559" s="25"/>
      <c r="BK14559" s="25"/>
    </row>
    <row r="14560" spans="60:63" ht="14.25" x14ac:dyDescent="0.2">
      <c r="BH14560" s="25"/>
      <c r="BI14560" s="25"/>
      <c r="BJ14560" s="25"/>
      <c r="BK14560" s="25"/>
    </row>
    <row r="14561" spans="60:63" ht="14.25" x14ac:dyDescent="0.2">
      <c r="BH14561" s="25"/>
      <c r="BI14561" s="25"/>
      <c r="BJ14561" s="25"/>
      <c r="BK14561" s="25"/>
    </row>
    <row r="14562" spans="60:63" ht="14.25" x14ac:dyDescent="0.2">
      <c r="BH14562" s="25"/>
      <c r="BI14562" s="25"/>
      <c r="BJ14562" s="25"/>
      <c r="BK14562" s="25"/>
    </row>
    <row r="14563" spans="60:63" ht="14.25" x14ac:dyDescent="0.2">
      <c r="BH14563" s="25"/>
      <c r="BI14563" s="25"/>
      <c r="BJ14563" s="25"/>
      <c r="BK14563" s="25"/>
    </row>
    <row r="14564" spans="60:63" ht="14.25" x14ac:dyDescent="0.2">
      <c r="BH14564" s="25"/>
      <c r="BI14564" s="25"/>
      <c r="BJ14564" s="25"/>
      <c r="BK14564" s="25"/>
    </row>
    <row r="14565" spans="60:63" ht="14.25" x14ac:dyDescent="0.2">
      <c r="BH14565" s="25"/>
      <c r="BI14565" s="25"/>
      <c r="BJ14565" s="25"/>
      <c r="BK14565" s="25"/>
    </row>
    <row r="14566" spans="60:63" ht="14.25" x14ac:dyDescent="0.2">
      <c r="BH14566" s="25"/>
      <c r="BI14566" s="25"/>
      <c r="BJ14566" s="25"/>
      <c r="BK14566" s="25"/>
    </row>
    <row r="14567" spans="60:63" ht="14.25" x14ac:dyDescent="0.2">
      <c r="BH14567" s="25"/>
      <c r="BI14567" s="25"/>
      <c r="BJ14567" s="25"/>
      <c r="BK14567" s="25"/>
    </row>
    <row r="14568" spans="60:63" ht="14.25" x14ac:dyDescent="0.2">
      <c r="BH14568" s="25"/>
      <c r="BI14568" s="25"/>
      <c r="BJ14568" s="25"/>
      <c r="BK14568" s="25"/>
    </row>
    <row r="14569" spans="60:63" ht="14.25" x14ac:dyDescent="0.2">
      <c r="BH14569" s="25"/>
      <c r="BI14569" s="25"/>
      <c r="BJ14569" s="25"/>
      <c r="BK14569" s="25"/>
    </row>
    <row r="14570" spans="60:63" ht="14.25" x14ac:dyDescent="0.2">
      <c r="BH14570" s="25"/>
      <c r="BI14570" s="25"/>
      <c r="BJ14570" s="25"/>
      <c r="BK14570" s="25"/>
    </row>
    <row r="14571" spans="60:63" ht="14.25" x14ac:dyDescent="0.2">
      <c r="BH14571" s="25"/>
      <c r="BI14571" s="25"/>
      <c r="BJ14571" s="25"/>
      <c r="BK14571" s="25"/>
    </row>
    <row r="14572" spans="60:63" ht="14.25" x14ac:dyDescent="0.2">
      <c r="BH14572" s="25"/>
      <c r="BI14572" s="25"/>
      <c r="BJ14572" s="25"/>
      <c r="BK14572" s="25"/>
    </row>
    <row r="14573" spans="60:63" ht="14.25" x14ac:dyDescent="0.2">
      <c r="BH14573" s="25"/>
      <c r="BI14573" s="25"/>
      <c r="BJ14573" s="25"/>
      <c r="BK14573" s="25"/>
    </row>
    <row r="14574" spans="60:63" ht="14.25" x14ac:dyDescent="0.2">
      <c r="BH14574" s="25"/>
      <c r="BI14574" s="25"/>
      <c r="BJ14574" s="25"/>
      <c r="BK14574" s="25"/>
    </row>
    <row r="14575" spans="60:63" ht="14.25" x14ac:dyDescent="0.2">
      <c r="BH14575" s="25"/>
      <c r="BI14575" s="25"/>
      <c r="BJ14575" s="25"/>
      <c r="BK14575" s="25"/>
    </row>
    <row r="14576" spans="60:63" ht="14.25" x14ac:dyDescent="0.2">
      <c r="BH14576" s="25"/>
      <c r="BI14576" s="25"/>
      <c r="BJ14576" s="25"/>
      <c r="BK14576" s="25"/>
    </row>
    <row r="14577" spans="60:63" ht="14.25" x14ac:dyDescent="0.2">
      <c r="BH14577" s="25"/>
      <c r="BI14577" s="25"/>
      <c r="BJ14577" s="25"/>
      <c r="BK14577" s="25"/>
    </row>
    <row r="14578" spans="60:63" ht="14.25" x14ac:dyDescent="0.2">
      <c r="BH14578" s="25"/>
      <c r="BI14578" s="25"/>
      <c r="BJ14578" s="25"/>
      <c r="BK14578" s="25"/>
    </row>
    <row r="14579" spans="60:63" ht="14.25" x14ac:dyDescent="0.2">
      <c r="BH14579" s="25"/>
      <c r="BI14579" s="25"/>
      <c r="BJ14579" s="25"/>
      <c r="BK14579" s="25"/>
    </row>
    <row r="14580" spans="60:63" ht="14.25" x14ac:dyDescent="0.2">
      <c r="BH14580" s="25"/>
      <c r="BI14580" s="25"/>
      <c r="BJ14580" s="25"/>
      <c r="BK14580" s="25"/>
    </row>
    <row r="14581" spans="60:63" ht="14.25" x14ac:dyDescent="0.2">
      <c r="BH14581" s="25"/>
      <c r="BI14581" s="25"/>
      <c r="BJ14581" s="25"/>
      <c r="BK14581" s="25"/>
    </row>
    <row r="14582" spans="60:63" ht="14.25" x14ac:dyDescent="0.2">
      <c r="BH14582" s="25"/>
      <c r="BI14582" s="25"/>
      <c r="BJ14582" s="25"/>
      <c r="BK14582" s="25"/>
    </row>
    <row r="14583" spans="60:63" ht="14.25" x14ac:dyDescent="0.2">
      <c r="BH14583" s="25"/>
      <c r="BI14583" s="25"/>
      <c r="BJ14583" s="25"/>
      <c r="BK14583" s="25"/>
    </row>
    <row r="14584" spans="60:63" ht="14.25" x14ac:dyDescent="0.2">
      <c r="BH14584" s="25"/>
      <c r="BI14584" s="25"/>
      <c r="BJ14584" s="25"/>
      <c r="BK14584" s="25"/>
    </row>
    <row r="14585" spans="60:63" ht="14.25" x14ac:dyDescent="0.2">
      <c r="BH14585" s="25"/>
      <c r="BI14585" s="25"/>
      <c r="BJ14585" s="25"/>
      <c r="BK14585" s="25"/>
    </row>
    <row r="14586" spans="60:63" ht="14.25" x14ac:dyDescent="0.2">
      <c r="BH14586" s="25"/>
      <c r="BI14586" s="25"/>
      <c r="BJ14586" s="25"/>
      <c r="BK14586" s="25"/>
    </row>
    <row r="14587" spans="60:63" ht="14.25" x14ac:dyDescent="0.2">
      <c r="BH14587" s="25"/>
      <c r="BI14587" s="25"/>
      <c r="BJ14587" s="25"/>
      <c r="BK14587" s="25"/>
    </row>
    <row r="14588" spans="60:63" ht="14.25" x14ac:dyDescent="0.2">
      <c r="BH14588" s="25"/>
      <c r="BI14588" s="25"/>
      <c r="BJ14588" s="25"/>
      <c r="BK14588" s="25"/>
    </row>
    <row r="14589" spans="60:63" ht="14.25" x14ac:dyDescent="0.2">
      <c r="BH14589" s="25"/>
      <c r="BI14589" s="25"/>
      <c r="BJ14589" s="25"/>
      <c r="BK14589" s="25"/>
    </row>
    <row r="14590" spans="60:63" ht="14.25" x14ac:dyDescent="0.2">
      <c r="BH14590" s="25"/>
      <c r="BI14590" s="25"/>
      <c r="BJ14590" s="25"/>
      <c r="BK14590" s="25"/>
    </row>
    <row r="14591" spans="60:63" ht="14.25" x14ac:dyDescent="0.2">
      <c r="BH14591" s="25"/>
      <c r="BI14591" s="25"/>
      <c r="BJ14591" s="25"/>
      <c r="BK14591" s="25"/>
    </row>
    <row r="14592" spans="60:63" ht="14.25" x14ac:dyDescent="0.2">
      <c r="BH14592" s="25"/>
      <c r="BI14592" s="25"/>
      <c r="BJ14592" s="25"/>
      <c r="BK14592" s="25"/>
    </row>
    <row r="14593" spans="60:63" ht="14.25" x14ac:dyDescent="0.2">
      <c r="BH14593" s="25"/>
      <c r="BI14593" s="25"/>
      <c r="BJ14593" s="25"/>
      <c r="BK14593" s="25"/>
    </row>
    <row r="14594" spans="60:63" ht="14.25" x14ac:dyDescent="0.2">
      <c r="BH14594" s="25"/>
      <c r="BI14594" s="25"/>
      <c r="BJ14594" s="25"/>
      <c r="BK14594" s="25"/>
    </row>
    <row r="14595" spans="60:63" ht="14.25" x14ac:dyDescent="0.2">
      <c r="BH14595" s="25"/>
      <c r="BI14595" s="25"/>
      <c r="BJ14595" s="25"/>
      <c r="BK14595" s="25"/>
    </row>
    <row r="14596" spans="60:63" ht="14.25" x14ac:dyDescent="0.2">
      <c r="BH14596" s="25"/>
      <c r="BI14596" s="25"/>
      <c r="BJ14596" s="25"/>
      <c r="BK14596" s="25"/>
    </row>
    <row r="14597" spans="60:63" ht="14.25" x14ac:dyDescent="0.2">
      <c r="BH14597" s="25"/>
      <c r="BI14597" s="25"/>
      <c r="BJ14597" s="25"/>
      <c r="BK14597" s="25"/>
    </row>
    <row r="14598" spans="60:63" ht="14.25" x14ac:dyDescent="0.2">
      <c r="BH14598" s="25"/>
      <c r="BI14598" s="25"/>
      <c r="BJ14598" s="25"/>
      <c r="BK14598" s="25"/>
    </row>
    <row r="14599" spans="60:63" ht="14.25" x14ac:dyDescent="0.2">
      <c r="BH14599" s="25"/>
      <c r="BI14599" s="25"/>
      <c r="BJ14599" s="25"/>
      <c r="BK14599" s="25"/>
    </row>
    <row r="14600" spans="60:63" ht="14.25" x14ac:dyDescent="0.2">
      <c r="BH14600" s="25"/>
      <c r="BI14600" s="25"/>
      <c r="BJ14600" s="25"/>
      <c r="BK14600" s="25"/>
    </row>
    <row r="14601" spans="60:63" ht="14.25" x14ac:dyDescent="0.2">
      <c r="BH14601" s="25"/>
      <c r="BI14601" s="25"/>
      <c r="BJ14601" s="25"/>
      <c r="BK14601" s="25"/>
    </row>
    <row r="14602" spans="60:63" ht="14.25" x14ac:dyDescent="0.2">
      <c r="BH14602" s="25"/>
      <c r="BI14602" s="25"/>
      <c r="BJ14602" s="25"/>
      <c r="BK14602" s="25"/>
    </row>
    <row r="14603" spans="60:63" ht="14.25" x14ac:dyDescent="0.2">
      <c r="BH14603" s="25"/>
      <c r="BI14603" s="25"/>
      <c r="BJ14603" s="25"/>
      <c r="BK14603" s="25"/>
    </row>
    <row r="14604" spans="60:63" ht="14.25" x14ac:dyDescent="0.2">
      <c r="BH14604" s="25"/>
      <c r="BI14604" s="25"/>
      <c r="BJ14604" s="25"/>
      <c r="BK14604" s="25"/>
    </row>
    <row r="14605" spans="60:63" ht="14.25" x14ac:dyDescent="0.2">
      <c r="BH14605" s="25"/>
      <c r="BI14605" s="25"/>
      <c r="BJ14605" s="25"/>
      <c r="BK14605" s="25"/>
    </row>
    <row r="14606" spans="60:63" ht="14.25" x14ac:dyDescent="0.2">
      <c r="BH14606" s="25"/>
      <c r="BI14606" s="25"/>
      <c r="BJ14606" s="25"/>
      <c r="BK14606" s="25"/>
    </row>
    <row r="14607" spans="60:63" ht="14.25" x14ac:dyDescent="0.2">
      <c r="BH14607" s="25"/>
      <c r="BI14607" s="25"/>
      <c r="BJ14607" s="25"/>
      <c r="BK14607" s="25"/>
    </row>
    <row r="14608" spans="60:63" ht="14.25" x14ac:dyDescent="0.2">
      <c r="BH14608" s="25"/>
      <c r="BI14608" s="25"/>
      <c r="BJ14608" s="25"/>
      <c r="BK14608" s="25"/>
    </row>
    <row r="14609" spans="60:63" ht="14.25" x14ac:dyDescent="0.2">
      <c r="BH14609" s="25"/>
      <c r="BI14609" s="25"/>
      <c r="BJ14609" s="25"/>
      <c r="BK14609" s="25"/>
    </row>
    <row r="14610" spans="60:63" ht="14.25" x14ac:dyDescent="0.2">
      <c r="BH14610" s="25"/>
      <c r="BI14610" s="25"/>
      <c r="BJ14610" s="25"/>
      <c r="BK14610" s="25"/>
    </row>
    <row r="14611" spans="60:63" ht="14.25" x14ac:dyDescent="0.2">
      <c r="BH14611" s="25"/>
      <c r="BI14611" s="25"/>
      <c r="BJ14611" s="25"/>
      <c r="BK14611" s="25"/>
    </row>
    <row r="14612" spans="60:63" ht="14.25" x14ac:dyDescent="0.2">
      <c r="BH14612" s="25"/>
      <c r="BI14612" s="25"/>
      <c r="BJ14612" s="25"/>
      <c r="BK14612" s="25"/>
    </row>
    <row r="14613" spans="60:63" ht="14.25" x14ac:dyDescent="0.2">
      <c r="BH14613" s="25"/>
      <c r="BI14613" s="25"/>
      <c r="BJ14613" s="25"/>
      <c r="BK14613" s="25"/>
    </row>
    <row r="14614" spans="60:63" ht="14.25" x14ac:dyDescent="0.2">
      <c r="BH14614" s="25"/>
      <c r="BI14614" s="25"/>
      <c r="BJ14614" s="25"/>
      <c r="BK14614" s="25"/>
    </row>
    <row r="14615" spans="60:63" ht="14.25" x14ac:dyDescent="0.2">
      <c r="BH14615" s="25"/>
      <c r="BI14615" s="25"/>
      <c r="BJ14615" s="25"/>
      <c r="BK14615" s="25"/>
    </row>
    <row r="14616" spans="60:63" ht="14.25" x14ac:dyDescent="0.2">
      <c r="BH14616" s="25"/>
      <c r="BI14616" s="25"/>
      <c r="BJ14616" s="25"/>
      <c r="BK14616" s="25"/>
    </row>
    <row r="14617" spans="60:63" ht="14.25" x14ac:dyDescent="0.2">
      <c r="BH14617" s="25"/>
      <c r="BI14617" s="25"/>
      <c r="BJ14617" s="25"/>
      <c r="BK14617" s="25"/>
    </row>
    <row r="14618" spans="60:63" ht="14.25" x14ac:dyDescent="0.2">
      <c r="BH14618" s="25"/>
      <c r="BI14618" s="25"/>
      <c r="BJ14618" s="25"/>
      <c r="BK14618" s="25"/>
    </row>
    <row r="14619" spans="60:63" ht="14.25" x14ac:dyDescent="0.2">
      <c r="BH14619" s="25"/>
      <c r="BI14619" s="25"/>
      <c r="BJ14619" s="25"/>
      <c r="BK14619" s="25"/>
    </row>
    <row r="14620" spans="60:63" ht="14.25" x14ac:dyDescent="0.2">
      <c r="BH14620" s="25"/>
      <c r="BI14620" s="25"/>
      <c r="BJ14620" s="25"/>
      <c r="BK14620" s="25"/>
    </row>
    <row r="14621" spans="60:63" ht="14.25" x14ac:dyDescent="0.2">
      <c r="BH14621" s="25"/>
      <c r="BI14621" s="25"/>
      <c r="BJ14621" s="25"/>
      <c r="BK14621" s="25"/>
    </row>
    <row r="14622" spans="60:63" ht="14.25" x14ac:dyDescent="0.2">
      <c r="BH14622" s="25"/>
      <c r="BI14622" s="25"/>
      <c r="BJ14622" s="25"/>
      <c r="BK14622" s="25"/>
    </row>
    <row r="14623" spans="60:63" ht="14.25" x14ac:dyDescent="0.2">
      <c r="BH14623" s="25"/>
      <c r="BI14623" s="25"/>
      <c r="BJ14623" s="25"/>
      <c r="BK14623" s="25"/>
    </row>
    <row r="14624" spans="60:63" ht="14.25" x14ac:dyDescent="0.2">
      <c r="BH14624" s="25"/>
      <c r="BI14624" s="25"/>
      <c r="BJ14624" s="25"/>
      <c r="BK14624" s="25"/>
    </row>
    <row r="14625" spans="60:63" ht="14.25" x14ac:dyDescent="0.2">
      <c r="BH14625" s="25"/>
      <c r="BI14625" s="25"/>
      <c r="BJ14625" s="25"/>
      <c r="BK14625" s="25"/>
    </row>
    <row r="14626" spans="60:63" ht="14.25" x14ac:dyDescent="0.2">
      <c r="BH14626" s="25"/>
      <c r="BI14626" s="25"/>
      <c r="BJ14626" s="25"/>
      <c r="BK14626" s="25"/>
    </row>
    <row r="14627" spans="60:63" ht="14.25" x14ac:dyDescent="0.2">
      <c r="BH14627" s="25"/>
      <c r="BI14627" s="25"/>
      <c r="BJ14627" s="25"/>
      <c r="BK14627" s="25"/>
    </row>
    <row r="14628" spans="60:63" ht="14.25" x14ac:dyDescent="0.2">
      <c r="BH14628" s="25"/>
      <c r="BI14628" s="25"/>
      <c r="BJ14628" s="25"/>
      <c r="BK14628" s="25"/>
    </row>
    <row r="14629" spans="60:63" ht="14.25" x14ac:dyDescent="0.2">
      <c r="BH14629" s="25"/>
      <c r="BI14629" s="25"/>
      <c r="BJ14629" s="25"/>
      <c r="BK14629" s="25"/>
    </row>
    <row r="14630" spans="60:63" ht="14.25" x14ac:dyDescent="0.2">
      <c r="BH14630" s="25"/>
      <c r="BI14630" s="25"/>
      <c r="BJ14630" s="25"/>
      <c r="BK14630" s="25"/>
    </row>
    <row r="14631" spans="60:63" ht="14.25" x14ac:dyDescent="0.2">
      <c r="BH14631" s="25"/>
      <c r="BI14631" s="25"/>
      <c r="BJ14631" s="25"/>
      <c r="BK14631" s="25"/>
    </row>
    <row r="14632" spans="60:63" ht="14.25" x14ac:dyDescent="0.2">
      <c r="BH14632" s="25"/>
      <c r="BI14632" s="25"/>
      <c r="BJ14632" s="25"/>
      <c r="BK14632" s="25"/>
    </row>
    <row r="14633" spans="60:63" ht="14.25" x14ac:dyDescent="0.2">
      <c r="BH14633" s="25"/>
      <c r="BI14633" s="25"/>
      <c r="BJ14633" s="25"/>
      <c r="BK14633" s="25"/>
    </row>
    <row r="14634" spans="60:63" ht="14.25" x14ac:dyDescent="0.2">
      <c r="BH14634" s="25"/>
      <c r="BI14634" s="25"/>
      <c r="BJ14634" s="25"/>
      <c r="BK14634" s="25"/>
    </row>
    <row r="14635" spans="60:63" ht="14.25" x14ac:dyDescent="0.2">
      <c r="BH14635" s="25"/>
      <c r="BI14635" s="25"/>
      <c r="BJ14635" s="25"/>
      <c r="BK14635" s="25"/>
    </row>
    <row r="14636" spans="60:63" ht="14.25" x14ac:dyDescent="0.2">
      <c r="BH14636" s="25"/>
      <c r="BI14636" s="25"/>
      <c r="BJ14636" s="25"/>
      <c r="BK14636" s="25"/>
    </row>
    <row r="14637" spans="60:63" ht="14.25" x14ac:dyDescent="0.2">
      <c r="BH14637" s="25"/>
      <c r="BI14637" s="25"/>
      <c r="BJ14637" s="25"/>
      <c r="BK14637" s="25"/>
    </row>
    <row r="14638" spans="60:63" ht="14.25" x14ac:dyDescent="0.2">
      <c r="BH14638" s="25"/>
      <c r="BI14638" s="25"/>
      <c r="BJ14638" s="25"/>
      <c r="BK14638" s="25"/>
    </row>
    <row r="14639" spans="60:63" ht="14.25" x14ac:dyDescent="0.2">
      <c r="BH14639" s="25"/>
      <c r="BI14639" s="25"/>
      <c r="BJ14639" s="25"/>
      <c r="BK14639" s="25"/>
    </row>
    <row r="14640" spans="60:63" ht="14.25" x14ac:dyDescent="0.2">
      <c r="BH14640" s="25"/>
      <c r="BI14640" s="25"/>
      <c r="BJ14640" s="25"/>
      <c r="BK14640" s="25"/>
    </row>
    <row r="14641" spans="60:63" ht="14.25" x14ac:dyDescent="0.2">
      <c r="BH14641" s="25"/>
      <c r="BI14641" s="25"/>
      <c r="BJ14641" s="25"/>
      <c r="BK14641" s="25"/>
    </row>
    <row r="14642" spans="60:63" ht="14.25" x14ac:dyDescent="0.2">
      <c r="BH14642" s="25"/>
      <c r="BI14642" s="25"/>
      <c r="BJ14642" s="25"/>
      <c r="BK14642" s="25"/>
    </row>
    <row r="14643" spans="60:63" ht="14.25" x14ac:dyDescent="0.2">
      <c r="BH14643" s="25"/>
      <c r="BI14643" s="25"/>
      <c r="BJ14643" s="25"/>
      <c r="BK14643" s="25"/>
    </row>
    <row r="14644" spans="60:63" ht="14.25" x14ac:dyDescent="0.2">
      <c r="BH14644" s="25"/>
      <c r="BI14644" s="25"/>
      <c r="BJ14644" s="25"/>
      <c r="BK14644" s="25"/>
    </row>
    <row r="14645" spans="60:63" ht="14.25" x14ac:dyDescent="0.2">
      <c r="BH14645" s="25"/>
      <c r="BI14645" s="25"/>
      <c r="BJ14645" s="25"/>
      <c r="BK14645" s="25"/>
    </row>
    <row r="14646" spans="60:63" ht="14.25" x14ac:dyDescent="0.2">
      <c r="BH14646" s="25"/>
      <c r="BI14646" s="25"/>
      <c r="BJ14646" s="25"/>
      <c r="BK14646" s="25"/>
    </row>
    <row r="14647" spans="60:63" ht="14.25" x14ac:dyDescent="0.2">
      <c r="BH14647" s="25"/>
      <c r="BI14647" s="25"/>
      <c r="BJ14647" s="25"/>
      <c r="BK14647" s="25"/>
    </row>
    <row r="14648" spans="60:63" ht="14.25" x14ac:dyDescent="0.2">
      <c r="BH14648" s="25"/>
      <c r="BI14648" s="25"/>
      <c r="BJ14648" s="25"/>
      <c r="BK14648" s="25"/>
    </row>
    <row r="14649" spans="60:63" ht="14.25" x14ac:dyDescent="0.2">
      <c r="BH14649" s="25"/>
      <c r="BI14649" s="25"/>
      <c r="BJ14649" s="25"/>
      <c r="BK14649" s="25"/>
    </row>
    <row r="14650" spans="60:63" ht="14.25" x14ac:dyDescent="0.2">
      <c r="BH14650" s="25"/>
      <c r="BI14650" s="25"/>
      <c r="BJ14650" s="25"/>
      <c r="BK14650" s="25"/>
    </row>
    <row r="14651" spans="60:63" ht="14.25" x14ac:dyDescent="0.2">
      <c r="BH14651" s="25"/>
      <c r="BI14651" s="25"/>
      <c r="BJ14651" s="25"/>
      <c r="BK14651" s="25"/>
    </row>
    <row r="14652" spans="60:63" ht="14.25" x14ac:dyDescent="0.2">
      <c r="BH14652" s="25"/>
      <c r="BI14652" s="25"/>
      <c r="BJ14652" s="25"/>
      <c r="BK14652" s="25"/>
    </row>
    <row r="14653" spans="60:63" ht="14.25" x14ac:dyDescent="0.2">
      <c r="BH14653" s="25"/>
      <c r="BI14653" s="25"/>
      <c r="BJ14653" s="25"/>
      <c r="BK14653" s="25"/>
    </row>
    <row r="14654" spans="60:63" ht="14.25" x14ac:dyDescent="0.2">
      <c r="BH14654" s="25"/>
      <c r="BI14654" s="25"/>
      <c r="BJ14654" s="25"/>
      <c r="BK14654" s="25"/>
    </row>
    <row r="14655" spans="60:63" ht="14.25" x14ac:dyDescent="0.2">
      <c r="BH14655" s="25"/>
      <c r="BI14655" s="25"/>
      <c r="BJ14655" s="25"/>
      <c r="BK14655" s="25"/>
    </row>
    <row r="14656" spans="60:63" ht="14.25" x14ac:dyDescent="0.2">
      <c r="BH14656" s="25"/>
      <c r="BI14656" s="25"/>
      <c r="BJ14656" s="25"/>
      <c r="BK14656" s="25"/>
    </row>
    <row r="14657" spans="60:63" ht="14.25" x14ac:dyDescent="0.2">
      <c r="BH14657" s="25"/>
      <c r="BI14657" s="25"/>
      <c r="BJ14657" s="25"/>
      <c r="BK14657" s="25"/>
    </row>
    <row r="14658" spans="60:63" ht="14.25" x14ac:dyDescent="0.2">
      <c r="BH14658" s="25"/>
      <c r="BI14658" s="25"/>
      <c r="BJ14658" s="25"/>
      <c r="BK14658" s="25"/>
    </row>
    <row r="14659" spans="60:63" ht="14.25" x14ac:dyDescent="0.2">
      <c r="BH14659" s="25"/>
      <c r="BI14659" s="25"/>
      <c r="BJ14659" s="25"/>
      <c r="BK14659" s="25"/>
    </row>
    <row r="14660" spans="60:63" ht="14.25" x14ac:dyDescent="0.2">
      <c r="BH14660" s="25"/>
      <c r="BI14660" s="25"/>
      <c r="BJ14660" s="25"/>
      <c r="BK14660" s="25"/>
    </row>
    <row r="14661" spans="60:63" ht="14.25" x14ac:dyDescent="0.2">
      <c r="BH14661" s="25"/>
      <c r="BI14661" s="25"/>
      <c r="BJ14661" s="25"/>
      <c r="BK14661" s="25"/>
    </row>
    <row r="14662" spans="60:63" ht="14.25" x14ac:dyDescent="0.2">
      <c r="BH14662" s="25"/>
      <c r="BI14662" s="25"/>
      <c r="BJ14662" s="25"/>
      <c r="BK14662" s="25"/>
    </row>
    <row r="14663" spans="60:63" ht="14.25" x14ac:dyDescent="0.2">
      <c r="BH14663" s="25"/>
      <c r="BI14663" s="25"/>
      <c r="BJ14663" s="25"/>
      <c r="BK14663" s="25"/>
    </row>
    <row r="14664" spans="60:63" ht="14.25" x14ac:dyDescent="0.2">
      <c r="BH14664" s="25"/>
      <c r="BI14664" s="25"/>
      <c r="BJ14664" s="25"/>
      <c r="BK14664" s="25"/>
    </row>
    <row r="14665" spans="60:63" ht="14.25" x14ac:dyDescent="0.2">
      <c r="BH14665" s="25"/>
      <c r="BI14665" s="25"/>
      <c r="BJ14665" s="25"/>
      <c r="BK14665" s="25"/>
    </row>
    <row r="14666" spans="60:63" ht="14.25" x14ac:dyDescent="0.2">
      <c r="BH14666" s="25"/>
      <c r="BI14666" s="25"/>
      <c r="BJ14666" s="25"/>
      <c r="BK14666" s="25"/>
    </row>
    <row r="14667" spans="60:63" ht="14.25" x14ac:dyDescent="0.2">
      <c r="BH14667" s="25"/>
      <c r="BI14667" s="25"/>
      <c r="BJ14667" s="25"/>
      <c r="BK14667" s="25"/>
    </row>
    <row r="14668" spans="60:63" ht="14.25" x14ac:dyDescent="0.2">
      <c r="BH14668" s="25"/>
      <c r="BI14668" s="25"/>
      <c r="BJ14668" s="25"/>
      <c r="BK14668" s="25"/>
    </row>
    <row r="14669" spans="60:63" ht="14.25" x14ac:dyDescent="0.2">
      <c r="BH14669" s="25"/>
      <c r="BI14669" s="25"/>
      <c r="BJ14669" s="25"/>
      <c r="BK14669" s="25"/>
    </row>
    <row r="14670" spans="60:63" ht="14.25" x14ac:dyDescent="0.2">
      <c r="BH14670" s="25"/>
      <c r="BI14670" s="25"/>
      <c r="BJ14670" s="25"/>
      <c r="BK14670" s="25"/>
    </row>
    <row r="14671" spans="60:63" ht="14.25" x14ac:dyDescent="0.2">
      <c r="BH14671" s="25"/>
      <c r="BI14671" s="25"/>
      <c r="BJ14671" s="25"/>
      <c r="BK14671" s="25"/>
    </row>
    <row r="14672" spans="60:63" ht="14.25" x14ac:dyDescent="0.2">
      <c r="BH14672" s="25"/>
      <c r="BI14672" s="25"/>
      <c r="BJ14672" s="25"/>
      <c r="BK14672" s="25"/>
    </row>
    <row r="14673" spans="60:63" ht="14.25" x14ac:dyDescent="0.2">
      <c r="BH14673" s="25"/>
      <c r="BI14673" s="25"/>
      <c r="BJ14673" s="25"/>
      <c r="BK14673" s="25"/>
    </row>
    <row r="14674" spans="60:63" ht="14.25" x14ac:dyDescent="0.2">
      <c r="BH14674" s="25"/>
      <c r="BI14674" s="25"/>
      <c r="BJ14674" s="25"/>
      <c r="BK14674" s="25"/>
    </row>
    <row r="14675" spans="60:63" ht="14.25" x14ac:dyDescent="0.2">
      <c r="BH14675" s="25"/>
      <c r="BI14675" s="25"/>
      <c r="BJ14675" s="25"/>
      <c r="BK14675" s="25"/>
    </row>
    <row r="14676" spans="60:63" ht="14.25" x14ac:dyDescent="0.2">
      <c r="BH14676" s="25"/>
      <c r="BI14676" s="25"/>
      <c r="BJ14676" s="25"/>
      <c r="BK14676" s="25"/>
    </row>
    <row r="14677" spans="60:63" ht="14.25" x14ac:dyDescent="0.2">
      <c r="BH14677" s="25"/>
      <c r="BI14677" s="25"/>
      <c r="BJ14677" s="25"/>
      <c r="BK14677" s="25"/>
    </row>
    <row r="14678" spans="60:63" ht="14.25" x14ac:dyDescent="0.2">
      <c r="BH14678" s="25"/>
      <c r="BI14678" s="25"/>
      <c r="BJ14678" s="25"/>
      <c r="BK14678" s="25"/>
    </row>
    <row r="14679" spans="60:63" ht="14.25" x14ac:dyDescent="0.2">
      <c r="BH14679" s="25"/>
      <c r="BI14679" s="25"/>
      <c r="BJ14679" s="25"/>
      <c r="BK14679" s="25"/>
    </row>
    <row r="14680" spans="60:63" ht="14.25" x14ac:dyDescent="0.2">
      <c r="BH14680" s="25"/>
      <c r="BI14680" s="25"/>
      <c r="BJ14680" s="25"/>
      <c r="BK14680" s="25"/>
    </row>
    <row r="14681" spans="60:63" ht="14.25" x14ac:dyDescent="0.2">
      <c r="BH14681" s="25"/>
      <c r="BI14681" s="25"/>
      <c r="BJ14681" s="25"/>
      <c r="BK14681" s="25"/>
    </row>
    <row r="14682" spans="60:63" ht="14.25" x14ac:dyDescent="0.2">
      <c r="BH14682" s="25"/>
      <c r="BI14682" s="25"/>
      <c r="BJ14682" s="25"/>
      <c r="BK14682" s="25"/>
    </row>
    <row r="14683" spans="60:63" ht="14.25" x14ac:dyDescent="0.2">
      <c r="BH14683" s="25"/>
      <c r="BI14683" s="25"/>
      <c r="BJ14683" s="25"/>
      <c r="BK14683" s="25"/>
    </row>
    <row r="14684" spans="60:63" ht="14.25" x14ac:dyDescent="0.2">
      <c r="BH14684" s="25"/>
      <c r="BI14684" s="25"/>
      <c r="BJ14684" s="25"/>
      <c r="BK14684" s="25"/>
    </row>
    <row r="14685" spans="60:63" ht="14.25" x14ac:dyDescent="0.2">
      <c r="BH14685" s="25"/>
      <c r="BI14685" s="25"/>
      <c r="BJ14685" s="25"/>
      <c r="BK14685" s="25"/>
    </row>
    <row r="14686" spans="60:63" ht="14.25" x14ac:dyDescent="0.2">
      <c r="BH14686" s="25"/>
      <c r="BI14686" s="25"/>
      <c r="BJ14686" s="25"/>
      <c r="BK14686" s="25"/>
    </row>
    <row r="14687" spans="60:63" ht="14.25" x14ac:dyDescent="0.2">
      <c r="BH14687" s="25"/>
      <c r="BI14687" s="25"/>
      <c r="BJ14687" s="25"/>
      <c r="BK14687" s="25"/>
    </row>
    <row r="14688" spans="60:63" ht="14.25" x14ac:dyDescent="0.2">
      <c r="BH14688" s="25"/>
      <c r="BI14688" s="25"/>
      <c r="BJ14688" s="25"/>
      <c r="BK14688" s="25"/>
    </row>
    <row r="14689" spans="60:63" ht="14.25" x14ac:dyDescent="0.2">
      <c r="BH14689" s="25"/>
      <c r="BI14689" s="25"/>
      <c r="BJ14689" s="25"/>
      <c r="BK14689" s="25"/>
    </row>
    <row r="14690" spans="60:63" ht="14.25" x14ac:dyDescent="0.2">
      <c r="BH14690" s="25"/>
      <c r="BI14690" s="25"/>
      <c r="BJ14690" s="25"/>
      <c r="BK14690" s="25"/>
    </row>
    <row r="14691" spans="60:63" ht="14.25" x14ac:dyDescent="0.2">
      <c r="BH14691" s="25"/>
      <c r="BI14691" s="25"/>
      <c r="BJ14691" s="25"/>
      <c r="BK14691" s="25"/>
    </row>
    <row r="14692" spans="60:63" ht="14.25" x14ac:dyDescent="0.2">
      <c r="BH14692" s="25"/>
      <c r="BI14692" s="25"/>
      <c r="BJ14692" s="25"/>
      <c r="BK14692" s="25"/>
    </row>
    <row r="14693" spans="60:63" ht="14.25" x14ac:dyDescent="0.2">
      <c r="BH14693" s="25"/>
      <c r="BI14693" s="25"/>
      <c r="BJ14693" s="25"/>
      <c r="BK14693" s="25"/>
    </row>
    <row r="14694" spans="60:63" ht="14.25" x14ac:dyDescent="0.2">
      <c r="BH14694" s="25"/>
      <c r="BI14694" s="25"/>
      <c r="BJ14694" s="25"/>
      <c r="BK14694" s="25"/>
    </row>
    <row r="14695" spans="60:63" ht="14.25" x14ac:dyDescent="0.2">
      <c r="BH14695" s="25"/>
      <c r="BI14695" s="25"/>
      <c r="BJ14695" s="25"/>
      <c r="BK14695" s="25"/>
    </row>
    <row r="14696" spans="60:63" ht="14.25" x14ac:dyDescent="0.2">
      <c r="BH14696" s="25"/>
      <c r="BI14696" s="25"/>
      <c r="BJ14696" s="25"/>
      <c r="BK14696" s="25"/>
    </row>
    <row r="14697" spans="60:63" ht="14.25" x14ac:dyDescent="0.2">
      <c r="BH14697" s="25"/>
      <c r="BI14697" s="25"/>
      <c r="BJ14697" s="25"/>
      <c r="BK14697" s="25"/>
    </row>
    <row r="14698" spans="60:63" ht="14.25" x14ac:dyDescent="0.2">
      <c r="BH14698" s="25"/>
      <c r="BI14698" s="25"/>
      <c r="BJ14698" s="25"/>
      <c r="BK14698" s="25"/>
    </row>
    <row r="14699" spans="60:63" ht="14.25" x14ac:dyDescent="0.2">
      <c r="BH14699" s="25"/>
      <c r="BI14699" s="25"/>
      <c r="BJ14699" s="25"/>
      <c r="BK14699" s="25"/>
    </row>
    <row r="14700" spans="60:63" ht="14.25" x14ac:dyDescent="0.2">
      <c r="BH14700" s="25"/>
      <c r="BI14700" s="25"/>
      <c r="BJ14700" s="25"/>
      <c r="BK14700" s="25"/>
    </row>
    <row r="14701" spans="60:63" ht="14.25" x14ac:dyDescent="0.2">
      <c r="BH14701" s="25"/>
      <c r="BI14701" s="25"/>
      <c r="BJ14701" s="25"/>
      <c r="BK14701" s="25"/>
    </row>
    <row r="14702" spans="60:63" ht="14.25" x14ac:dyDescent="0.2">
      <c r="BH14702" s="25"/>
      <c r="BI14702" s="25"/>
      <c r="BJ14702" s="25"/>
      <c r="BK14702" s="25"/>
    </row>
    <row r="14703" spans="60:63" ht="14.25" x14ac:dyDescent="0.2">
      <c r="BH14703" s="25"/>
      <c r="BI14703" s="25"/>
      <c r="BJ14703" s="25"/>
      <c r="BK14703" s="25"/>
    </row>
    <row r="14704" spans="60:63" ht="14.25" x14ac:dyDescent="0.2">
      <c r="BH14704" s="25"/>
      <c r="BI14704" s="25"/>
      <c r="BJ14704" s="25"/>
      <c r="BK14704" s="25"/>
    </row>
    <row r="14705" spans="60:63" ht="14.25" x14ac:dyDescent="0.2">
      <c r="BH14705" s="25"/>
      <c r="BI14705" s="25"/>
      <c r="BJ14705" s="25"/>
      <c r="BK14705" s="25"/>
    </row>
    <row r="14706" spans="60:63" ht="14.25" x14ac:dyDescent="0.2">
      <c r="BH14706" s="25"/>
      <c r="BI14706" s="25"/>
      <c r="BJ14706" s="25"/>
      <c r="BK14706" s="25"/>
    </row>
    <row r="14707" spans="60:63" ht="14.25" x14ac:dyDescent="0.2">
      <c r="BH14707" s="25"/>
      <c r="BI14707" s="25"/>
      <c r="BJ14707" s="25"/>
      <c r="BK14707" s="25"/>
    </row>
    <row r="14708" spans="60:63" ht="14.25" x14ac:dyDescent="0.2">
      <c r="BH14708" s="25"/>
      <c r="BI14708" s="25"/>
      <c r="BJ14708" s="25"/>
      <c r="BK14708" s="25"/>
    </row>
    <row r="14709" spans="60:63" ht="14.25" x14ac:dyDescent="0.2">
      <c r="BH14709" s="25"/>
      <c r="BI14709" s="25"/>
      <c r="BJ14709" s="25"/>
      <c r="BK14709" s="25"/>
    </row>
    <row r="14710" spans="60:63" ht="14.25" x14ac:dyDescent="0.2">
      <c r="BH14710" s="25"/>
      <c r="BI14710" s="25"/>
      <c r="BJ14710" s="25"/>
      <c r="BK14710" s="25"/>
    </row>
    <row r="14711" spans="60:63" ht="14.25" x14ac:dyDescent="0.2">
      <c r="BH14711" s="25"/>
      <c r="BI14711" s="25"/>
      <c r="BJ14711" s="25"/>
      <c r="BK14711" s="25"/>
    </row>
    <row r="14712" spans="60:63" ht="14.25" x14ac:dyDescent="0.2">
      <c r="BH14712" s="25"/>
      <c r="BI14712" s="25"/>
      <c r="BJ14712" s="25"/>
      <c r="BK14712" s="25"/>
    </row>
    <row r="14713" spans="60:63" ht="14.25" x14ac:dyDescent="0.2">
      <c r="BH14713" s="25"/>
      <c r="BI14713" s="25"/>
      <c r="BJ14713" s="25"/>
      <c r="BK14713" s="25"/>
    </row>
    <row r="14714" spans="60:63" ht="14.25" x14ac:dyDescent="0.2">
      <c r="BH14714" s="25"/>
      <c r="BI14714" s="25"/>
      <c r="BJ14714" s="25"/>
      <c r="BK14714" s="25"/>
    </row>
    <row r="14715" spans="60:63" ht="14.25" x14ac:dyDescent="0.2">
      <c r="BH14715" s="25"/>
      <c r="BI14715" s="25"/>
      <c r="BJ14715" s="25"/>
      <c r="BK14715" s="25"/>
    </row>
    <row r="14716" spans="60:63" ht="14.25" x14ac:dyDescent="0.2">
      <c r="BH14716" s="25"/>
      <c r="BI14716" s="25"/>
      <c r="BJ14716" s="25"/>
      <c r="BK14716" s="25"/>
    </row>
    <row r="14717" spans="60:63" ht="14.25" x14ac:dyDescent="0.2">
      <c r="BH14717" s="25"/>
      <c r="BI14717" s="25"/>
      <c r="BJ14717" s="25"/>
      <c r="BK14717" s="25"/>
    </row>
    <row r="14718" spans="60:63" ht="14.25" x14ac:dyDescent="0.2">
      <c r="BH14718" s="25"/>
      <c r="BI14718" s="25"/>
      <c r="BJ14718" s="25"/>
      <c r="BK14718" s="25"/>
    </row>
    <row r="14719" spans="60:63" ht="14.25" x14ac:dyDescent="0.2">
      <c r="BH14719" s="25"/>
      <c r="BI14719" s="25"/>
      <c r="BJ14719" s="25"/>
      <c r="BK14719" s="25"/>
    </row>
    <row r="14720" spans="60:63" ht="14.25" x14ac:dyDescent="0.2">
      <c r="BH14720" s="25"/>
      <c r="BI14720" s="25"/>
      <c r="BJ14720" s="25"/>
      <c r="BK14720" s="25"/>
    </row>
    <row r="14721" spans="60:63" ht="14.25" x14ac:dyDescent="0.2">
      <c r="BH14721" s="25"/>
      <c r="BI14721" s="25"/>
      <c r="BJ14721" s="25"/>
      <c r="BK14721" s="25"/>
    </row>
    <row r="14722" spans="60:63" ht="14.25" x14ac:dyDescent="0.2">
      <c r="BH14722" s="25"/>
      <c r="BI14722" s="25"/>
      <c r="BJ14722" s="25"/>
      <c r="BK14722" s="25"/>
    </row>
    <row r="14723" spans="60:63" ht="14.25" x14ac:dyDescent="0.2">
      <c r="BH14723" s="25"/>
      <c r="BI14723" s="25"/>
      <c r="BJ14723" s="25"/>
      <c r="BK14723" s="25"/>
    </row>
    <row r="14724" spans="60:63" ht="14.25" x14ac:dyDescent="0.2">
      <c r="BH14724" s="25"/>
      <c r="BI14724" s="25"/>
      <c r="BJ14724" s="25"/>
      <c r="BK14724" s="25"/>
    </row>
    <row r="14725" spans="60:63" ht="14.25" x14ac:dyDescent="0.2">
      <c r="BH14725" s="25"/>
      <c r="BI14725" s="25"/>
      <c r="BJ14725" s="25"/>
      <c r="BK14725" s="25"/>
    </row>
    <row r="14726" spans="60:63" ht="14.25" x14ac:dyDescent="0.2">
      <c r="BH14726" s="25"/>
      <c r="BI14726" s="25"/>
      <c r="BJ14726" s="25"/>
      <c r="BK14726" s="25"/>
    </row>
    <row r="14727" spans="60:63" ht="14.25" x14ac:dyDescent="0.2">
      <c r="BH14727" s="25"/>
      <c r="BI14727" s="25"/>
      <c r="BJ14727" s="25"/>
      <c r="BK14727" s="25"/>
    </row>
    <row r="14728" spans="60:63" ht="14.25" x14ac:dyDescent="0.2">
      <c r="BH14728" s="25"/>
      <c r="BI14728" s="25"/>
      <c r="BJ14728" s="25"/>
      <c r="BK14728" s="25"/>
    </row>
    <row r="14729" spans="60:63" ht="14.25" x14ac:dyDescent="0.2">
      <c r="BH14729" s="25"/>
      <c r="BI14729" s="25"/>
      <c r="BJ14729" s="25"/>
      <c r="BK14729" s="25"/>
    </row>
    <row r="14730" spans="60:63" ht="14.25" x14ac:dyDescent="0.2">
      <c r="BH14730" s="25"/>
      <c r="BI14730" s="25"/>
      <c r="BJ14730" s="25"/>
      <c r="BK14730" s="25"/>
    </row>
    <row r="14731" spans="60:63" ht="14.25" x14ac:dyDescent="0.2">
      <c r="BH14731" s="25"/>
      <c r="BI14731" s="25"/>
      <c r="BJ14731" s="25"/>
      <c r="BK14731" s="25"/>
    </row>
    <row r="14732" spans="60:63" ht="14.25" x14ac:dyDescent="0.2">
      <c r="BH14732" s="25"/>
      <c r="BI14732" s="25"/>
      <c r="BJ14732" s="25"/>
      <c r="BK14732" s="25"/>
    </row>
    <row r="14733" spans="60:63" ht="14.25" x14ac:dyDescent="0.2">
      <c r="BH14733" s="25"/>
      <c r="BI14733" s="25"/>
      <c r="BJ14733" s="25"/>
      <c r="BK14733" s="25"/>
    </row>
    <row r="14734" spans="60:63" ht="14.25" x14ac:dyDescent="0.2">
      <c r="BH14734" s="25"/>
      <c r="BI14734" s="25"/>
      <c r="BJ14734" s="25"/>
      <c r="BK14734" s="25"/>
    </row>
    <row r="14735" spans="60:63" ht="14.25" x14ac:dyDescent="0.2">
      <c r="BH14735" s="25"/>
      <c r="BI14735" s="25"/>
      <c r="BJ14735" s="25"/>
      <c r="BK14735" s="25"/>
    </row>
    <row r="14736" spans="60:63" ht="14.25" x14ac:dyDescent="0.2">
      <c r="BH14736" s="25"/>
      <c r="BI14736" s="25"/>
      <c r="BJ14736" s="25"/>
      <c r="BK14736" s="25"/>
    </row>
    <row r="14737" spans="60:63" ht="14.25" x14ac:dyDescent="0.2">
      <c r="BH14737" s="25"/>
      <c r="BI14737" s="25"/>
      <c r="BJ14737" s="25"/>
      <c r="BK14737" s="25"/>
    </row>
    <row r="14738" spans="60:63" ht="14.25" x14ac:dyDescent="0.2">
      <c r="BH14738" s="25"/>
      <c r="BI14738" s="25"/>
      <c r="BJ14738" s="25"/>
      <c r="BK14738" s="25"/>
    </row>
    <row r="14739" spans="60:63" ht="14.25" x14ac:dyDescent="0.2">
      <c r="BH14739" s="25"/>
      <c r="BI14739" s="25"/>
      <c r="BJ14739" s="25"/>
      <c r="BK14739" s="25"/>
    </row>
    <row r="14740" spans="60:63" ht="14.25" x14ac:dyDescent="0.2">
      <c r="BH14740" s="25"/>
      <c r="BI14740" s="25"/>
      <c r="BJ14740" s="25"/>
      <c r="BK14740" s="25"/>
    </row>
    <row r="14741" spans="60:63" ht="14.25" x14ac:dyDescent="0.2">
      <c r="BH14741" s="25"/>
      <c r="BI14741" s="25"/>
      <c r="BJ14741" s="25"/>
      <c r="BK14741" s="25"/>
    </row>
    <row r="14742" spans="60:63" ht="14.25" x14ac:dyDescent="0.2">
      <c r="BH14742" s="25"/>
      <c r="BI14742" s="25"/>
      <c r="BJ14742" s="25"/>
      <c r="BK14742" s="25"/>
    </row>
    <row r="14743" spans="60:63" ht="14.25" x14ac:dyDescent="0.2">
      <c r="BH14743" s="25"/>
      <c r="BI14743" s="25"/>
      <c r="BJ14743" s="25"/>
      <c r="BK14743" s="25"/>
    </row>
    <row r="14744" spans="60:63" ht="14.25" x14ac:dyDescent="0.2">
      <c r="BH14744" s="25"/>
      <c r="BI14744" s="25"/>
      <c r="BJ14744" s="25"/>
      <c r="BK14744" s="25"/>
    </row>
    <row r="14745" spans="60:63" ht="14.25" x14ac:dyDescent="0.2">
      <c r="BH14745" s="25"/>
      <c r="BI14745" s="25"/>
      <c r="BJ14745" s="25"/>
      <c r="BK14745" s="25"/>
    </row>
    <row r="14746" spans="60:63" ht="14.25" x14ac:dyDescent="0.2">
      <c r="BH14746" s="25"/>
      <c r="BI14746" s="25"/>
      <c r="BJ14746" s="25"/>
      <c r="BK14746" s="25"/>
    </row>
    <row r="14747" spans="60:63" ht="14.25" x14ac:dyDescent="0.2">
      <c r="BH14747" s="25"/>
      <c r="BI14747" s="25"/>
      <c r="BJ14747" s="25"/>
      <c r="BK14747" s="25"/>
    </row>
    <row r="14748" spans="60:63" ht="14.25" x14ac:dyDescent="0.2">
      <c r="BH14748" s="25"/>
      <c r="BI14748" s="25"/>
      <c r="BJ14748" s="25"/>
      <c r="BK14748" s="25"/>
    </row>
    <row r="14749" spans="60:63" ht="14.25" x14ac:dyDescent="0.2">
      <c r="BH14749" s="25"/>
      <c r="BI14749" s="25"/>
      <c r="BJ14749" s="25"/>
      <c r="BK14749" s="25"/>
    </row>
    <row r="14750" spans="60:63" ht="14.25" x14ac:dyDescent="0.2">
      <c r="BH14750" s="25"/>
      <c r="BI14750" s="25"/>
      <c r="BJ14750" s="25"/>
      <c r="BK14750" s="25"/>
    </row>
    <row r="14751" spans="60:63" ht="14.25" x14ac:dyDescent="0.2">
      <c r="BH14751" s="25"/>
      <c r="BI14751" s="25"/>
      <c r="BJ14751" s="25"/>
      <c r="BK14751" s="25"/>
    </row>
    <row r="14752" spans="60:63" ht="14.25" x14ac:dyDescent="0.2">
      <c r="BH14752" s="25"/>
      <c r="BI14752" s="25"/>
      <c r="BJ14752" s="25"/>
      <c r="BK14752" s="25"/>
    </row>
    <row r="14753" spans="60:63" ht="14.25" x14ac:dyDescent="0.2">
      <c r="BH14753" s="25"/>
      <c r="BI14753" s="25"/>
      <c r="BJ14753" s="25"/>
      <c r="BK14753" s="25"/>
    </row>
    <row r="14754" spans="60:63" ht="14.25" x14ac:dyDescent="0.2">
      <c r="BH14754" s="25"/>
      <c r="BI14754" s="25"/>
      <c r="BJ14754" s="25"/>
      <c r="BK14754" s="25"/>
    </row>
    <row r="14755" spans="60:63" ht="14.25" x14ac:dyDescent="0.2">
      <c r="BH14755" s="25"/>
      <c r="BI14755" s="25"/>
      <c r="BJ14755" s="25"/>
      <c r="BK14755" s="25"/>
    </row>
    <row r="14756" spans="60:63" ht="14.25" x14ac:dyDescent="0.2">
      <c r="BH14756" s="25"/>
      <c r="BI14756" s="25"/>
      <c r="BJ14756" s="25"/>
      <c r="BK14756" s="25"/>
    </row>
    <row r="14757" spans="60:63" ht="14.25" x14ac:dyDescent="0.2">
      <c r="BH14757" s="25"/>
      <c r="BI14757" s="25"/>
      <c r="BJ14757" s="25"/>
      <c r="BK14757" s="25"/>
    </row>
    <row r="14758" spans="60:63" ht="14.25" x14ac:dyDescent="0.2">
      <c r="BH14758" s="25"/>
      <c r="BI14758" s="25"/>
      <c r="BJ14758" s="25"/>
      <c r="BK14758" s="25"/>
    </row>
    <row r="14759" spans="60:63" ht="14.25" x14ac:dyDescent="0.2">
      <c r="BH14759" s="25"/>
      <c r="BI14759" s="25"/>
      <c r="BJ14759" s="25"/>
      <c r="BK14759" s="25"/>
    </row>
    <row r="14760" spans="60:63" ht="14.25" x14ac:dyDescent="0.2">
      <c r="BH14760" s="25"/>
      <c r="BI14760" s="25"/>
      <c r="BJ14760" s="25"/>
      <c r="BK14760" s="25"/>
    </row>
    <row r="14761" spans="60:63" ht="14.25" x14ac:dyDescent="0.2">
      <c r="BH14761" s="25"/>
      <c r="BI14761" s="25"/>
      <c r="BJ14761" s="25"/>
      <c r="BK14761" s="25"/>
    </row>
    <row r="14762" spans="60:63" ht="14.25" x14ac:dyDescent="0.2">
      <c r="BH14762" s="25"/>
      <c r="BI14762" s="25"/>
      <c r="BJ14762" s="25"/>
      <c r="BK14762" s="25"/>
    </row>
    <row r="14763" spans="60:63" ht="14.25" x14ac:dyDescent="0.2">
      <c r="BH14763" s="25"/>
      <c r="BI14763" s="25"/>
      <c r="BJ14763" s="25"/>
      <c r="BK14763" s="25"/>
    </row>
    <row r="14764" spans="60:63" ht="14.25" x14ac:dyDescent="0.2">
      <c r="BH14764" s="25"/>
      <c r="BI14764" s="25"/>
      <c r="BJ14764" s="25"/>
      <c r="BK14764" s="25"/>
    </row>
    <row r="14765" spans="60:63" ht="14.25" x14ac:dyDescent="0.2">
      <c r="BH14765" s="25"/>
      <c r="BI14765" s="25"/>
      <c r="BJ14765" s="25"/>
      <c r="BK14765" s="25"/>
    </row>
    <row r="14766" spans="60:63" ht="14.25" x14ac:dyDescent="0.2">
      <c r="BH14766" s="25"/>
      <c r="BI14766" s="25"/>
      <c r="BJ14766" s="25"/>
      <c r="BK14766" s="25"/>
    </row>
    <row r="14767" spans="60:63" ht="14.25" x14ac:dyDescent="0.2">
      <c r="BH14767" s="25"/>
      <c r="BI14767" s="25"/>
      <c r="BJ14767" s="25"/>
      <c r="BK14767" s="25"/>
    </row>
    <row r="14768" spans="60:63" ht="14.25" x14ac:dyDescent="0.2">
      <c r="BH14768" s="25"/>
      <c r="BI14768" s="25"/>
      <c r="BJ14768" s="25"/>
      <c r="BK14768" s="25"/>
    </row>
    <row r="14769" spans="60:63" ht="14.25" x14ac:dyDescent="0.2">
      <c r="BH14769" s="25"/>
      <c r="BI14769" s="25"/>
      <c r="BJ14769" s="25"/>
      <c r="BK14769" s="25"/>
    </row>
    <row r="14770" spans="60:63" ht="14.25" x14ac:dyDescent="0.2">
      <c r="BH14770" s="25"/>
      <c r="BI14770" s="25"/>
      <c r="BJ14770" s="25"/>
      <c r="BK14770" s="25"/>
    </row>
    <row r="14771" spans="60:63" ht="14.25" x14ac:dyDescent="0.2">
      <c r="BH14771" s="25"/>
      <c r="BI14771" s="25"/>
      <c r="BJ14771" s="25"/>
      <c r="BK14771" s="25"/>
    </row>
    <row r="14772" spans="60:63" ht="14.25" x14ac:dyDescent="0.2">
      <c r="BH14772" s="25"/>
      <c r="BI14772" s="25"/>
      <c r="BJ14772" s="25"/>
      <c r="BK14772" s="25"/>
    </row>
    <row r="14773" spans="60:63" ht="14.25" x14ac:dyDescent="0.2">
      <c r="BH14773" s="25"/>
      <c r="BI14773" s="25"/>
      <c r="BJ14773" s="25"/>
      <c r="BK14773" s="25"/>
    </row>
    <row r="14774" spans="60:63" ht="14.25" x14ac:dyDescent="0.2">
      <c r="BH14774" s="25"/>
      <c r="BI14774" s="25"/>
      <c r="BJ14774" s="25"/>
      <c r="BK14774" s="25"/>
    </row>
    <row r="14775" spans="60:63" ht="14.25" x14ac:dyDescent="0.2">
      <c r="BH14775" s="25"/>
      <c r="BI14775" s="25"/>
      <c r="BJ14775" s="25"/>
      <c r="BK14775" s="25"/>
    </row>
    <row r="14776" spans="60:63" ht="14.25" x14ac:dyDescent="0.2">
      <c r="BH14776" s="25"/>
      <c r="BI14776" s="25"/>
      <c r="BJ14776" s="25"/>
      <c r="BK14776" s="25"/>
    </row>
    <row r="14777" spans="60:63" ht="14.25" x14ac:dyDescent="0.2">
      <c r="BH14777" s="25"/>
      <c r="BI14777" s="25"/>
      <c r="BJ14777" s="25"/>
      <c r="BK14777" s="25"/>
    </row>
    <row r="14778" spans="60:63" ht="14.25" x14ac:dyDescent="0.2">
      <c r="BH14778" s="25"/>
      <c r="BI14778" s="25"/>
      <c r="BJ14778" s="25"/>
      <c r="BK14778" s="25"/>
    </row>
    <row r="14779" spans="60:63" ht="14.25" x14ac:dyDescent="0.2">
      <c r="BH14779" s="25"/>
      <c r="BI14779" s="25"/>
      <c r="BJ14779" s="25"/>
      <c r="BK14779" s="25"/>
    </row>
    <row r="14780" spans="60:63" ht="14.25" x14ac:dyDescent="0.2">
      <c r="BH14780" s="25"/>
      <c r="BI14780" s="25"/>
      <c r="BJ14780" s="25"/>
      <c r="BK14780" s="25"/>
    </row>
    <row r="14781" spans="60:63" ht="14.25" x14ac:dyDescent="0.2">
      <c r="BH14781" s="25"/>
      <c r="BI14781" s="25"/>
      <c r="BJ14781" s="25"/>
      <c r="BK14781" s="25"/>
    </row>
    <row r="14782" spans="60:63" ht="14.25" x14ac:dyDescent="0.2">
      <c r="BH14782" s="25"/>
      <c r="BI14782" s="25"/>
      <c r="BJ14782" s="25"/>
      <c r="BK14782" s="25"/>
    </row>
    <row r="14783" spans="60:63" ht="14.25" x14ac:dyDescent="0.2">
      <c r="BH14783" s="25"/>
      <c r="BI14783" s="25"/>
      <c r="BJ14783" s="25"/>
      <c r="BK14783" s="25"/>
    </row>
    <row r="14784" spans="60:63" ht="14.25" x14ac:dyDescent="0.2">
      <c r="BH14784" s="25"/>
      <c r="BI14784" s="25"/>
      <c r="BJ14784" s="25"/>
      <c r="BK14784" s="25"/>
    </row>
    <row r="14785" spans="60:63" ht="14.25" x14ac:dyDescent="0.2">
      <c r="BH14785" s="25"/>
      <c r="BI14785" s="25"/>
      <c r="BJ14785" s="25"/>
      <c r="BK14785" s="25"/>
    </row>
    <row r="14786" spans="60:63" ht="14.25" x14ac:dyDescent="0.2">
      <c r="BH14786" s="25"/>
      <c r="BI14786" s="25"/>
      <c r="BJ14786" s="25"/>
      <c r="BK14786" s="25"/>
    </row>
    <row r="14787" spans="60:63" ht="14.25" x14ac:dyDescent="0.2">
      <c r="BH14787" s="25"/>
      <c r="BI14787" s="25"/>
      <c r="BJ14787" s="25"/>
      <c r="BK14787" s="25"/>
    </row>
    <row r="14788" spans="60:63" ht="14.25" x14ac:dyDescent="0.2">
      <c r="BH14788" s="25"/>
      <c r="BI14788" s="25"/>
      <c r="BJ14788" s="25"/>
      <c r="BK14788" s="25"/>
    </row>
    <row r="14789" spans="60:63" ht="14.25" x14ac:dyDescent="0.2">
      <c r="BH14789" s="25"/>
      <c r="BI14789" s="25"/>
      <c r="BJ14789" s="25"/>
      <c r="BK14789" s="25"/>
    </row>
    <row r="14790" spans="60:63" ht="14.25" x14ac:dyDescent="0.2">
      <c r="BH14790" s="25"/>
      <c r="BI14790" s="25"/>
      <c r="BJ14790" s="25"/>
      <c r="BK14790" s="25"/>
    </row>
    <row r="14791" spans="60:63" ht="14.25" x14ac:dyDescent="0.2">
      <c r="BH14791" s="25"/>
      <c r="BI14791" s="25"/>
      <c r="BJ14791" s="25"/>
      <c r="BK14791" s="25"/>
    </row>
    <row r="14792" spans="60:63" ht="14.25" x14ac:dyDescent="0.2">
      <c r="BH14792" s="25"/>
      <c r="BI14792" s="25"/>
      <c r="BJ14792" s="25"/>
      <c r="BK14792" s="25"/>
    </row>
    <row r="14793" spans="60:63" ht="14.25" x14ac:dyDescent="0.2">
      <c r="BH14793" s="25"/>
      <c r="BI14793" s="25"/>
      <c r="BJ14793" s="25"/>
      <c r="BK14793" s="25"/>
    </row>
    <row r="14794" spans="60:63" ht="14.25" x14ac:dyDescent="0.2">
      <c r="BH14794" s="25"/>
      <c r="BI14794" s="25"/>
      <c r="BJ14794" s="25"/>
      <c r="BK14794" s="25"/>
    </row>
    <row r="14795" spans="60:63" ht="14.25" x14ac:dyDescent="0.2">
      <c r="BH14795" s="25"/>
      <c r="BI14795" s="25"/>
      <c r="BJ14795" s="25"/>
      <c r="BK14795" s="25"/>
    </row>
    <row r="14796" spans="60:63" ht="14.25" x14ac:dyDescent="0.2">
      <c r="BH14796" s="25"/>
      <c r="BI14796" s="25"/>
      <c r="BJ14796" s="25"/>
      <c r="BK14796" s="25"/>
    </row>
    <row r="14797" spans="60:63" ht="14.25" x14ac:dyDescent="0.2">
      <c r="BH14797" s="25"/>
      <c r="BI14797" s="25"/>
      <c r="BJ14797" s="25"/>
      <c r="BK14797" s="25"/>
    </row>
    <row r="14798" spans="60:63" ht="14.25" x14ac:dyDescent="0.2">
      <c r="BH14798" s="25"/>
      <c r="BI14798" s="25"/>
      <c r="BJ14798" s="25"/>
      <c r="BK14798" s="25"/>
    </row>
    <row r="14799" spans="60:63" ht="14.25" x14ac:dyDescent="0.2">
      <c r="BH14799" s="25"/>
      <c r="BI14799" s="25"/>
      <c r="BJ14799" s="25"/>
      <c r="BK14799" s="25"/>
    </row>
    <row r="14800" spans="60:63" ht="14.25" x14ac:dyDescent="0.2">
      <c r="BH14800" s="25"/>
      <c r="BI14800" s="25"/>
      <c r="BJ14800" s="25"/>
      <c r="BK14800" s="25"/>
    </row>
    <row r="14801" spans="60:63" ht="14.25" x14ac:dyDescent="0.2">
      <c r="BH14801" s="25"/>
      <c r="BI14801" s="25"/>
      <c r="BJ14801" s="25"/>
      <c r="BK14801" s="25"/>
    </row>
    <row r="14802" spans="60:63" ht="14.25" x14ac:dyDescent="0.2">
      <c r="BH14802" s="25"/>
      <c r="BI14802" s="25"/>
      <c r="BJ14802" s="25"/>
      <c r="BK14802" s="25"/>
    </row>
    <row r="14803" spans="60:63" ht="14.25" x14ac:dyDescent="0.2">
      <c r="BH14803" s="25"/>
      <c r="BI14803" s="25"/>
      <c r="BJ14803" s="25"/>
      <c r="BK14803" s="25"/>
    </row>
    <row r="14804" spans="60:63" ht="14.25" x14ac:dyDescent="0.2">
      <c r="BH14804" s="25"/>
      <c r="BI14804" s="25"/>
      <c r="BJ14804" s="25"/>
      <c r="BK14804" s="25"/>
    </row>
    <row r="14805" spans="60:63" ht="14.25" x14ac:dyDescent="0.2">
      <c r="BH14805" s="25"/>
      <c r="BI14805" s="25"/>
      <c r="BJ14805" s="25"/>
      <c r="BK14805" s="25"/>
    </row>
    <row r="14806" spans="60:63" ht="14.25" x14ac:dyDescent="0.2">
      <c r="BH14806" s="25"/>
      <c r="BI14806" s="25"/>
      <c r="BJ14806" s="25"/>
      <c r="BK14806" s="25"/>
    </row>
    <row r="14807" spans="60:63" ht="14.25" x14ac:dyDescent="0.2">
      <c r="BH14807" s="25"/>
      <c r="BI14807" s="25"/>
      <c r="BJ14807" s="25"/>
      <c r="BK14807" s="25"/>
    </row>
    <row r="14808" spans="60:63" ht="14.25" x14ac:dyDescent="0.2">
      <c r="BH14808" s="25"/>
      <c r="BI14808" s="25"/>
      <c r="BJ14808" s="25"/>
      <c r="BK14808" s="25"/>
    </row>
    <row r="14809" spans="60:63" ht="14.25" x14ac:dyDescent="0.2">
      <c r="BH14809" s="25"/>
      <c r="BI14809" s="25"/>
      <c r="BJ14809" s="25"/>
      <c r="BK14809" s="25"/>
    </row>
    <row r="14810" spans="60:63" ht="14.25" x14ac:dyDescent="0.2">
      <c r="BH14810" s="25"/>
      <c r="BI14810" s="25"/>
      <c r="BJ14810" s="25"/>
      <c r="BK14810" s="25"/>
    </row>
    <row r="14811" spans="60:63" ht="14.25" x14ac:dyDescent="0.2">
      <c r="BH14811" s="25"/>
      <c r="BI14811" s="25"/>
      <c r="BJ14811" s="25"/>
      <c r="BK14811" s="25"/>
    </row>
    <row r="14812" spans="60:63" ht="14.25" x14ac:dyDescent="0.2">
      <c r="BH14812" s="25"/>
      <c r="BI14812" s="25"/>
      <c r="BJ14812" s="25"/>
      <c r="BK14812" s="25"/>
    </row>
    <row r="14813" spans="60:63" ht="14.25" x14ac:dyDescent="0.2">
      <c r="BH14813" s="25"/>
      <c r="BI14813" s="25"/>
      <c r="BJ14813" s="25"/>
      <c r="BK14813" s="25"/>
    </row>
    <row r="14814" spans="60:63" ht="14.25" x14ac:dyDescent="0.2">
      <c r="BH14814" s="25"/>
      <c r="BI14814" s="25"/>
      <c r="BJ14814" s="25"/>
      <c r="BK14814" s="25"/>
    </row>
    <row r="14815" spans="60:63" ht="14.25" x14ac:dyDescent="0.2">
      <c r="BH14815" s="25"/>
      <c r="BI14815" s="25"/>
      <c r="BJ14815" s="25"/>
      <c r="BK14815" s="25"/>
    </row>
    <row r="14816" spans="60:63" ht="14.25" x14ac:dyDescent="0.2">
      <c r="BH14816" s="25"/>
      <c r="BI14816" s="25"/>
      <c r="BJ14816" s="25"/>
      <c r="BK14816" s="25"/>
    </row>
    <row r="14817" spans="60:63" ht="14.25" x14ac:dyDescent="0.2">
      <c r="BH14817" s="25"/>
      <c r="BI14817" s="25"/>
      <c r="BJ14817" s="25"/>
      <c r="BK14817" s="25"/>
    </row>
    <row r="14818" spans="60:63" ht="14.25" x14ac:dyDescent="0.2">
      <c r="BH14818" s="25"/>
      <c r="BI14818" s="25"/>
      <c r="BJ14818" s="25"/>
      <c r="BK14818" s="25"/>
    </row>
    <row r="14819" spans="60:63" ht="14.25" x14ac:dyDescent="0.2">
      <c r="BH14819" s="25"/>
      <c r="BI14819" s="25"/>
      <c r="BJ14819" s="25"/>
      <c r="BK14819" s="25"/>
    </row>
    <row r="14820" spans="60:63" ht="14.25" x14ac:dyDescent="0.2">
      <c r="BH14820" s="25"/>
      <c r="BI14820" s="25"/>
      <c r="BJ14820" s="25"/>
      <c r="BK14820" s="25"/>
    </row>
    <row r="14821" spans="60:63" ht="14.25" x14ac:dyDescent="0.2">
      <c r="BH14821" s="25"/>
      <c r="BI14821" s="25"/>
      <c r="BJ14821" s="25"/>
      <c r="BK14821" s="25"/>
    </row>
    <row r="14822" spans="60:63" ht="14.25" x14ac:dyDescent="0.2">
      <c r="BH14822" s="25"/>
      <c r="BI14822" s="25"/>
      <c r="BJ14822" s="25"/>
      <c r="BK14822" s="25"/>
    </row>
    <row r="14823" spans="60:63" ht="14.25" x14ac:dyDescent="0.2">
      <c r="BH14823" s="25"/>
      <c r="BI14823" s="25"/>
      <c r="BJ14823" s="25"/>
      <c r="BK14823" s="25"/>
    </row>
    <row r="14824" spans="60:63" ht="14.25" x14ac:dyDescent="0.2">
      <c r="BH14824" s="25"/>
      <c r="BI14824" s="25"/>
      <c r="BJ14824" s="25"/>
      <c r="BK14824" s="25"/>
    </row>
    <row r="14825" spans="60:63" ht="14.25" x14ac:dyDescent="0.2">
      <c r="BH14825" s="25"/>
      <c r="BI14825" s="25"/>
      <c r="BJ14825" s="25"/>
      <c r="BK14825" s="25"/>
    </row>
    <row r="14826" spans="60:63" ht="14.25" x14ac:dyDescent="0.2">
      <c r="BH14826" s="25"/>
      <c r="BI14826" s="25"/>
      <c r="BJ14826" s="25"/>
      <c r="BK14826" s="25"/>
    </row>
    <row r="14827" spans="60:63" ht="14.25" x14ac:dyDescent="0.2">
      <c r="BH14827" s="25"/>
      <c r="BI14827" s="25"/>
      <c r="BJ14827" s="25"/>
      <c r="BK14827" s="25"/>
    </row>
    <row r="14828" spans="60:63" ht="14.25" x14ac:dyDescent="0.2">
      <c r="BH14828" s="25"/>
      <c r="BI14828" s="25"/>
      <c r="BJ14828" s="25"/>
      <c r="BK14828" s="25"/>
    </row>
    <row r="14829" spans="60:63" ht="14.25" x14ac:dyDescent="0.2">
      <c r="BH14829" s="25"/>
      <c r="BI14829" s="25"/>
      <c r="BJ14829" s="25"/>
      <c r="BK14829" s="25"/>
    </row>
    <row r="14830" spans="60:63" ht="14.25" x14ac:dyDescent="0.2">
      <c r="BH14830" s="25"/>
      <c r="BI14830" s="25"/>
      <c r="BJ14830" s="25"/>
      <c r="BK14830" s="25"/>
    </row>
    <row r="14831" spans="60:63" ht="14.25" x14ac:dyDescent="0.2">
      <c r="BH14831" s="25"/>
      <c r="BI14831" s="25"/>
      <c r="BJ14831" s="25"/>
      <c r="BK14831" s="25"/>
    </row>
    <row r="14832" spans="60:63" ht="14.25" x14ac:dyDescent="0.2">
      <c r="BH14832" s="25"/>
      <c r="BI14832" s="25"/>
      <c r="BJ14832" s="25"/>
      <c r="BK14832" s="25"/>
    </row>
    <row r="14833" spans="60:63" ht="14.25" x14ac:dyDescent="0.2">
      <c r="BH14833" s="25"/>
      <c r="BI14833" s="25"/>
      <c r="BJ14833" s="25"/>
      <c r="BK14833" s="25"/>
    </row>
    <row r="14834" spans="60:63" ht="14.25" x14ac:dyDescent="0.2">
      <c r="BH14834" s="25"/>
      <c r="BI14834" s="25"/>
      <c r="BJ14834" s="25"/>
      <c r="BK14834" s="25"/>
    </row>
    <row r="14835" spans="60:63" ht="14.25" x14ac:dyDescent="0.2">
      <c r="BH14835" s="25"/>
      <c r="BI14835" s="25"/>
      <c r="BJ14835" s="25"/>
      <c r="BK14835" s="25"/>
    </row>
    <row r="14836" spans="60:63" ht="14.25" x14ac:dyDescent="0.2">
      <c r="BH14836" s="25"/>
      <c r="BI14836" s="25"/>
      <c r="BJ14836" s="25"/>
      <c r="BK14836" s="25"/>
    </row>
    <row r="14837" spans="60:63" ht="14.25" x14ac:dyDescent="0.2">
      <c r="BH14837" s="25"/>
      <c r="BI14837" s="25"/>
      <c r="BJ14837" s="25"/>
      <c r="BK14837" s="25"/>
    </row>
    <row r="14838" spans="60:63" ht="14.25" x14ac:dyDescent="0.2">
      <c r="BH14838" s="25"/>
      <c r="BI14838" s="25"/>
      <c r="BJ14838" s="25"/>
      <c r="BK14838" s="25"/>
    </row>
    <row r="14839" spans="60:63" ht="14.25" x14ac:dyDescent="0.2">
      <c r="BH14839" s="25"/>
      <c r="BI14839" s="25"/>
      <c r="BJ14839" s="25"/>
      <c r="BK14839" s="25"/>
    </row>
    <row r="14840" spans="60:63" ht="14.25" x14ac:dyDescent="0.2">
      <c r="BH14840" s="25"/>
      <c r="BI14840" s="25"/>
      <c r="BJ14840" s="25"/>
      <c r="BK14840" s="25"/>
    </row>
    <row r="14841" spans="60:63" ht="14.25" x14ac:dyDescent="0.2">
      <c r="BH14841" s="25"/>
      <c r="BI14841" s="25"/>
      <c r="BJ14841" s="25"/>
      <c r="BK14841" s="25"/>
    </row>
    <row r="14842" spans="60:63" ht="14.25" x14ac:dyDescent="0.2">
      <c r="BH14842" s="25"/>
      <c r="BI14842" s="25"/>
      <c r="BJ14842" s="25"/>
      <c r="BK14842" s="25"/>
    </row>
    <row r="14843" spans="60:63" ht="14.25" x14ac:dyDescent="0.2">
      <c r="BH14843" s="25"/>
      <c r="BI14843" s="25"/>
      <c r="BJ14843" s="25"/>
      <c r="BK14843" s="25"/>
    </row>
    <row r="14844" spans="60:63" ht="14.25" x14ac:dyDescent="0.2">
      <c r="BH14844" s="25"/>
      <c r="BI14844" s="25"/>
      <c r="BJ14844" s="25"/>
      <c r="BK14844" s="25"/>
    </row>
    <row r="14845" spans="60:63" ht="14.25" x14ac:dyDescent="0.2">
      <c r="BH14845" s="25"/>
      <c r="BI14845" s="25"/>
      <c r="BJ14845" s="25"/>
      <c r="BK14845" s="25"/>
    </row>
    <row r="14846" spans="60:63" ht="14.25" x14ac:dyDescent="0.2">
      <c r="BH14846" s="25"/>
      <c r="BI14846" s="25"/>
      <c r="BJ14846" s="25"/>
      <c r="BK14846" s="25"/>
    </row>
    <row r="14847" spans="60:63" ht="14.25" x14ac:dyDescent="0.2">
      <c r="BH14847" s="25"/>
      <c r="BI14847" s="25"/>
      <c r="BJ14847" s="25"/>
      <c r="BK14847" s="25"/>
    </row>
    <row r="14848" spans="60:63" ht="14.25" x14ac:dyDescent="0.2">
      <c r="BH14848" s="25"/>
      <c r="BI14848" s="25"/>
      <c r="BJ14848" s="25"/>
      <c r="BK14848" s="25"/>
    </row>
    <row r="14849" spans="60:63" ht="14.25" x14ac:dyDescent="0.2">
      <c r="BH14849" s="25"/>
      <c r="BI14849" s="25"/>
      <c r="BJ14849" s="25"/>
      <c r="BK14849" s="25"/>
    </row>
    <row r="14850" spans="60:63" ht="14.25" x14ac:dyDescent="0.2">
      <c r="BH14850" s="25"/>
      <c r="BI14850" s="25"/>
      <c r="BJ14850" s="25"/>
      <c r="BK14850" s="25"/>
    </row>
    <row r="14851" spans="60:63" ht="14.25" x14ac:dyDescent="0.2">
      <c r="BH14851" s="25"/>
      <c r="BI14851" s="25"/>
      <c r="BJ14851" s="25"/>
      <c r="BK14851" s="25"/>
    </row>
    <row r="14852" spans="60:63" ht="14.25" x14ac:dyDescent="0.2">
      <c r="BH14852" s="25"/>
      <c r="BI14852" s="25"/>
      <c r="BJ14852" s="25"/>
      <c r="BK14852" s="25"/>
    </row>
    <row r="14853" spans="60:63" ht="14.25" x14ac:dyDescent="0.2">
      <c r="BH14853" s="25"/>
      <c r="BI14853" s="25"/>
      <c r="BJ14853" s="25"/>
      <c r="BK14853" s="25"/>
    </row>
    <row r="14854" spans="60:63" ht="14.25" x14ac:dyDescent="0.2">
      <c r="BH14854" s="25"/>
      <c r="BI14854" s="25"/>
      <c r="BJ14854" s="25"/>
      <c r="BK14854" s="25"/>
    </row>
    <row r="14855" spans="60:63" ht="14.25" x14ac:dyDescent="0.2">
      <c r="BH14855" s="25"/>
      <c r="BI14855" s="25"/>
      <c r="BJ14855" s="25"/>
      <c r="BK14855" s="25"/>
    </row>
    <row r="14856" spans="60:63" ht="14.25" x14ac:dyDescent="0.2">
      <c r="BH14856" s="25"/>
      <c r="BI14856" s="25"/>
      <c r="BJ14856" s="25"/>
      <c r="BK14856" s="25"/>
    </row>
    <row r="14857" spans="60:63" ht="14.25" x14ac:dyDescent="0.2">
      <c r="BH14857" s="25"/>
      <c r="BI14857" s="25"/>
      <c r="BJ14857" s="25"/>
      <c r="BK14857" s="25"/>
    </row>
    <row r="14858" spans="60:63" ht="14.25" x14ac:dyDescent="0.2">
      <c r="BH14858" s="25"/>
      <c r="BI14858" s="25"/>
      <c r="BJ14858" s="25"/>
      <c r="BK14858" s="25"/>
    </row>
    <row r="14859" spans="60:63" ht="14.25" x14ac:dyDescent="0.2">
      <c r="BH14859" s="25"/>
      <c r="BI14859" s="25"/>
      <c r="BJ14859" s="25"/>
      <c r="BK14859" s="25"/>
    </row>
    <row r="14860" spans="60:63" ht="14.25" x14ac:dyDescent="0.2">
      <c r="BH14860" s="25"/>
      <c r="BI14860" s="25"/>
      <c r="BJ14860" s="25"/>
      <c r="BK14860" s="25"/>
    </row>
    <row r="14861" spans="60:63" ht="14.25" x14ac:dyDescent="0.2">
      <c r="BH14861" s="25"/>
      <c r="BI14861" s="25"/>
      <c r="BJ14861" s="25"/>
      <c r="BK14861" s="25"/>
    </row>
    <row r="14862" spans="60:63" ht="14.25" x14ac:dyDescent="0.2">
      <c r="BH14862" s="25"/>
      <c r="BI14862" s="25"/>
      <c r="BJ14862" s="25"/>
      <c r="BK14862" s="25"/>
    </row>
    <row r="14863" spans="60:63" ht="14.25" x14ac:dyDescent="0.2">
      <c r="BH14863" s="25"/>
      <c r="BI14863" s="25"/>
      <c r="BJ14863" s="25"/>
      <c r="BK14863" s="25"/>
    </row>
    <row r="14864" spans="60:63" ht="14.25" x14ac:dyDescent="0.2">
      <c r="BH14864" s="25"/>
      <c r="BI14864" s="25"/>
      <c r="BJ14864" s="25"/>
      <c r="BK14864" s="25"/>
    </row>
    <row r="14865" spans="60:63" ht="14.25" x14ac:dyDescent="0.2">
      <c r="BH14865" s="25"/>
      <c r="BI14865" s="25"/>
      <c r="BJ14865" s="25"/>
      <c r="BK14865" s="25"/>
    </row>
    <row r="14866" spans="60:63" ht="14.25" x14ac:dyDescent="0.2">
      <c r="BH14866" s="25"/>
      <c r="BI14866" s="25"/>
      <c r="BJ14866" s="25"/>
      <c r="BK14866" s="25"/>
    </row>
    <row r="14867" spans="60:63" ht="14.25" x14ac:dyDescent="0.2">
      <c r="BH14867" s="25"/>
      <c r="BI14867" s="25"/>
      <c r="BJ14867" s="25"/>
      <c r="BK14867" s="25"/>
    </row>
    <row r="14868" spans="60:63" ht="14.25" x14ac:dyDescent="0.2">
      <c r="BH14868" s="25"/>
      <c r="BI14868" s="25"/>
      <c r="BJ14868" s="25"/>
      <c r="BK14868" s="25"/>
    </row>
    <row r="14869" spans="60:63" ht="14.25" x14ac:dyDescent="0.2">
      <c r="BH14869" s="25"/>
      <c r="BI14869" s="25"/>
      <c r="BJ14869" s="25"/>
      <c r="BK14869" s="25"/>
    </row>
    <row r="14870" spans="60:63" ht="14.25" x14ac:dyDescent="0.2">
      <c r="BH14870" s="25"/>
      <c r="BI14870" s="25"/>
      <c r="BJ14870" s="25"/>
      <c r="BK14870" s="25"/>
    </row>
    <row r="14871" spans="60:63" ht="14.25" x14ac:dyDescent="0.2">
      <c r="BH14871" s="25"/>
      <c r="BI14871" s="25"/>
      <c r="BJ14871" s="25"/>
      <c r="BK14871" s="25"/>
    </row>
    <row r="14872" spans="60:63" ht="14.25" x14ac:dyDescent="0.2">
      <c r="BH14872" s="25"/>
      <c r="BI14872" s="25"/>
      <c r="BJ14872" s="25"/>
      <c r="BK14872" s="25"/>
    </row>
    <row r="14873" spans="60:63" ht="14.25" x14ac:dyDescent="0.2">
      <c r="BH14873" s="25"/>
      <c r="BI14873" s="25"/>
      <c r="BJ14873" s="25"/>
      <c r="BK14873" s="25"/>
    </row>
    <row r="14874" spans="60:63" ht="14.25" x14ac:dyDescent="0.2">
      <c r="BH14874" s="25"/>
      <c r="BI14874" s="25"/>
      <c r="BJ14874" s="25"/>
      <c r="BK14874" s="25"/>
    </row>
    <row r="14875" spans="60:63" ht="14.25" x14ac:dyDescent="0.2">
      <c r="BH14875" s="25"/>
      <c r="BI14875" s="25"/>
      <c r="BJ14875" s="25"/>
      <c r="BK14875" s="25"/>
    </row>
    <row r="14876" spans="60:63" ht="14.25" x14ac:dyDescent="0.2">
      <c r="BH14876" s="25"/>
      <c r="BI14876" s="25"/>
      <c r="BJ14876" s="25"/>
      <c r="BK14876" s="25"/>
    </row>
    <row r="14877" spans="60:63" ht="14.25" x14ac:dyDescent="0.2">
      <c r="BH14877" s="25"/>
      <c r="BI14877" s="25"/>
      <c r="BJ14877" s="25"/>
      <c r="BK14877" s="25"/>
    </row>
    <row r="14878" spans="60:63" ht="14.25" x14ac:dyDescent="0.2">
      <c r="BH14878" s="25"/>
      <c r="BI14878" s="25"/>
      <c r="BJ14878" s="25"/>
      <c r="BK14878" s="25"/>
    </row>
    <row r="14879" spans="60:63" ht="14.25" x14ac:dyDescent="0.2">
      <c r="BH14879" s="25"/>
      <c r="BI14879" s="25"/>
      <c r="BJ14879" s="25"/>
      <c r="BK14879" s="25"/>
    </row>
    <row r="14880" spans="60:63" ht="14.25" x14ac:dyDescent="0.2">
      <c r="BH14880" s="25"/>
      <c r="BI14880" s="25"/>
      <c r="BJ14880" s="25"/>
      <c r="BK14880" s="25"/>
    </row>
    <row r="14881" spans="60:63" ht="14.25" x14ac:dyDescent="0.2">
      <c r="BH14881" s="25"/>
      <c r="BI14881" s="25"/>
      <c r="BJ14881" s="25"/>
      <c r="BK14881" s="25"/>
    </row>
    <row r="14882" spans="60:63" ht="14.25" x14ac:dyDescent="0.2">
      <c r="BH14882" s="25"/>
      <c r="BI14882" s="25"/>
      <c r="BJ14882" s="25"/>
      <c r="BK14882" s="25"/>
    </row>
    <row r="14883" spans="60:63" ht="14.25" x14ac:dyDescent="0.2">
      <c r="BH14883" s="25"/>
      <c r="BI14883" s="25"/>
      <c r="BJ14883" s="25"/>
      <c r="BK14883" s="25"/>
    </row>
    <row r="14884" spans="60:63" ht="14.25" x14ac:dyDescent="0.2">
      <c r="BH14884" s="25"/>
      <c r="BI14884" s="25"/>
      <c r="BJ14884" s="25"/>
      <c r="BK14884" s="25"/>
    </row>
    <row r="14885" spans="60:63" ht="14.25" x14ac:dyDescent="0.2">
      <c r="BH14885" s="25"/>
      <c r="BI14885" s="25"/>
      <c r="BJ14885" s="25"/>
      <c r="BK14885" s="25"/>
    </row>
    <row r="14886" spans="60:63" ht="14.25" x14ac:dyDescent="0.2">
      <c r="BH14886" s="25"/>
      <c r="BI14886" s="25"/>
      <c r="BJ14886" s="25"/>
      <c r="BK14886" s="25"/>
    </row>
    <row r="14887" spans="60:63" ht="14.25" x14ac:dyDescent="0.2">
      <c r="BH14887" s="25"/>
      <c r="BI14887" s="25"/>
      <c r="BJ14887" s="25"/>
      <c r="BK14887" s="25"/>
    </row>
    <row r="14888" spans="60:63" ht="14.25" x14ac:dyDescent="0.2">
      <c r="BH14888" s="25"/>
      <c r="BI14888" s="25"/>
      <c r="BJ14888" s="25"/>
      <c r="BK14888" s="25"/>
    </row>
    <row r="14889" spans="60:63" ht="14.25" x14ac:dyDescent="0.2">
      <c r="BH14889" s="25"/>
      <c r="BI14889" s="25"/>
      <c r="BJ14889" s="25"/>
      <c r="BK14889" s="25"/>
    </row>
    <row r="14890" spans="60:63" ht="14.25" x14ac:dyDescent="0.2">
      <c r="BH14890" s="25"/>
      <c r="BI14890" s="25"/>
      <c r="BJ14890" s="25"/>
      <c r="BK14890" s="25"/>
    </row>
    <row r="14891" spans="60:63" ht="14.25" x14ac:dyDescent="0.2">
      <c r="BH14891" s="25"/>
      <c r="BI14891" s="25"/>
      <c r="BJ14891" s="25"/>
      <c r="BK14891" s="25"/>
    </row>
    <row r="14892" spans="60:63" ht="14.25" x14ac:dyDescent="0.2">
      <c r="BH14892" s="25"/>
      <c r="BI14892" s="25"/>
      <c r="BJ14892" s="25"/>
      <c r="BK14892" s="25"/>
    </row>
    <row r="14893" spans="60:63" ht="14.25" x14ac:dyDescent="0.2">
      <c r="BH14893" s="25"/>
      <c r="BI14893" s="25"/>
      <c r="BJ14893" s="25"/>
      <c r="BK14893" s="25"/>
    </row>
    <row r="14894" spans="60:63" ht="14.25" x14ac:dyDescent="0.2">
      <c r="BH14894" s="25"/>
      <c r="BI14894" s="25"/>
      <c r="BJ14894" s="25"/>
      <c r="BK14894" s="25"/>
    </row>
    <row r="14895" spans="60:63" ht="14.25" x14ac:dyDescent="0.2">
      <c r="BH14895" s="25"/>
      <c r="BI14895" s="25"/>
      <c r="BJ14895" s="25"/>
      <c r="BK14895" s="25"/>
    </row>
    <row r="14896" spans="60:63" ht="14.25" x14ac:dyDescent="0.2">
      <c r="BH14896" s="25"/>
      <c r="BI14896" s="25"/>
      <c r="BJ14896" s="25"/>
      <c r="BK14896" s="25"/>
    </row>
    <row r="14897" spans="60:63" ht="14.25" x14ac:dyDescent="0.2">
      <c r="BH14897" s="25"/>
      <c r="BI14897" s="25"/>
      <c r="BJ14897" s="25"/>
      <c r="BK14897" s="25"/>
    </row>
    <row r="14898" spans="60:63" ht="14.25" x14ac:dyDescent="0.2">
      <c r="BH14898" s="25"/>
      <c r="BI14898" s="25"/>
      <c r="BJ14898" s="25"/>
      <c r="BK14898" s="25"/>
    </row>
    <row r="14899" spans="60:63" ht="14.25" x14ac:dyDescent="0.2">
      <c r="BH14899" s="25"/>
      <c r="BI14899" s="25"/>
      <c r="BJ14899" s="25"/>
      <c r="BK14899" s="25"/>
    </row>
    <row r="14900" spans="60:63" ht="14.25" x14ac:dyDescent="0.2">
      <c r="BH14900" s="25"/>
      <c r="BI14900" s="25"/>
      <c r="BJ14900" s="25"/>
      <c r="BK14900" s="25"/>
    </row>
    <row r="14901" spans="60:63" ht="14.25" x14ac:dyDescent="0.2">
      <c r="BH14901" s="25"/>
      <c r="BI14901" s="25"/>
      <c r="BJ14901" s="25"/>
      <c r="BK14901" s="25"/>
    </row>
    <row r="14902" spans="60:63" ht="14.25" x14ac:dyDescent="0.2">
      <c r="BH14902" s="25"/>
      <c r="BI14902" s="25"/>
      <c r="BJ14902" s="25"/>
      <c r="BK14902" s="25"/>
    </row>
    <row r="14903" spans="60:63" ht="14.25" x14ac:dyDescent="0.2">
      <c r="BH14903" s="25"/>
      <c r="BI14903" s="25"/>
      <c r="BJ14903" s="25"/>
      <c r="BK14903" s="25"/>
    </row>
    <row r="14904" spans="60:63" ht="14.25" x14ac:dyDescent="0.2">
      <c r="BH14904" s="25"/>
      <c r="BI14904" s="25"/>
      <c r="BJ14904" s="25"/>
      <c r="BK14904" s="25"/>
    </row>
    <row r="14905" spans="60:63" ht="14.25" x14ac:dyDescent="0.2">
      <c r="BH14905" s="25"/>
      <c r="BI14905" s="25"/>
      <c r="BJ14905" s="25"/>
      <c r="BK14905" s="25"/>
    </row>
    <row r="14906" spans="60:63" ht="14.25" x14ac:dyDescent="0.2">
      <c r="BH14906" s="25"/>
      <c r="BI14906" s="25"/>
      <c r="BJ14906" s="25"/>
      <c r="BK14906" s="25"/>
    </row>
    <row r="14907" spans="60:63" ht="14.25" x14ac:dyDescent="0.2">
      <c r="BH14907" s="25"/>
      <c r="BI14907" s="25"/>
      <c r="BJ14907" s="25"/>
      <c r="BK14907" s="25"/>
    </row>
    <row r="14908" spans="60:63" ht="14.25" x14ac:dyDescent="0.2">
      <c r="BH14908" s="25"/>
      <c r="BI14908" s="25"/>
      <c r="BJ14908" s="25"/>
      <c r="BK14908" s="25"/>
    </row>
    <row r="14909" spans="60:63" ht="14.25" x14ac:dyDescent="0.2">
      <c r="BH14909" s="25"/>
      <c r="BI14909" s="25"/>
      <c r="BJ14909" s="25"/>
      <c r="BK14909" s="25"/>
    </row>
    <row r="14910" spans="60:63" ht="14.25" x14ac:dyDescent="0.2">
      <c r="BH14910" s="25"/>
      <c r="BI14910" s="25"/>
      <c r="BJ14910" s="25"/>
      <c r="BK14910" s="25"/>
    </row>
    <row r="14911" spans="60:63" ht="14.25" x14ac:dyDescent="0.2">
      <c r="BH14911" s="25"/>
      <c r="BI14911" s="25"/>
      <c r="BJ14911" s="25"/>
      <c r="BK14911" s="25"/>
    </row>
    <row r="14912" spans="60:63" ht="14.25" x14ac:dyDescent="0.2">
      <c r="BH14912" s="25"/>
      <c r="BI14912" s="25"/>
      <c r="BJ14912" s="25"/>
      <c r="BK14912" s="25"/>
    </row>
    <row r="14913" spans="60:63" ht="14.25" x14ac:dyDescent="0.2">
      <c r="BH14913" s="25"/>
      <c r="BI14913" s="25"/>
      <c r="BJ14913" s="25"/>
      <c r="BK14913" s="25"/>
    </row>
    <row r="14914" spans="60:63" ht="14.25" x14ac:dyDescent="0.2">
      <c r="BH14914" s="25"/>
      <c r="BI14914" s="25"/>
      <c r="BJ14914" s="25"/>
      <c r="BK14914" s="25"/>
    </row>
    <row r="14915" spans="60:63" ht="14.25" x14ac:dyDescent="0.2">
      <c r="BH14915" s="25"/>
      <c r="BI14915" s="25"/>
      <c r="BJ14915" s="25"/>
      <c r="BK14915" s="25"/>
    </row>
    <row r="14916" spans="60:63" ht="14.25" x14ac:dyDescent="0.2">
      <c r="BH14916" s="25"/>
      <c r="BI14916" s="25"/>
      <c r="BJ14916" s="25"/>
      <c r="BK14916" s="25"/>
    </row>
    <row r="14917" spans="60:63" ht="14.25" x14ac:dyDescent="0.2">
      <c r="BH14917" s="25"/>
      <c r="BI14917" s="25"/>
      <c r="BJ14917" s="25"/>
      <c r="BK14917" s="25"/>
    </row>
    <row r="14918" spans="60:63" ht="14.25" x14ac:dyDescent="0.2">
      <c r="BH14918" s="25"/>
      <c r="BI14918" s="25"/>
      <c r="BJ14918" s="25"/>
      <c r="BK14918" s="25"/>
    </row>
    <row r="14919" spans="60:63" ht="14.25" x14ac:dyDescent="0.2">
      <c r="BH14919" s="25"/>
      <c r="BI14919" s="25"/>
      <c r="BJ14919" s="25"/>
      <c r="BK14919" s="25"/>
    </row>
    <row r="14920" spans="60:63" ht="14.25" x14ac:dyDescent="0.2">
      <c r="BH14920" s="25"/>
      <c r="BI14920" s="25"/>
      <c r="BJ14920" s="25"/>
      <c r="BK14920" s="25"/>
    </row>
    <row r="14921" spans="60:63" ht="14.25" x14ac:dyDescent="0.2">
      <c r="BH14921" s="25"/>
      <c r="BI14921" s="25"/>
      <c r="BJ14921" s="25"/>
      <c r="BK14921" s="25"/>
    </row>
    <row r="14922" spans="60:63" ht="14.25" x14ac:dyDescent="0.2">
      <c r="BH14922" s="25"/>
      <c r="BI14922" s="25"/>
      <c r="BJ14922" s="25"/>
      <c r="BK14922" s="25"/>
    </row>
    <row r="14923" spans="60:63" ht="14.25" x14ac:dyDescent="0.2">
      <c r="BH14923" s="25"/>
      <c r="BI14923" s="25"/>
      <c r="BJ14923" s="25"/>
      <c r="BK14923" s="25"/>
    </row>
    <row r="14924" spans="60:63" ht="14.25" x14ac:dyDescent="0.2">
      <c r="BH14924" s="25"/>
      <c r="BI14924" s="25"/>
      <c r="BJ14924" s="25"/>
      <c r="BK14924" s="25"/>
    </row>
    <row r="14925" spans="60:63" ht="14.25" x14ac:dyDescent="0.2">
      <c r="BH14925" s="25"/>
      <c r="BI14925" s="25"/>
      <c r="BJ14925" s="25"/>
      <c r="BK14925" s="25"/>
    </row>
    <row r="14926" spans="60:63" ht="14.25" x14ac:dyDescent="0.2">
      <c r="BH14926" s="25"/>
      <c r="BI14926" s="25"/>
      <c r="BJ14926" s="25"/>
      <c r="BK14926" s="25"/>
    </row>
    <row r="14927" spans="60:63" ht="14.25" x14ac:dyDescent="0.2">
      <c r="BH14927" s="25"/>
      <c r="BI14927" s="25"/>
      <c r="BJ14927" s="25"/>
      <c r="BK14927" s="25"/>
    </row>
    <row r="14928" spans="60:63" ht="14.25" x14ac:dyDescent="0.2">
      <c r="BH14928" s="25"/>
      <c r="BI14928" s="25"/>
      <c r="BJ14928" s="25"/>
      <c r="BK14928" s="25"/>
    </row>
    <row r="14929" spans="60:63" ht="14.25" x14ac:dyDescent="0.2">
      <c r="BH14929" s="25"/>
      <c r="BI14929" s="25"/>
      <c r="BJ14929" s="25"/>
      <c r="BK14929" s="25"/>
    </row>
    <row r="14930" spans="60:63" ht="14.25" x14ac:dyDescent="0.2">
      <c r="BH14930" s="25"/>
      <c r="BI14930" s="25"/>
      <c r="BJ14930" s="25"/>
      <c r="BK14930" s="25"/>
    </row>
    <row r="14931" spans="60:63" ht="14.25" x14ac:dyDescent="0.2">
      <c r="BH14931" s="25"/>
      <c r="BI14931" s="25"/>
      <c r="BJ14931" s="25"/>
      <c r="BK14931" s="25"/>
    </row>
    <row r="14932" spans="60:63" ht="14.25" x14ac:dyDescent="0.2">
      <c r="BH14932" s="25"/>
      <c r="BI14932" s="25"/>
      <c r="BJ14932" s="25"/>
      <c r="BK14932" s="25"/>
    </row>
    <row r="14933" spans="60:63" ht="14.25" x14ac:dyDescent="0.2">
      <c r="BH14933" s="25"/>
      <c r="BI14933" s="25"/>
      <c r="BJ14933" s="25"/>
      <c r="BK14933" s="25"/>
    </row>
    <row r="14934" spans="60:63" ht="14.25" x14ac:dyDescent="0.2">
      <c r="BH14934" s="25"/>
      <c r="BI14934" s="25"/>
      <c r="BJ14934" s="25"/>
      <c r="BK14934" s="25"/>
    </row>
    <row r="14935" spans="60:63" ht="14.25" x14ac:dyDescent="0.2">
      <c r="BH14935" s="25"/>
      <c r="BI14935" s="25"/>
      <c r="BJ14935" s="25"/>
      <c r="BK14935" s="25"/>
    </row>
    <row r="14936" spans="60:63" ht="14.25" x14ac:dyDescent="0.2">
      <c r="BH14936" s="25"/>
      <c r="BI14936" s="25"/>
      <c r="BJ14936" s="25"/>
      <c r="BK14936" s="25"/>
    </row>
    <row r="14937" spans="60:63" ht="14.25" x14ac:dyDescent="0.2">
      <c r="BH14937" s="25"/>
      <c r="BI14937" s="25"/>
      <c r="BJ14937" s="25"/>
      <c r="BK14937" s="25"/>
    </row>
    <row r="14938" spans="60:63" ht="14.25" x14ac:dyDescent="0.2">
      <c r="BH14938" s="25"/>
      <c r="BI14938" s="25"/>
      <c r="BJ14938" s="25"/>
      <c r="BK14938" s="25"/>
    </row>
    <row r="14939" spans="60:63" ht="14.25" x14ac:dyDescent="0.2">
      <c r="BH14939" s="25"/>
      <c r="BI14939" s="25"/>
      <c r="BJ14939" s="25"/>
      <c r="BK14939" s="25"/>
    </row>
    <row r="14940" spans="60:63" ht="14.25" x14ac:dyDescent="0.2">
      <c r="BH14940" s="25"/>
      <c r="BI14940" s="25"/>
      <c r="BJ14940" s="25"/>
      <c r="BK14940" s="25"/>
    </row>
    <row r="14941" spans="60:63" ht="14.25" x14ac:dyDescent="0.2">
      <c r="BH14941" s="25"/>
      <c r="BI14941" s="25"/>
      <c r="BJ14941" s="25"/>
      <c r="BK14941" s="25"/>
    </row>
    <row r="14942" spans="60:63" ht="14.25" x14ac:dyDescent="0.2">
      <c r="BH14942" s="25"/>
      <c r="BI14942" s="25"/>
      <c r="BJ14942" s="25"/>
      <c r="BK14942" s="25"/>
    </row>
    <row r="14943" spans="60:63" ht="14.25" x14ac:dyDescent="0.2">
      <c r="BH14943" s="25"/>
      <c r="BI14943" s="25"/>
      <c r="BJ14943" s="25"/>
      <c r="BK14943" s="25"/>
    </row>
    <row r="14944" spans="60:63" ht="14.25" x14ac:dyDescent="0.2">
      <c r="BH14944" s="25"/>
      <c r="BI14944" s="25"/>
      <c r="BJ14944" s="25"/>
      <c r="BK14944" s="25"/>
    </row>
    <row r="14945" spans="60:63" ht="14.25" x14ac:dyDescent="0.2">
      <c r="BH14945" s="25"/>
      <c r="BI14945" s="25"/>
      <c r="BJ14945" s="25"/>
      <c r="BK14945" s="25"/>
    </row>
    <row r="14946" spans="60:63" ht="14.25" x14ac:dyDescent="0.2">
      <c r="BH14946" s="25"/>
      <c r="BI14946" s="25"/>
      <c r="BJ14946" s="25"/>
      <c r="BK14946" s="25"/>
    </row>
    <row r="14947" spans="60:63" ht="14.25" x14ac:dyDescent="0.2">
      <c r="BH14947" s="25"/>
      <c r="BI14947" s="25"/>
      <c r="BJ14947" s="25"/>
      <c r="BK14947" s="25"/>
    </row>
    <row r="14948" spans="60:63" ht="14.25" x14ac:dyDescent="0.2">
      <c r="BH14948" s="25"/>
      <c r="BI14948" s="25"/>
      <c r="BJ14948" s="25"/>
      <c r="BK14948" s="25"/>
    </row>
    <row r="14949" spans="60:63" ht="14.25" x14ac:dyDescent="0.2">
      <c r="BH14949" s="25"/>
      <c r="BI14949" s="25"/>
      <c r="BJ14949" s="25"/>
      <c r="BK14949" s="25"/>
    </row>
    <row r="14950" spans="60:63" ht="14.25" x14ac:dyDescent="0.2">
      <c r="BH14950" s="25"/>
      <c r="BI14950" s="25"/>
      <c r="BJ14950" s="25"/>
      <c r="BK14950" s="25"/>
    </row>
    <row r="14951" spans="60:63" ht="14.25" x14ac:dyDescent="0.2">
      <c r="BH14951" s="25"/>
      <c r="BI14951" s="25"/>
      <c r="BJ14951" s="25"/>
      <c r="BK14951" s="25"/>
    </row>
    <row r="14952" spans="60:63" ht="14.25" x14ac:dyDescent="0.2">
      <c r="BH14952" s="25"/>
      <c r="BI14952" s="25"/>
      <c r="BJ14952" s="25"/>
      <c r="BK14952" s="25"/>
    </row>
    <row r="14953" spans="60:63" ht="14.25" x14ac:dyDescent="0.2">
      <c r="BH14953" s="25"/>
      <c r="BI14953" s="25"/>
      <c r="BJ14953" s="25"/>
      <c r="BK14953" s="25"/>
    </row>
    <row r="14954" spans="60:63" ht="14.25" x14ac:dyDescent="0.2">
      <c r="BH14954" s="25"/>
      <c r="BI14954" s="25"/>
      <c r="BJ14954" s="25"/>
      <c r="BK14954" s="25"/>
    </row>
    <row r="14955" spans="60:63" ht="14.25" x14ac:dyDescent="0.2">
      <c r="BH14955" s="25"/>
      <c r="BI14955" s="25"/>
      <c r="BJ14955" s="25"/>
      <c r="BK14955" s="25"/>
    </row>
    <row r="14956" spans="60:63" ht="14.25" x14ac:dyDescent="0.2">
      <c r="BH14956" s="25"/>
      <c r="BI14956" s="25"/>
      <c r="BJ14956" s="25"/>
      <c r="BK14956" s="25"/>
    </row>
    <row r="14957" spans="60:63" ht="14.25" x14ac:dyDescent="0.2">
      <c r="BH14957" s="25"/>
      <c r="BI14957" s="25"/>
      <c r="BJ14957" s="25"/>
      <c r="BK14957" s="25"/>
    </row>
    <row r="14958" spans="60:63" ht="14.25" x14ac:dyDescent="0.2">
      <c r="BH14958" s="25"/>
      <c r="BI14958" s="25"/>
      <c r="BJ14958" s="25"/>
      <c r="BK14958" s="25"/>
    </row>
    <row r="14959" spans="60:63" ht="14.25" x14ac:dyDescent="0.2">
      <c r="BH14959" s="25"/>
      <c r="BI14959" s="25"/>
      <c r="BJ14959" s="25"/>
      <c r="BK14959" s="25"/>
    </row>
    <row r="14960" spans="60:63" ht="14.25" x14ac:dyDescent="0.2">
      <c r="BH14960" s="25"/>
      <c r="BI14960" s="25"/>
      <c r="BJ14960" s="25"/>
      <c r="BK14960" s="25"/>
    </row>
    <row r="14961" spans="60:63" ht="14.25" x14ac:dyDescent="0.2">
      <c r="BH14961" s="25"/>
      <c r="BI14961" s="25"/>
      <c r="BJ14961" s="25"/>
      <c r="BK14961" s="25"/>
    </row>
    <row r="14962" spans="60:63" ht="14.25" x14ac:dyDescent="0.2">
      <c r="BH14962" s="25"/>
      <c r="BI14962" s="25"/>
      <c r="BJ14962" s="25"/>
      <c r="BK14962" s="25"/>
    </row>
    <row r="14963" spans="60:63" ht="14.25" x14ac:dyDescent="0.2">
      <c r="BH14963" s="25"/>
      <c r="BI14963" s="25"/>
      <c r="BJ14963" s="25"/>
      <c r="BK14963" s="25"/>
    </row>
    <row r="14964" spans="60:63" ht="14.25" x14ac:dyDescent="0.2">
      <c r="BH14964" s="25"/>
      <c r="BI14964" s="25"/>
      <c r="BJ14964" s="25"/>
      <c r="BK14964" s="25"/>
    </row>
    <row r="14965" spans="60:63" ht="14.25" x14ac:dyDescent="0.2">
      <c r="BH14965" s="25"/>
      <c r="BI14965" s="25"/>
      <c r="BJ14965" s="25"/>
      <c r="BK14965" s="25"/>
    </row>
    <row r="14966" spans="60:63" ht="14.25" x14ac:dyDescent="0.2">
      <c r="BH14966" s="25"/>
      <c r="BI14966" s="25"/>
      <c r="BJ14966" s="25"/>
      <c r="BK14966" s="25"/>
    </row>
    <row r="14967" spans="60:63" ht="14.25" x14ac:dyDescent="0.2">
      <c r="BH14967" s="25"/>
      <c r="BI14967" s="25"/>
      <c r="BJ14967" s="25"/>
      <c r="BK14967" s="25"/>
    </row>
    <row r="14968" spans="60:63" ht="14.25" x14ac:dyDescent="0.2">
      <c r="BH14968" s="25"/>
      <c r="BI14968" s="25"/>
      <c r="BJ14968" s="25"/>
      <c r="BK14968" s="25"/>
    </row>
    <row r="14969" spans="60:63" ht="14.25" x14ac:dyDescent="0.2">
      <c r="BH14969" s="25"/>
      <c r="BI14969" s="25"/>
      <c r="BJ14969" s="25"/>
      <c r="BK14969" s="25"/>
    </row>
    <row r="14970" spans="60:63" ht="14.25" x14ac:dyDescent="0.2">
      <c r="BH14970" s="25"/>
      <c r="BI14970" s="25"/>
      <c r="BJ14970" s="25"/>
      <c r="BK14970" s="25"/>
    </row>
    <row r="14971" spans="60:63" ht="14.25" x14ac:dyDescent="0.2">
      <c r="BH14971" s="25"/>
      <c r="BI14971" s="25"/>
      <c r="BJ14971" s="25"/>
      <c r="BK14971" s="25"/>
    </row>
    <row r="14972" spans="60:63" ht="14.25" x14ac:dyDescent="0.2">
      <c r="BH14972" s="25"/>
      <c r="BI14972" s="25"/>
      <c r="BJ14972" s="25"/>
      <c r="BK14972" s="25"/>
    </row>
    <row r="14973" spans="60:63" ht="14.25" x14ac:dyDescent="0.2">
      <c r="BH14973" s="25"/>
      <c r="BI14973" s="25"/>
      <c r="BJ14973" s="25"/>
      <c r="BK14973" s="25"/>
    </row>
    <row r="14974" spans="60:63" ht="14.25" x14ac:dyDescent="0.2">
      <c r="BH14974" s="25"/>
      <c r="BI14974" s="25"/>
      <c r="BJ14974" s="25"/>
      <c r="BK14974" s="25"/>
    </row>
    <row r="14975" spans="60:63" ht="14.25" x14ac:dyDescent="0.2">
      <c r="BH14975" s="25"/>
      <c r="BI14975" s="25"/>
      <c r="BJ14975" s="25"/>
      <c r="BK14975" s="25"/>
    </row>
    <row r="14976" spans="60:63" ht="14.25" x14ac:dyDescent="0.2">
      <c r="BH14976" s="25"/>
      <c r="BI14976" s="25"/>
      <c r="BJ14976" s="25"/>
      <c r="BK14976" s="25"/>
    </row>
    <row r="14977" spans="60:63" ht="14.25" x14ac:dyDescent="0.2">
      <c r="BH14977" s="25"/>
      <c r="BI14977" s="25"/>
      <c r="BJ14977" s="25"/>
      <c r="BK14977" s="25"/>
    </row>
    <row r="14978" spans="60:63" ht="14.25" x14ac:dyDescent="0.2">
      <c r="BH14978" s="25"/>
      <c r="BI14978" s="25"/>
      <c r="BJ14978" s="25"/>
      <c r="BK14978" s="25"/>
    </row>
    <row r="14979" spans="60:63" ht="14.25" x14ac:dyDescent="0.2">
      <c r="BH14979" s="25"/>
      <c r="BI14979" s="25"/>
      <c r="BJ14979" s="25"/>
      <c r="BK14979" s="25"/>
    </row>
    <row r="14980" spans="60:63" ht="14.25" x14ac:dyDescent="0.2">
      <c r="BH14980" s="25"/>
      <c r="BI14980" s="25"/>
      <c r="BJ14980" s="25"/>
      <c r="BK14980" s="25"/>
    </row>
    <row r="14981" spans="60:63" ht="14.25" x14ac:dyDescent="0.2">
      <c r="BH14981" s="25"/>
      <c r="BI14981" s="25"/>
      <c r="BJ14981" s="25"/>
      <c r="BK14981" s="25"/>
    </row>
    <row r="14982" spans="60:63" ht="14.25" x14ac:dyDescent="0.2">
      <c r="BH14982" s="25"/>
      <c r="BI14982" s="25"/>
      <c r="BJ14982" s="25"/>
      <c r="BK14982" s="25"/>
    </row>
    <row r="14983" spans="60:63" ht="14.25" x14ac:dyDescent="0.2">
      <c r="BH14983" s="25"/>
      <c r="BI14983" s="25"/>
      <c r="BJ14983" s="25"/>
      <c r="BK14983" s="25"/>
    </row>
    <row r="14984" spans="60:63" ht="14.25" x14ac:dyDescent="0.2">
      <c r="BH14984" s="25"/>
      <c r="BI14984" s="25"/>
      <c r="BJ14984" s="25"/>
      <c r="BK14984" s="25"/>
    </row>
    <row r="14985" spans="60:63" ht="14.25" x14ac:dyDescent="0.2">
      <c r="BH14985" s="25"/>
      <c r="BI14985" s="25"/>
      <c r="BJ14985" s="25"/>
      <c r="BK14985" s="25"/>
    </row>
    <row r="14986" spans="60:63" ht="14.25" x14ac:dyDescent="0.2">
      <c r="BH14986" s="25"/>
      <c r="BI14986" s="25"/>
      <c r="BJ14986" s="25"/>
      <c r="BK14986" s="25"/>
    </row>
    <row r="14987" spans="60:63" ht="14.25" x14ac:dyDescent="0.2">
      <c r="BH14987" s="25"/>
      <c r="BI14987" s="25"/>
      <c r="BJ14987" s="25"/>
      <c r="BK14987" s="25"/>
    </row>
    <row r="14988" spans="60:63" ht="14.25" x14ac:dyDescent="0.2">
      <c r="BH14988" s="25"/>
      <c r="BI14988" s="25"/>
      <c r="BJ14988" s="25"/>
      <c r="BK14988" s="25"/>
    </row>
    <row r="14989" spans="60:63" ht="14.25" x14ac:dyDescent="0.2">
      <c r="BH14989" s="25"/>
      <c r="BI14989" s="25"/>
      <c r="BJ14989" s="25"/>
      <c r="BK14989" s="25"/>
    </row>
    <row r="14990" spans="60:63" ht="14.25" x14ac:dyDescent="0.2">
      <c r="BH14990" s="25"/>
      <c r="BI14990" s="25"/>
      <c r="BJ14990" s="25"/>
      <c r="BK14990" s="25"/>
    </row>
    <row r="14991" spans="60:63" ht="14.25" x14ac:dyDescent="0.2">
      <c r="BH14991" s="25"/>
      <c r="BI14991" s="25"/>
      <c r="BJ14991" s="25"/>
      <c r="BK14991" s="25"/>
    </row>
    <row r="14992" spans="60:63" ht="14.25" x14ac:dyDescent="0.2">
      <c r="BH14992" s="25"/>
      <c r="BI14992" s="25"/>
      <c r="BJ14992" s="25"/>
      <c r="BK14992" s="25"/>
    </row>
    <row r="14993" spans="60:63" ht="14.25" x14ac:dyDescent="0.2">
      <c r="BH14993" s="25"/>
      <c r="BI14993" s="25"/>
      <c r="BJ14993" s="25"/>
      <c r="BK14993" s="25"/>
    </row>
    <row r="14994" spans="60:63" ht="14.25" x14ac:dyDescent="0.2">
      <c r="BH14994" s="25"/>
      <c r="BI14994" s="25"/>
      <c r="BJ14994" s="25"/>
      <c r="BK14994" s="25"/>
    </row>
    <row r="14995" spans="60:63" ht="14.25" x14ac:dyDescent="0.2">
      <c r="BH14995" s="25"/>
      <c r="BI14995" s="25"/>
      <c r="BJ14995" s="25"/>
      <c r="BK14995" s="25"/>
    </row>
    <row r="14996" spans="60:63" ht="14.25" x14ac:dyDescent="0.2">
      <c r="BH14996" s="25"/>
      <c r="BI14996" s="25"/>
      <c r="BJ14996" s="25"/>
      <c r="BK14996" s="25"/>
    </row>
    <row r="14997" spans="60:63" ht="14.25" x14ac:dyDescent="0.2">
      <c r="BH14997" s="25"/>
      <c r="BI14997" s="25"/>
      <c r="BJ14997" s="25"/>
      <c r="BK14997" s="25"/>
    </row>
    <row r="14998" spans="60:63" ht="14.25" x14ac:dyDescent="0.2">
      <c r="BH14998" s="25"/>
      <c r="BI14998" s="25"/>
      <c r="BJ14998" s="25"/>
      <c r="BK14998" s="25"/>
    </row>
    <row r="14999" spans="60:63" ht="14.25" x14ac:dyDescent="0.2">
      <c r="BH14999" s="25"/>
      <c r="BI14999" s="25"/>
      <c r="BJ14999" s="25"/>
      <c r="BK14999" s="25"/>
    </row>
    <row r="15000" spans="60:63" ht="14.25" x14ac:dyDescent="0.2">
      <c r="BH15000" s="25"/>
      <c r="BI15000" s="25"/>
      <c r="BJ15000" s="25"/>
      <c r="BK15000" s="25"/>
    </row>
    <row r="15001" spans="60:63" ht="14.25" x14ac:dyDescent="0.2">
      <c r="BH15001" s="25"/>
      <c r="BI15001" s="25"/>
      <c r="BJ15001" s="25"/>
      <c r="BK15001" s="25"/>
    </row>
    <row r="15002" spans="60:63" ht="14.25" x14ac:dyDescent="0.2">
      <c r="BH15002" s="25"/>
      <c r="BI15002" s="25"/>
      <c r="BJ15002" s="25"/>
      <c r="BK15002" s="25"/>
    </row>
    <row r="15003" spans="60:63" ht="14.25" x14ac:dyDescent="0.2">
      <c r="BH15003" s="25"/>
      <c r="BI15003" s="25"/>
      <c r="BJ15003" s="25"/>
      <c r="BK15003" s="25"/>
    </row>
    <row r="15004" spans="60:63" ht="14.25" x14ac:dyDescent="0.2">
      <c r="BH15004" s="25"/>
      <c r="BI15004" s="25"/>
      <c r="BJ15004" s="25"/>
      <c r="BK15004" s="25"/>
    </row>
    <row r="15005" spans="60:63" ht="14.25" x14ac:dyDescent="0.2">
      <c r="BH15005" s="25"/>
      <c r="BI15005" s="25"/>
      <c r="BJ15005" s="25"/>
      <c r="BK15005" s="25"/>
    </row>
    <row r="15006" spans="60:63" ht="14.25" x14ac:dyDescent="0.2">
      <c r="BH15006" s="25"/>
      <c r="BI15006" s="25"/>
      <c r="BJ15006" s="25"/>
      <c r="BK15006" s="25"/>
    </row>
    <row r="15007" spans="60:63" ht="14.25" x14ac:dyDescent="0.2">
      <c r="BH15007" s="25"/>
      <c r="BI15007" s="25"/>
      <c r="BJ15007" s="25"/>
      <c r="BK15007" s="25"/>
    </row>
    <row r="15008" spans="60:63" ht="14.25" x14ac:dyDescent="0.2">
      <c r="BH15008" s="25"/>
      <c r="BI15008" s="25"/>
      <c r="BJ15008" s="25"/>
      <c r="BK15008" s="25"/>
    </row>
    <row r="15009" spans="60:63" ht="14.25" x14ac:dyDescent="0.2">
      <c r="BH15009" s="25"/>
      <c r="BI15009" s="25"/>
      <c r="BJ15009" s="25"/>
      <c r="BK15009" s="25"/>
    </row>
    <row r="15010" spans="60:63" ht="14.25" x14ac:dyDescent="0.2">
      <c r="BH15010" s="25"/>
      <c r="BI15010" s="25"/>
      <c r="BJ15010" s="25"/>
      <c r="BK15010" s="25"/>
    </row>
    <row r="15011" spans="60:63" ht="14.25" x14ac:dyDescent="0.2">
      <c r="BH15011" s="25"/>
      <c r="BI15011" s="25"/>
      <c r="BJ15011" s="25"/>
      <c r="BK15011" s="25"/>
    </row>
    <row r="15012" spans="60:63" ht="14.25" x14ac:dyDescent="0.2">
      <c r="BH15012" s="25"/>
      <c r="BI15012" s="25"/>
      <c r="BJ15012" s="25"/>
      <c r="BK15012" s="25"/>
    </row>
    <row r="15013" spans="60:63" ht="14.25" x14ac:dyDescent="0.2">
      <c r="BH15013" s="25"/>
      <c r="BI15013" s="25"/>
      <c r="BJ15013" s="25"/>
      <c r="BK15013" s="25"/>
    </row>
    <row r="15014" spans="60:63" ht="14.25" x14ac:dyDescent="0.2">
      <c r="BH15014" s="25"/>
      <c r="BI15014" s="25"/>
      <c r="BJ15014" s="25"/>
      <c r="BK15014" s="25"/>
    </row>
    <row r="15015" spans="60:63" ht="14.25" x14ac:dyDescent="0.2">
      <c r="BH15015" s="25"/>
      <c r="BI15015" s="25"/>
      <c r="BJ15015" s="25"/>
      <c r="BK15015" s="25"/>
    </row>
    <row r="15016" spans="60:63" ht="14.25" x14ac:dyDescent="0.2">
      <c r="BH15016" s="25"/>
      <c r="BI15016" s="25"/>
      <c r="BJ15016" s="25"/>
      <c r="BK15016" s="25"/>
    </row>
    <row r="15017" spans="60:63" ht="14.25" x14ac:dyDescent="0.2">
      <c r="BH15017" s="25"/>
      <c r="BI15017" s="25"/>
      <c r="BJ15017" s="25"/>
      <c r="BK15017" s="25"/>
    </row>
    <row r="15018" spans="60:63" ht="14.25" x14ac:dyDescent="0.2">
      <c r="BH15018" s="25"/>
      <c r="BI15018" s="25"/>
      <c r="BJ15018" s="25"/>
      <c r="BK15018" s="25"/>
    </row>
    <row r="15019" spans="60:63" ht="14.25" x14ac:dyDescent="0.2">
      <c r="BH15019" s="25"/>
      <c r="BI15019" s="25"/>
      <c r="BJ15019" s="25"/>
      <c r="BK15019" s="25"/>
    </row>
    <row r="15020" spans="60:63" ht="14.25" x14ac:dyDescent="0.2">
      <c r="BH15020" s="25"/>
      <c r="BI15020" s="25"/>
      <c r="BJ15020" s="25"/>
      <c r="BK15020" s="25"/>
    </row>
    <row r="15021" spans="60:63" ht="14.25" x14ac:dyDescent="0.2">
      <c r="BH15021" s="25"/>
      <c r="BI15021" s="25"/>
      <c r="BJ15021" s="25"/>
      <c r="BK15021" s="25"/>
    </row>
    <row r="15022" spans="60:63" ht="14.25" x14ac:dyDescent="0.2">
      <c r="BH15022" s="25"/>
      <c r="BI15022" s="25"/>
      <c r="BJ15022" s="25"/>
      <c r="BK15022" s="25"/>
    </row>
    <row r="15023" spans="60:63" ht="14.25" x14ac:dyDescent="0.2">
      <c r="BH15023" s="25"/>
      <c r="BI15023" s="25"/>
      <c r="BJ15023" s="25"/>
      <c r="BK15023" s="25"/>
    </row>
    <row r="15024" spans="60:63" ht="14.25" x14ac:dyDescent="0.2">
      <c r="BH15024" s="25"/>
      <c r="BI15024" s="25"/>
      <c r="BJ15024" s="25"/>
      <c r="BK15024" s="25"/>
    </row>
    <row r="15025" spans="60:63" ht="14.25" x14ac:dyDescent="0.2">
      <c r="BH15025" s="25"/>
      <c r="BI15025" s="25"/>
      <c r="BJ15025" s="25"/>
      <c r="BK15025" s="25"/>
    </row>
    <row r="15026" spans="60:63" ht="14.25" x14ac:dyDescent="0.2">
      <c r="BH15026" s="25"/>
      <c r="BI15026" s="25"/>
      <c r="BJ15026" s="25"/>
      <c r="BK15026" s="25"/>
    </row>
    <row r="15027" spans="60:63" ht="14.25" x14ac:dyDescent="0.2">
      <c r="BH15027" s="25"/>
      <c r="BI15027" s="25"/>
      <c r="BJ15027" s="25"/>
      <c r="BK15027" s="25"/>
    </row>
    <row r="15028" spans="60:63" ht="14.25" x14ac:dyDescent="0.2">
      <c r="BH15028" s="25"/>
      <c r="BI15028" s="25"/>
      <c r="BJ15028" s="25"/>
      <c r="BK15028" s="25"/>
    </row>
    <row r="15029" spans="60:63" ht="14.25" x14ac:dyDescent="0.2">
      <c r="BH15029" s="25"/>
      <c r="BI15029" s="25"/>
      <c r="BJ15029" s="25"/>
      <c r="BK15029" s="25"/>
    </row>
    <row r="15030" spans="60:63" ht="14.25" x14ac:dyDescent="0.2">
      <c r="BH15030" s="25"/>
      <c r="BI15030" s="25"/>
      <c r="BJ15030" s="25"/>
      <c r="BK15030" s="25"/>
    </row>
    <row r="15031" spans="60:63" ht="14.25" x14ac:dyDescent="0.2">
      <c r="BH15031" s="25"/>
      <c r="BI15031" s="25"/>
      <c r="BJ15031" s="25"/>
      <c r="BK15031" s="25"/>
    </row>
    <row r="15032" spans="60:63" ht="14.25" x14ac:dyDescent="0.2">
      <c r="BH15032" s="25"/>
      <c r="BI15032" s="25"/>
      <c r="BJ15032" s="25"/>
      <c r="BK15032" s="25"/>
    </row>
    <row r="15033" spans="60:63" ht="14.25" x14ac:dyDescent="0.2">
      <c r="BH15033" s="25"/>
      <c r="BI15033" s="25"/>
      <c r="BJ15033" s="25"/>
      <c r="BK15033" s="25"/>
    </row>
    <row r="15034" spans="60:63" ht="14.25" x14ac:dyDescent="0.2">
      <c r="BH15034" s="25"/>
      <c r="BI15034" s="25"/>
      <c r="BJ15034" s="25"/>
      <c r="BK15034" s="25"/>
    </row>
    <row r="15035" spans="60:63" ht="14.25" x14ac:dyDescent="0.2">
      <c r="BH15035" s="25"/>
      <c r="BI15035" s="25"/>
      <c r="BJ15035" s="25"/>
      <c r="BK15035" s="25"/>
    </row>
    <row r="15036" spans="60:63" ht="14.25" x14ac:dyDescent="0.2">
      <c r="BH15036" s="25"/>
      <c r="BI15036" s="25"/>
      <c r="BJ15036" s="25"/>
      <c r="BK15036" s="25"/>
    </row>
    <row r="15037" spans="60:63" ht="14.25" x14ac:dyDescent="0.2">
      <c r="BH15037" s="25"/>
      <c r="BI15037" s="25"/>
      <c r="BJ15037" s="25"/>
      <c r="BK15037" s="25"/>
    </row>
    <row r="15038" spans="60:63" ht="14.25" x14ac:dyDescent="0.2">
      <c r="BH15038" s="25"/>
      <c r="BI15038" s="25"/>
      <c r="BJ15038" s="25"/>
      <c r="BK15038" s="25"/>
    </row>
    <row r="15039" spans="60:63" ht="14.25" x14ac:dyDescent="0.2">
      <c r="BH15039" s="25"/>
      <c r="BI15039" s="25"/>
      <c r="BJ15039" s="25"/>
      <c r="BK15039" s="25"/>
    </row>
    <row r="15040" spans="60:63" ht="14.25" x14ac:dyDescent="0.2">
      <c r="BH15040" s="25"/>
      <c r="BI15040" s="25"/>
      <c r="BJ15040" s="25"/>
      <c r="BK15040" s="25"/>
    </row>
    <row r="15041" spans="60:63" ht="14.25" x14ac:dyDescent="0.2">
      <c r="BH15041" s="25"/>
      <c r="BI15041" s="25"/>
      <c r="BJ15041" s="25"/>
      <c r="BK15041" s="25"/>
    </row>
    <row r="15042" spans="60:63" ht="14.25" x14ac:dyDescent="0.2">
      <c r="BH15042" s="25"/>
      <c r="BI15042" s="25"/>
      <c r="BJ15042" s="25"/>
      <c r="BK15042" s="25"/>
    </row>
    <row r="15043" spans="60:63" ht="14.25" x14ac:dyDescent="0.2">
      <c r="BH15043" s="25"/>
      <c r="BI15043" s="25"/>
      <c r="BJ15043" s="25"/>
      <c r="BK15043" s="25"/>
    </row>
    <row r="15044" spans="60:63" ht="14.25" x14ac:dyDescent="0.2">
      <c r="BH15044" s="25"/>
      <c r="BI15044" s="25"/>
      <c r="BJ15044" s="25"/>
      <c r="BK15044" s="25"/>
    </row>
    <row r="15045" spans="60:63" ht="14.25" x14ac:dyDescent="0.2">
      <c r="BH15045" s="25"/>
      <c r="BI15045" s="25"/>
      <c r="BJ15045" s="25"/>
      <c r="BK15045" s="25"/>
    </row>
    <row r="15046" spans="60:63" ht="14.25" x14ac:dyDescent="0.2">
      <c r="BH15046" s="25"/>
      <c r="BI15046" s="25"/>
      <c r="BJ15046" s="25"/>
      <c r="BK15046" s="25"/>
    </row>
    <row r="15047" spans="60:63" ht="14.25" x14ac:dyDescent="0.2">
      <c r="BH15047" s="25"/>
      <c r="BI15047" s="25"/>
      <c r="BJ15047" s="25"/>
      <c r="BK15047" s="25"/>
    </row>
    <row r="15048" spans="60:63" ht="14.25" x14ac:dyDescent="0.2">
      <c r="BH15048" s="25"/>
      <c r="BI15048" s="25"/>
      <c r="BJ15048" s="25"/>
      <c r="BK15048" s="25"/>
    </row>
    <row r="15049" spans="60:63" ht="14.25" x14ac:dyDescent="0.2">
      <c r="BH15049" s="25"/>
      <c r="BI15049" s="25"/>
      <c r="BJ15049" s="25"/>
      <c r="BK15049" s="25"/>
    </row>
    <row r="15050" spans="60:63" ht="14.25" x14ac:dyDescent="0.2">
      <c r="BH15050" s="25"/>
      <c r="BI15050" s="25"/>
      <c r="BJ15050" s="25"/>
      <c r="BK15050" s="25"/>
    </row>
    <row r="15051" spans="60:63" ht="14.25" x14ac:dyDescent="0.2">
      <c r="BH15051" s="25"/>
      <c r="BI15051" s="25"/>
      <c r="BJ15051" s="25"/>
      <c r="BK15051" s="25"/>
    </row>
    <row r="15052" spans="60:63" ht="14.25" x14ac:dyDescent="0.2">
      <c r="BH15052" s="25"/>
      <c r="BI15052" s="25"/>
      <c r="BJ15052" s="25"/>
      <c r="BK15052" s="25"/>
    </row>
    <row r="15053" spans="60:63" ht="14.25" x14ac:dyDescent="0.2">
      <c r="BH15053" s="25"/>
      <c r="BI15053" s="25"/>
      <c r="BJ15053" s="25"/>
      <c r="BK15053" s="25"/>
    </row>
    <row r="15054" spans="60:63" ht="14.25" x14ac:dyDescent="0.2">
      <c r="BH15054" s="25"/>
      <c r="BI15054" s="25"/>
      <c r="BJ15054" s="25"/>
      <c r="BK15054" s="25"/>
    </row>
    <row r="15055" spans="60:63" ht="14.25" x14ac:dyDescent="0.2">
      <c r="BH15055" s="25"/>
      <c r="BI15055" s="25"/>
      <c r="BJ15055" s="25"/>
      <c r="BK15055" s="25"/>
    </row>
    <row r="15056" spans="60:63" ht="14.25" x14ac:dyDescent="0.2">
      <c r="BH15056" s="25"/>
      <c r="BI15056" s="25"/>
      <c r="BJ15056" s="25"/>
      <c r="BK15056" s="25"/>
    </row>
    <row r="15057" spans="60:63" ht="14.25" x14ac:dyDescent="0.2">
      <c r="BH15057" s="25"/>
      <c r="BI15057" s="25"/>
      <c r="BJ15057" s="25"/>
      <c r="BK15057" s="25"/>
    </row>
    <row r="15058" spans="60:63" ht="14.25" x14ac:dyDescent="0.2">
      <c r="BH15058" s="25"/>
      <c r="BI15058" s="25"/>
      <c r="BJ15058" s="25"/>
      <c r="BK15058" s="25"/>
    </row>
    <row r="15059" spans="60:63" ht="14.25" x14ac:dyDescent="0.2">
      <c r="BH15059" s="25"/>
      <c r="BI15059" s="25"/>
      <c r="BJ15059" s="25"/>
      <c r="BK15059" s="25"/>
    </row>
    <row r="15060" spans="60:63" ht="14.25" x14ac:dyDescent="0.2">
      <c r="BH15060" s="25"/>
      <c r="BI15060" s="25"/>
      <c r="BJ15060" s="25"/>
      <c r="BK15060" s="25"/>
    </row>
    <row r="15061" spans="60:63" ht="14.25" x14ac:dyDescent="0.2">
      <c r="BH15061" s="25"/>
      <c r="BI15061" s="25"/>
      <c r="BJ15061" s="25"/>
      <c r="BK15061" s="25"/>
    </row>
    <row r="15062" spans="60:63" ht="14.25" x14ac:dyDescent="0.2">
      <c r="BH15062" s="25"/>
      <c r="BI15062" s="25"/>
      <c r="BJ15062" s="25"/>
      <c r="BK15062" s="25"/>
    </row>
    <row r="15063" spans="60:63" ht="14.25" x14ac:dyDescent="0.2">
      <c r="BH15063" s="25"/>
      <c r="BI15063" s="25"/>
      <c r="BJ15063" s="25"/>
      <c r="BK15063" s="25"/>
    </row>
    <row r="15064" spans="60:63" ht="14.25" x14ac:dyDescent="0.2">
      <c r="BH15064" s="25"/>
      <c r="BI15064" s="25"/>
      <c r="BJ15064" s="25"/>
      <c r="BK15064" s="25"/>
    </row>
    <row r="15065" spans="60:63" ht="14.25" x14ac:dyDescent="0.2">
      <c r="BH15065" s="25"/>
      <c r="BI15065" s="25"/>
      <c r="BJ15065" s="25"/>
      <c r="BK15065" s="25"/>
    </row>
    <row r="15066" spans="60:63" ht="14.25" x14ac:dyDescent="0.2">
      <c r="BH15066" s="25"/>
      <c r="BI15066" s="25"/>
      <c r="BJ15066" s="25"/>
      <c r="BK15066" s="25"/>
    </row>
    <row r="15067" spans="60:63" ht="14.25" x14ac:dyDescent="0.2">
      <c r="BH15067" s="25"/>
      <c r="BI15067" s="25"/>
      <c r="BJ15067" s="25"/>
      <c r="BK15067" s="25"/>
    </row>
    <row r="15068" spans="60:63" ht="14.25" x14ac:dyDescent="0.2">
      <c r="BH15068" s="25"/>
      <c r="BI15068" s="25"/>
      <c r="BJ15068" s="25"/>
      <c r="BK15068" s="25"/>
    </row>
    <row r="15069" spans="60:63" ht="14.25" x14ac:dyDescent="0.2">
      <c r="BH15069" s="25"/>
      <c r="BI15069" s="25"/>
      <c r="BJ15069" s="25"/>
      <c r="BK15069" s="25"/>
    </row>
    <row r="15070" spans="60:63" ht="14.25" x14ac:dyDescent="0.2">
      <c r="BH15070" s="25"/>
      <c r="BI15070" s="25"/>
      <c r="BJ15070" s="25"/>
      <c r="BK15070" s="25"/>
    </row>
    <row r="15071" spans="60:63" ht="14.25" x14ac:dyDescent="0.2">
      <c r="BH15071" s="25"/>
      <c r="BI15071" s="25"/>
      <c r="BJ15071" s="25"/>
      <c r="BK15071" s="25"/>
    </row>
    <row r="15072" spans="60:63" ht="14.25" x14ac:dyDescent="0.2">
      <c r="BH15072" s="25"/>
      <c r="BI15072" s="25"/>
      <c r="BJ15072" s="25"/>
      <c r="BK15072" s="25"/>
    </row>
    <row r="15073" spans="60:63" ht="14.25" x14ac:dyDescent="0.2">
      <c r="BH15073" s="25"/>
      <c r="BI15073" s="25"/>
      <c r="BJ15073" s="25"/>
      <c r="BK15073" s="25"/>
    </row>
    <row r="15074" spans="60:63" ht="14.25" x14ac:dyDescent="0.2">
      <c r="BH15074" s="25"/>
      <c r="BI15074" s="25"/>
      <c r="BJ15074" s="25"/>
      <c r="BK15074" s="25"/>
    </row>
    <row r="15075" spans="60:63" ht="14.25" x14ac:dyDescent="0.2">
      <c r="BH15075" s="25"/>
      <c r="BI15075" s="25"/>
      <c r="BJ15075" s="25"/>
      <c r="BK15075" s="25"/>
    </row>
    <row r="15076" spans="60:63" ht="14.25" x14ac:dyDescent="0.2">
      <c r="BH15076" s="25"/>
      <c r="BI15076" s="25"/>
      <c r="BJ15076" s="25"/>
      <c r="BK15076" s="25"/>
    </row>
    <row r="15077" spans="60:63" ht="14.25" x14ac:dyDescent="0.2">
      <c r="BH15077" s="25"/>
      <c r="BI15077" s="25"/>
      <c r="BJ15077" s="25"/>
      <c r="BK15077" s="25"/>
    </row>
    <row r="15078" spans="60:63" ht="14.25" x14ac:dyDescent="0.2">
      <c r="BH15078" s="25"/>
      <c r="BI15078" s="25"/>
      <c r="BJ15078" s="25"/>
      <c r="BK15078" s="25"/>
    </row>
    <row r="15079" spans="60:63" ht="14.25" x14ac:dyDescent="0.2">
      <c r="BH15079" s="25"/>
      <c r="BI15079" s="25"/>
      <c r="BJ15079" s="25"/>
      <c r="BK15079" s="25"/>
    </row>
    <row r="15080" spans="60:63" ht="14.25" x14ac:dyDescent="0.2">
      <c r="BH15080" s="25"/>
      <c r="BI15080" s="25"/>
      <c r="BJ15080" s="25"/>
      <c r="BK15080" s="25"/>
    </row>
    <row r="15081" spans="60:63" ht="14.25" x14ac:dyDescent="0.2">
      <c r="BH15081" s="25"/>
      <c r="BI15081" s="25"/>
      <c r="BJ15081" s="25"/>
      <c r="BK15081" s="25"/>
    </row>
    <row r="15082" spans="60:63" ht="14.25" x14ac:dyDescent="0.2">
      <c r="BH15082" s="25"/>
      <c r="BI15082" s="25"/>
      <c r="BJ15082" s="25"/>
      <c r="BK15082" s="25"/>
    </row>
    <row r="15083" spans="60:63" ht="14.25" x14ac:dyDescent="0.2">
      <c r="BH15083" s="25"/>
      <c r="BI15083" s="25"/>
      <c r="BJ15083" s="25"/>
      <c r="BK15083" s="25"/>
    </row>
    <row r="15084" spans="60:63" ht="14.25" x14ac:dyDescent="0.2">
      <c r="BH15084" s="25"/>
      <c r="BI15084" s="25"/>
      <c r="BJ15084" s="25"/>
      <c r="BK15084" s="25"/>
    </row>
    <row r="15085" spans="60:63" ht="14.25" x14ac:dyDescent="0.2">
      <c r="BH15085" s="25"/>
      <c r="BI15085" s="25"/>
      <c r="BJ15085" s="25"/>
      <c r="BK15085" s="25"/>
    </row>
    <row r="15086" spans="60:63" ht="14.25" x14ac:dyDescent="0.2">
      <c r="BH15086" s="25"/>
      <c r="BI15086" s="25"/>
      <c r="BJ15086" s="25"/>
      <c r="BK15086" s="25"/>
    </row>
    <row r="15087" spans="60:63" ht="14.25" x14ac:dyDescent="0.2">
      <c r="BH15087" s="25"/>
      <c r="BI15087" s="25"/>
      <c r="BJ15087" s="25"/>
      <c r="BK15087" s="25"/>
    </row>
    <row r="15088" spans="60:63" ht="14.25" x14ac:dyDescent="0.2">
      <c r="BH15088" s="25"/>
      <c r="BI15088" s="25"/>
      <c r="BJ15088" s="25"/>
      <c r="BK15088" s="25"/>
    </row>
    <row r="15089" spans="60:63" ht="14.25" x14ac:dyDescent="0.2">
      <c r="BH15089" s="25"/>
      <c r="BI15089" s="25"/>
      <c r="BJ15089" s="25"/>
      <c r="BK15089" s="25"/>
    </row>
    <row r="15090" spans="60:63" ht="14.25" x14ac:dyDescent="0.2">
      <c r="BH15090" s="25"/>
      <c r="BI15090" s="25"/>
      <c r="BJ15090" s="25"/>
      <c r="BK15090" s="25"/>
    </row>
    <row r="15091" spans="60:63" ht="14.25" x14ac:dyDescent="0.2">
      <c r="BH15091" s="25"/>
      <c r="BI15091" s="25"/>
      <c r="BJ15091" s="25"/>
      <c r="BK15091" s="25"/>
    </row>
    <row r="15092" spans="60:63" ht="14.25" x14ac:dyDescent="0.2">
      <c r="BH15092" s="25"/>
      <c r="BI15092" s="25"/>
      <c r="BJ15092" s="25"/>
      <c r="BK15092" s="25"/>
    </row>
    <row r="15093" spans="60:63" ht="14.25" x14ac:dyDescent="0.2">
      <c r="BH15093" s="25"/>
      <c r="BI15093" s="25"/>
      <c r="BJ15093" s="25"/>
      <c r="BK15093" s="25"/>
    </row>
    <row r="15094" spans="60:63" ht="14.25" x14ac:dyDescent="0.2">
      <c r="BH15094" s="25"/>
      <c r="BI15094" s="25"/>
      <c r="BJ15094" s="25"/>
      <c r="BK15094" s="25"/>
    </row>
    <row r="15095" spans="60:63" ht="14.25" x14ac:dyDescent="0.2">
      <c r="BH15095" s="25"/>
      <c r="BI15095" s="25"/>
      <c r="BJ15095" s="25"/>
      <c r="BK15095" s="25"/>
    </row>
    <row r="15096" spans="60:63" ht="14.25" x14ac:dyDescent="0.2">
      <c r="BH15096" s="25"/>
      <c r="BI15096" s="25"/>
      <c r="BJ15096" s="25"/>
      <c r="BK15096" s="25"/>
    </row>
    <row r="15097" spans="60:63" ht="14.25" x14ac:dyDescent="0.2">
      <c r="BH15097" s="25"/>
      <c r="BI15097" s="25"/>
      <c r="BJ15097" s="25"/>
      <c r="BK15097" s="25"/>
    </row>
    <row r="15098" spans="60:63" ht="14.25" x14ac:dyDescent="0.2">
      <c r="BH15098" s="25"/>
      <c r="BI15098" s="25"/>
      <c r="BJ15098" s="25"/>
      <c r="BK15098" s="25"/>
    </row>
    <row r="15099" spans="60:63" ht="14.25" x14ac:dyDescent="0.2">
      <c r="BH15099" s="25"/>
      <c r="BI15099" s="25"/>
      <c r="BJ15099" s="25"/>
      <c r="BK15099" s="25"/>
    </row>
    <row r="15100" spans="60:63" ht="14.25" x14ac:dyDescent="0.2">
      <c r="BH15100" s="25"/>
      <c r="BI15100" s="25"/>
      <c r="BJ15100" s="25"/>
      <c r="BK15100" s="25"/>
    </row>
    <row r="15101" spans="60:63" ht="14.25" x14ac:dyDescent="0.2">
      <c r="BH15101" s="25"/>
      <c r="BI15101" s="25"/>
      <c r="BJ15101" s="25"/>
      <c r="BK15101" s="25"/>
    </row>
    <row r="15102" spans="60:63" ht="14.25" x14ac:dyDescent="0.2">
      <c r="BH15102" s="25"/>
      <c r="BI15102" s="25"/>
      <c r="BJ15102" s="25"/>
      <c r="BK15102" s="25"/>
    </row>
    <row r="15103" spans="60:63" ht="14.25" x14ac:dyDescent="0.2">
      <c r="BH15103" s="25"/>
      <c r="BI15103" s="25"/>
      <c r="BJ15103" s="25"/>
      <c r="BK15103" s="25"/>
    </row>
    <row r="15104" spans="60:63" ht="14.25" x14ac:dyDescent="0.2">
      <c r="BH15104" s="25"/>
      <c r="BI15104" s="25"/>
      <c r="BJ15104" s="25"/>
      <c r="BK15104" s="25"/>
    </row>
    <row r="15105" spans="60:63" ht="14.25" x14ac:dyDescent="0.2">
      <c r="BH15105" s="25"/>
      <c r="BI15105" s="25"/>
      <c r="BJ15105" s="25"/>
      <c r="BK15105" s="25"/>
    </row>
    <row r="15106" spans="60:63" ht="14.25" x14ac:dyDescent="0.2">
      <c r="BH15106" s="25"/>
      <c r="BI15106" s="25"/>
      <c r="BJ15106" s="25"/>
      <c r="BK15106" s="25"/>
    </row>
    <row r="15107" spans="60:63" ht="14.25" x14ac:dyDescent="0.2">
      <c r="BH15107" s="25"/>
      <c r="BI15107" s="25"/>
      <c r="BJ15107" s="25"/>
      <c r="BK15107" s="25"/>
    </row>
    <row r="15108" spans="60:63" ht="14.25" x14ac:dyDescent="0.2">
      <c r="BH15108" s="25"/>
      <c r="BI15108" s="25"/>
      <c r="BJ15108" s="25"/>
      <c r="BK15108" s="25"/>
    </row>
    <row r="15109" spans="60:63" ht="14.25" x14ac:dyDescent="0.2">
      <c r="BH15109" s="25"/>
      <c r="BI15109" s="25"/>
      <c r="BJ15109" s="25"/>
      <c r="BK15109" s="25"/>
    </row>
    <row r="15110" spans="60:63" ht="14.25" x14ac:dyDescent="0.2">
      <c r="BH15110" s="25"/>
      <c r="BI15110" s="25"/>
      <c r="BJ15110" s="25"/>
      <c r="BK15110" s="25"/>
    </row>
    <row r="15111" spans="60:63" ht="14.25" x14ac:dyDescent="0.2">
      <c r="BH15111" s="25"/>
      <c r="BI15111" s="25"/>
      <c r="BJ15111" s="25"/>
      <c r="BK15111" s="25"/>
    </row>
    <row r="15112" spans="60:63" ht="14.25" x14ac:dyDescent="0.2">
      <c r="BH15112" s="25"/>
      <c r="BI15112" s="25"/>
      <c r="BJ15112" s="25"/>
      <c r="BK15112" s="25"/>
    </row>
    <row r="15113" spans="60:63" ht="14.25" x14ac:dyDescent="0.2">
      <c r="BH15113" s="25"/>
      <c r="BI15113" s="25"/>
      <c r="BJ15113" s="25"/>
      <c r="BK15113" s="25"/>
    </row>
    <row r="15114" spans="60:63" ht="14.25" x14ac:dyDescent="0.2">
      <c r="BH15114" s="25"/>
      <c r="BI15114" s="25"/>
      <c r="BJ15114" s="25"/>
      <c r="BK15114" s="25"/>
    </row>
    <row r="15115" spans="60:63" ht="14.25" x14ac:dyDescent="0.2">
      <c r="BH15115" s="25"/>
      <c r="BI15115" s="25"/>
      <c r="BJ15115" s="25"/>
      <c r="BK15115" s="25"/>
    </row>
    <row r="15116" spans="60:63" ht="14.25" x14ac:dyDescent="0.2">
      <c r="BH15116" s="25"/>
      <c r="BI15116" s="25"/>
      <c r="BJ15116" s="25"/>
      <c r="BK15116" s="25"/>
    </row>
    <row r="15117" spans="60:63" ht="14.25" x14ac:dyDescent="0.2">
      <c r="BH15117" s="25"/>
      <c r="BI15117" s="25"/>
      <c r="BJ15117" s="25"/>
      <c r="BK15117" s="25"/>
    </row>
    <row r="15118" spans="60:63" ht="14.25" x14ac:dyDescent="0.2">
      <c r="BH15118" s="25"/>
      <c r="BI15118" s="25"/>
      <c r="BJ15118" s="25"/>
      <c r="BK15118" s="25"/>
    </row>
    <row r="15119" spans="60:63" ht="14.25" x14ac:dyDescent="0.2">
      <c r="BH15119" s="25"/>
      <c r="BI15119" s="25"/>
      <c r="BJ15119" s="25"/>
      <c r="BK15119" s="25"/>
    </row>
    <row r="15120" spans="60:63" ht="14.25" x14ac:dyDescent="0.2">
      <c r="BH15120" s="25"/>
      <c r="BI15120" s="25"/>
      <c r="BJ15120" s="25"/>
      <c r="BK15120" s="25"/>
    </row>
    <row r="15121" spans="60:63" ht="14.25" x14ac:dyDescent="0.2">
      <c r="BH15121" s="25"/>
      <c r="BI15121" s="25"/>
      <c r="BJ15121" s="25"/>
      <c r="BK15121" s="25"/>
    </row>
    <row r="15122" spans="60:63" ht="14.25" x14ac:dyDescent="0.2">
      <c r="BH15122" s="25"/>
      <c r="BI15122" s="25"/>
      <c r="BJ15122" s="25"/>
      <c r="BK15122" s="25"/>
    </row>
    <row r="15123" spans="60:63" ht="14.25" x14ac:dyDescent="0.2">
      <c r="BH15123" s="25"/>
      <c r="BI15123" s="25"/>
      <c r="BJ15123" s="25"/>
      <c r="BK15123" s="25"/>
    </row>
    <row r="15124" spans="60:63" ht="14.25" x14ac:dyDescent="0.2">
      <c r="BH15124" s="25"/>
      <c r="BI15124" s="25"/>
      <c r="BJ15124" s="25"/>
      <c r="BK15124" s="25"/>
    </row>
    <row r="15125" spans="60:63" ht="14.25" x14ac:dyDescent="0.2">
      <c r="BH15125" s="25"/>
      <c r="BI15125" s="25"/>
      <c r="BJ15125" s="25"/>
      <c r="BK15125" s="25"/>
    </row>
    <row r="15126" spans="60:63" ht="14.25" x14ac:dyDescent="0.2">
      <c r="BH15126" s="25"/>
      <c r="BI15126" s="25"/>
      <c r="BJ15126" s="25"/>
      <c r="BK15126" s="25"/>
    </row>
    <row r="15127" spans="60:63" ht="14.25" x14ac:dyDescent="0.2">
      <c r="BH15127" s="25"/>
      <c r="BI15127" s="25"/>
      <c r="BJ15127" s="25"/>
      <c r="BK15127" s="25"/>
    </row>
    <row r="15128" spans="60:63" ht="14.25" x14ac:dyDescent="0.2">
      <c r="BH15128" s="25"/>
      <c r="BI15128" s="25"/>
      <c r="BJ15128" s="25"/>
      <c r="BK15128" s="25"/>
    </row>
    <row r="15129" spans="60:63" ht="14.25" x14ac:dyDescent="0.2">
      <c r="BH15129" s="25"/>
      <c r="BI15129" s="25"/>
      <c r="BJ15129" s="25"/>
      <c r="BK15129" s="25"/>
    </row>
    <row r="15130" spans="60:63" ht="14.25" x14ac:dyDescent="0.2">
      <c r="BH15130" s="25"/>
      <c r="BI15130" s="25"/>
      <c r="BJ15130" s="25"/>
      <c r="BK15130" s="25"/>
    </row>
    <row r="15131" spans="60:63" ht="14.25" x14ac:dyDescent="0.2">
      <c r="BH15131" s="25"/>
      <c r="BI15131" s="25"/>
      <c r="BJ15131" s="25"/>
      <c r="BK15131" s="25"/>
    </row>
    <row r="15132" spans="60:63" ht="14.25" x14ac:dyDescent="0.2">
      <c r="BH15132" s="25"/>
      <c r="BI15132" s="25"/>
      <c r="BJ15132" s="25"/>
      <c r="BK15132" s="25"/>
    </row>
    <row r="15133" spans="60:63" ht="14.25" x14ac:dyDescent="0.2">
      <c r="BH15133" s="25"/>
      <c r="BI15133" s="25"/>
      <c r="BJ15133" s="25"/>
      <c r="BK15133" s="25"/>
    </row>
    <row r="15134" spans="60:63" ht="14.25" x14ac:dyDescent="0.2">
      <c r="BH15134" s="25"/>
      <c r="BI15134" s="25"/>
      <c r="BJ15134" s="25"/>
      <c r="BK15134" s="25"/>
    </row>
    <row r="15135" spans="60:63" ht="14.25" x14ac:dyDescent="0.2">
      <c r="BH15135" s="25"/>
      <c r="BI15135" s="25"/>
      <c r="BJ15135" s="25"/>
      <c r="BK15135" s="25"/>
    </row>
    <row r="15136" spans="60:63" ht="14.25" x14ac:dyDescent="0.2">
      <c r="BH15136" s="25"/>
      <c r="BI15136" s="25"/>
      <c r="BJ15136" s="25"/>
      <c r="BK15136" s="25"/>
    </row>
    <row r="15137" spans="60:63" ht="14.25" x14ac:dyDescent="0.2">
      <c r="BH15137" s="25"/>
      <c r="BI15137" s="25"/>
      <c r="BJ15137" s="25"/>
      <c r="BK15137" s="25"/>
    </row>
    <row r="15138" spans="60:63" ht="14.25" x14ac:dyDescent="0.2">
      <c r="BH15138" s="25"/>
      <c r="BI15138" s="25"/>
      <c r="BJ15138" s="25"/>
      <c r="BK15138" s="25"/>
    </row>
    <row r="15139" spans="60:63" ht="14.25" x14ac:dyDescent="0.2">
      <c r="BH15139" s="25"/>
      <c r="BI15139" s="25"/>
      <c r="BJ15139" s="25"/>
      <c r="BK15139" s="25"/>
    </row>
    <row r="15140" spans="60:63" ht="14.25" x14ac:dyDescent="0.2">
      <c r="BH15140" s="25"/>
      <c r="BI15140" s="25"/>
      <c r="BJ15140" s="25"/>
      <c r="BK15140" s="25"/>
    </row>
    <row r="15141" spans="60:63" ht="14.25" x14ac:dyDescent="0.2">
      <c r="BH15141" s="25"/>
      <c r="BI15141" s="25"/>
      <c r="BJ15141" s="25"/>
      <c r="BK15141" s="25"/>
    </row>
    <row r="15142" spans="60:63" ht="14.25" x14ac:dyDescent="0.2">
      <c r="BH15142" s="25"/>
      <c r="BI15142" s="25"/>
      <c r="BJ15142" s="25"/>
      <c r="BK15142" s="25"/>
    </row>
    <row r="15143" spans="60:63" ht="14.25" x14ac:dyDescent="0.2">
      <c r="BH15143" s="25"/>
      <c r="BI15143" s="25"/>
      <c r="BJ15143" s="25"/>
      <c r="BK15143" s="25"/>
    </row>
    <row r="15144" spans="60:63" ht="14.25" x14ac:dyDescent="0.2">
      <c r="BH15144" s="25"/>
      <c r="BI15144" s="25"/>
      <c r="BJ15144" s="25"/>
      <c r="BK15144" s="25"/>
    </row>
    <row r="15145" spans="60:63" ht="14.25" x14ac:dyDescent="0.2">
      <c r="BH15145" s="25"/>
      <c r="BI15145" s="25"/>
      <c r="BJ15145" s="25"/>
      <c r="BK15145" s="25"/>
    </row>
    <row r="15146" spans="60:63" ht="14.25" x14ac:dyDescent="0.2">
      <c r="BH15146" s="25"/>
      <c r="BI15146" s="25"/>
      <c r="BJ15146" s="25"/>
      <c r="BK15146" s="25"/>
    </row>
    <row r="15147" spans="60:63" ht="14.25" x14ac:dyDescent="0.2">
      <c r="BH15147" s="25"/>
      <c r="BI15147" s="25"/>
      <c r="BJ15147" s="25"/>
      <c r="BK15147" s="25"/>
    </row>
    <row r="15148" spans="60:63" ht="14.25" x14ac:dyDescent="0.2">
      <c r="BH15148" s="25"/>
      <c r="BI15148" s="25"/>
      <c r="BJ15148" s="25"/>
      <c r="BK15148" s="25"/>
    </row>
    <row r="15149" spans="60:63" ht="14.25" x14ac:dyDescent="0.2">
      <c r="BH15149" s="25"/>
      <c r="BI15149" s="25"/>
      <c r="BJ15149" s="25"/>
      <c r="BK15149" s="25"/>
    </row>
    <row r="15150" spans="60:63" ht="14.25" x14ac:dyDescent="0.2">
      <c r="BH15150" s="25"/>
      <c r="BI15150" s="25"/>
      <c r="BJ15150" s="25"/>
      <c r="BK15150" s="25"/>
    </row>
    <row r="15151" spans="60:63" ht="14.25" x14ac:dyDescent="0.2">
      <c r="BH15151" s="25"/>
      <c r="BI15151" s="25"/>
      <c r="BJ15151" s="25"/>
      <c r="BK15151" s="25"/>
    </row>
    <row r="15152" spans="60:63" ht="14.25" x14ac:dyDescent="0.2">
      <c r="BH15152" s="25"/>
      <c r="BI15152" s="25"/>
      <c r="BJ15152" s="25"/>
      <c r="BK15152" s="25"/>
    </row>
    <row r="15153" spans="60:63" ht="14.25" x14ac:dyDescent="0.2">
      <c r="BH15153" s="25"/>
      <c r="BI15153" s="25"/>
      <c r="BJ15153" s="25"/>
      <c r="BK15153" s="25"/>
    </row>
    <row r="15154" spans="60:63" ht="14.25" x14ac:dyDescent="0.2">
      <c r="BH15154" s="25"/>
      <c r="BI15154" s="25"/>
      <c r="BJ15154" s="25"/>
      <c r="BK15154" s="25"/>
    </row>
    <row r="15155" spans="60:63" ht="14.25" x14ac:dyDescent="0.2">
      <c r="BH15155" s="25"/>
      <c r="BI15155" s="25"/>
      <c r="BJ15155" s="25"/>
      <c r="BK15155" s="25"/>
    </row>
    <row r="15156" spans="60:63" ht="14.25" x14ac:dyDescent="0.2">
      <c r="BH15156" s="25"/>
      <c r="BI15156" s="25"/>
      <c r="BJ15156" s="25"/>
      <c r="BK15156" s="25"/>
    </row>
    <row r="15157" spans="60:63" ht="14.25" x14ac:dyDescent="0.2">
      <c r="BH15157" s="25"/>
      <c r="BI15157" s="25"/>
      <c r="BJ15157" s="25"/>
      <c r="BK15157" s="25"/>
    </row>
    <row r="15158" spans="60:63" ht="14.25" x14ac:dyDescent="0.2">
      <c r="BH15158" s="25"/>
      <c r="BI15158" s="25"/>
      <c r="BJ15158" s="25"/>
      <c r="BK15158" s="25"/>
    </row>
    <row r="15159" spans="60:63" ht="14.25" x14ac:dyDescent="0.2">
      <c r="BH15159" s="25"/>
      <c r="BI15159" s="25"/>
      <c r="BJ15159" s="25"/>
      <c r="BK15159" s="25"/>
    </row>
    <row r="15160" spans="60:63" ht="14.25" x14ac:dyDescent="0.2">
      <c r="BH15160" s="25"/>
      <c r="BI15160" s="25"/>
      <c r="BJ15160" s="25"/>
      <c r="BK15160" s="25"/>
    </row>
    <row r="15161" spans="60:63" ht="14.25" x14ac:dyDescent="0.2">
      <c r="BH15161" s="25"/>
      <c r="BI15161" s="25"/>
      <c r="BJ15161" s="25"/>
      <c r="BK15161" s="25"/>
    </row>
    <row r="15162" spans="60:63" ht="14.25" x14ac:dyDescent="0.2">
      <c r="BH15162" s="25"/>
      <c r="BI15162" s="25"/>
      <c r="BJ15162" s="25"/>
      <c r="BK15162" s="25"/>
    </row>
    <row r="15163" spans="60:63" ht="14.25" x14ac:dyDescent="0.2">
      <c r="BH15163" s="25"/>
      <c r="BI15163" s="25"/>
      <c r="BJ15163" s="25"/>
      <c r="BK15163" s="25"/>
    </row>
    <row r="15164" spans="60:63" ht="14.25" x14ac:dyDescent="0.2">
      <c r="BH15164" s="25"/>
      <c r="BI15164" s="25"/>
      <c r="BJ15164" s="25"/>
      <c r="BK15164" s="25"/>
    </row>
    <row r="15165" spans="60:63" ht="14.25" x14ac:dyDescent="0.2">
      <c r="BH15165" s="25"/>
      <c r="BI15165" s="25"/>
      <c r="BJ15165" s="25"/>
      <c r="BK15165" s="25"/>
    </row>
    <row r="15166" spans="60:63" ht="14.25" x14ac:dyDescent="0.2">
      <c r="BH15166" s="25"/>
      <c r="BI15166" s="25"/>
      <c r="BJ15166" s="25"/>
      <c r="BK15166" s="25"/>
    </row>
    <row r="15167" spans="60:63" ht="14.25" x14ac:dyDescent="0.2">
      <c r="BH15167" s="25"/>
      <c r="BI15167" s="25"/>
      <c r="BJ15167" s="25"/>
      <c r="BK15167" s="25"/>
    </row>
    <row r="15168" spans="60:63" ht="14.25" x14ac:dyDescent="0.2">
      <c r="BH15168" s="25"/>
      <c r="BI15168" s="25"/>
      <c r="BJ15168" s="25"/>
      <c r="BK15168" s="25"/>
    </row>
    <row r="15169" spans="60:63" ht="14.25" x14ac:dyDescent="0.2">
      <c r="BH15169" s="25"/>
      <c r="BI15169" s="25"/>
      <c r="BJ15169" s="25"/>
      <c r="BK15169" s="25"/>
    </row>
    <row r="15170" spans="60:63" ht="14.25" x14ac:dyDescent="0.2">
      <c r="BH15170" s="25"/>
      <c r="BI15170" s="25"/>
      <c r="BJ15170" s="25"/>
      <c r="BK15170" s="25"/>
    </row>
    <row r="15171" spans="60:63" ht="14.25" x14ac:dyDescent="0.2">
      <c r="BH15171" s="25"/>
      <c r="BI15171" s="25"/>
      <c r="BJ15171" s="25"/>
      <c r="BK15171" s="25"/>
    </row>
    <row r="15172" spans="60:63" ht="14.25" x14ac:dyDescent="0.2">
      <c r="BH15172" s="25"/>
      <c r="BI15172" s="25"/>
      <c r="BJ15172" s="25"/>
      <c r="BK15172" s="25"/>
    </row>
    <row r="15173" spans="60:63" ht="14.25" x14ac:dyDescent="0.2">
      <c r="BH15173" s="25"/>
      <c r="BI15173" s="25"/>
      <c r="BJ15173" s="25"/>
      <c r="BK15173" s="25"/>
    </row>
    <row r="15174" spans="60:63" ht="14.25" x14ac:dyDescent="0.2">
      <c r="BH15174" s="25"/>
      <c r="BI15174" s="25"/>
      <c r="BJ15174" s="25"/>
      <c r="BK15174" s="25"/>
    </row>
    <row r="15175" spans="60:63" ht="14.25" x14ac:dyDescent="0.2">
      <c r="BH15175" s="25"/>
      <c r="BI15175" s="25"/>
      <c r="BJ15175" s="25"/>
      <c r="BK15175" s="25"/>
    </row>
    <row r="15176" spans="60:63" ht="14.25" x14ac:dyDescent="0.2">
      <c r="BH15176" s="25"/>
      <c r="BI15176" s="25"/>
      <c r="BJ15176" s="25"/>
      <c r="BK15176" s="25"/>
    </row>
    <row r="15177" spans="60:63" ht="14.25" x14ac:dyDescent="0.2">
      <c r="BH15177" s="25"/>
      <c r="BI15177" s="25"/>
      <c r="BJ15177" s="25"/>
      <c r="BK15177" s="25"/>
    </row>
    <row r="15178" spans="60:63" ht="14.25" x14ac:dyDescent="0.2">
      <c r="BH15178" s="25"/>
      <c r="BI15178" s="25"/>
      <c r="BJ15178" s="25"/>
      <c r="BK15178" s="25"/>
    </row>
    <row r="15179" spans="60:63" ht="14.25" x14ac:dyDescent="0.2">
      <c r="BH15179" s="25"/>
      <c r="BI15179" s="25"/>
      <c r="BJ15179" s="25"/>
      <c r="BK15179" s="25"/>
    </row>
    <row r="15180" spans="60:63" ht="14.25" x14ac:dyDescent="0.2">
      <c r="BH15180" s="25"/>
      <c r="BI15180" s="25"/>
      <c r="BJ15180" s="25"/>
      <c r="BK15180" s="25"/>
    </row>
    <row r="15181" spans="60:63" ht="14.25" x14ac:dyDescent="0.2">
      <c r="BH15181" s="25"/>
      <c r="BI15181" s="25"/>
      <c r="BJ15181" s="25"/>
      <c r="BK15181" s="25"/>
    </row>
    <row r="15182" spans="60:63" ht="14.25" x14ac:dyDescent="0.2">
      <c r="BH15182" s="25"/>
      <c r="BI15182" s="25"/>
      <c r="BJ15182" s="25"/>
      <c r="BK15182" s="25"/>
    </row>
    <row r="15183" spans="60:63" ht="14.25" x14ac:dyDescent="0.2">
      <c r="BH15183" s="25"/>
      <c r="BI15183" s="25"/>
      <c r="BJ15183" s="25"/>
      <c r="BK15183" s="25"/>
    </row>
    <row r="15184" spans="60:63" ht="14.25" x14ac:dyDescent="0.2">
      <c r="BH15184" s="25"/>
      <c r="BI15184" s="25"/>
      <c r="BJ15184" s="25"/>
      <c r="BK15184" s="25"/>
    </row>
    <row r="15185" spans="60:63" ht="14.25" x14ac:dyDescent="0.2">
      <c r="BH15185" s="25"/>
      <c r="BI15185" s="25"/>
      <c r="BJ15185" s="25"/>
      <c r="BK15185" s="25"/>
    </row>
    <row r="15186" spans="60:63" ht="14.25" x14ac:dyDescent="0.2">
      <c r="BH15186" s="25"/>
      <c r="BI15186" s="25"/>
      <c r="BJ15186" s="25"/>
      <c r="BK15186" s="25"/>
    </row>
    <row r="15187" spans="60:63" ht="14.25" x14ac:dyDescent="0.2">
      <c r="BH15187" s="25"/>
      <c r="BI15187" s="25"/>
      <c r="BJ15187" s="25"/>
      <c r="BK15187" s="25"/>
    </row>
    <row r="15188" spans="60:63" ht="14.25" x14ac:dyDescent="0.2">
      <c r="BH15188" s="25"/>
      <c r="BI15188" s="25"/>
      <c r="BJ15188" s="25"/>
      <c r="BK15188" s="25"/>
    </row>
    <row r="15189" spans="60:63" ht="14.25" x14ac:dyDescent="0.2">
      <c r="BH15189" s="25"/>
      <c r="BI15189" s="25"/>
      <c r="BJ15189" s="25"/>
      <c r="BK15189" s="25"/>
    </row>
    <row r="15190" spans="60:63" ht="14.25" x14ac:dyDescent="0.2">
      <c r="BH15190" s="25"/>
      <c r="BI15190" s="25"/>
      <c r="BJ15190" s="25"/>
      <c r="BK15190" s="25"/>
    </row>
    <row r="15191" spans="60:63" ht="14.25" x14ac:dyDescent="0.2">
      <c r="BH15191" s="25"/>
      <c r="BI15191" s="25"/>
      <c r="BJ15191" s="25"/>
      <c r="BK15191" s="25"/>
    </row>
    <row r="15192" spans="60:63" ht="14.25" x14ac:dyDescent="0.2">
      <c r="BH15192" s="25"/>
      <c r="BI15192" s="25"/>
      <c r="BJ15192" s="25"/>
      <c r="BK15192" s="25"/>
    </row>
    <row r="15193" spans="60:63" ht="14.25" x14ac:dyDescent="0.2">
      <c r="BH15193" s="25"/>
      <c r="BI15193" s="25"/>
      <c r="BJ15193" s="25"/>
      <c r="BK15193" s="25"/>
    </row>
    <row r="15194" spans="60:63" ht="14.25" x14ac:dyDescent="0.2">
      <c r="BH15194" s="25"/>
      <c r="BI15194" s="25"/>
      <c r="BJ15194" s="25"/>
      <c r="BK15194" s="25"/>
    </row>
    <row r="15195" spans="60:63" ht="14.25" x14ac:dyDescent="0.2">
      <c r="BH15195" s="25"/>
      <c r="BI15195" s="25"/>
      <c r="BJ15195" s="25"/>
      <c r="BK15195" s="25"/>
    </row>
    <row r="15196" spans="60:63" ht="14.25" x14ac:dyDescent="0.2">
      <c r="BH15196" s="25"/>
      <c r="BI15196" s="25"/>
      <c r="BJ15196" s="25"/>
      <c r="BK15196" s="25"/>
    </row>
    <row r="15197" spans="60:63" ht="14.25" x14ac:dyDescent="0.2">
      <c r="BH15197" s="25"/>
      <c r="BI15197" s="25"/>
      <c r="BJ15197" s="25"/>
      <c r="BK15197" s="25"/>
    </row>
    <row r="15198" spans="60:63" ht="14.25" x14ac:dyDescent="0.2">
      <c r="BH15198" s="25"/>
      <c r="BI15198" s="25"/>
      <c r="BJ15198" s="25"/>
      <c r="BK15198" s="25"/>
    </row>
    <row r="15199" spans="60:63" ht="14.25" x14ac:dyDescent="0.2">
      <c r="BH15199" s="25"/>
      <c r="BI15199" s="25"/>
      <c r="BJ15199" s="25"/>
      <c r="BK15199" s="25"/>
    </row>
    <row r="15200" spans="60:63" ht="14.25" x14ac:dyDescent="0.2">
      <c r="BH15200" s="25"/>
      <c r="BI15200" s="25"/>
      <c r="BJ15200" s="25"/>
      <c r="BK15200" s="25"/>
    </row>
    <row r="15201" spans="60:63" ht="14.25" x14ac:dyDescent="0.2">
      <c r="BH15201" s="25"/>
      <c r="BI15201" s="25"/>
      <c r="BJ15201" s="25"/>
      <c r="BK15201" s="25"/>
    </row>
    <row r="15202" spans="60:63" ht="14.25" x14ac:dyDescent="0.2">
      <c r="BH15202" s="25"/>
      <c r="BI15202" s="25"/>
      <c r="BJ15202" s="25"/>
      <c r="BK15202" s="25"/>
    </row>
    <row r="15203" spans="60:63" ht="14.25" x14ac:dyDescent="0.2">
      <c r="BH15203" s="25"/>
      <c r="BI15203" s="25"/>
      <c r="BJ15203" s="25"/>
      <c r="BK15203" s="25"/>
    </row>
    <row r="15204" spans="60:63" ht="14.25" x14ac:dyDescent="0.2">
      <c r="BH15204" s="25"/>
      <c r="BI15204" s="25"/>
      <c r="BJ15204" s="25"/>
      <c r="BK15204" s="25"/>
    </row>
    <row r="15205" spans="60:63" ht="14.25" x14ac:dyDescent="0.2">
      <c r="BH15205" s="25"/>
      <c r="BI15205" s="25"/>
      <c r="BJ15205" s="25"/>
      <c r="BK15205" s="25"/>
    </row>
    <row r="15206" spans="60:63" ht="14.25" x14ac:dyDescent="0.2">
      <c r="BH15206" s="25"/>
      <c r="BI15206" s="25"/>
      <c r="BJ15206" s="25"/>
      <c r="BK15206" s="25"/>
    </row>
    <row r="15207" spans="60:63" ht="14.25" x14ac:dyDescent="0.2">
      <c r="BH15207" s="25"/>
      <c r="BI15207" s="25"/>
      <c r="BJ15207" s="25"/>
      <c r="BK15207" s="25"/>
    </row>
    <row r="15208" spans="60:63" ht="14.25" x14ac:dyDescent="0.2">
      <c r="BH15208" s="25"/>
      <c r="BI15208" s="25"/>
      <c r="BJ15208" s="25"/>
      <c r="BK15208" s="25"/>
    </row>
    <row r="15209" spans="60:63" ht="14.25" x14ac:dyDescent="0.2">
      <c r="BH15209" s="25"/>
      <c r="BI15209" s="25"/>
      <c r="BJ15209" s="25"/>
      <c r="BK15209" s="25"/>
    </row>
    <row r="15210" spans="60:63" ht="14.25" x14ac:dyDescent="0.2">
      <c r="BH15210" s="25"/>
      <c r="BI15210" s="25"/>
      <c r="BJ15210" s="25"/>
      <c r="BK15210" s="25"/>
    </row>
    <row r="15211" spans="60:63" ht="14.25" x14ac:dyDescent="0.2">
      <c r="BH15211" s="25"/>
      <c r="BI15211" s="25"/>
      <c r="BJ15211" s="25"/>
      <c r="BK15211" s="25"/>
    </row>
    <row r="15212" spans="60:63" ht="14.25" x14ac:dyDescent="0.2">
      <c r="BH15212" s="25"/>
      <c r="BI15212" s="25"/>
      <c r="BJ15212" s="25"/>
      <c r="BK15212" s="25"/>
    </row>
    <row r="15213" spans="60:63" ht="14.25" x14ac:dyDescent="0.2">
      <c r="BH15213" s="25"/>
      <c r="BI15213" s="25"/>
      <c r="BJ15213" s="25"/>
      <c r="BK15213" s="25"/>
    </row>
    <row r="15214" spans="60:63" ht="14.25" x14ac:dyDescent="0.2">
      <c r="BH15214" s="25"/>
      <c r="BI15214" s="25"/>
      <c r="BJ15214" s="25"/>
      <c r="BK15214" s="25"/>
    </row>
    <row r="15215" spans="60:63" ht="14.25" x14ac:dyDescent="0.2">
      <c r="BH15215" s="25"/>
      <c r="BI15215" s="25"/>
      <c r="BJ15215" s="25"/>
      <c r="BK15215" s="25"/>
    </row>
    <row r="15216" spans="60:63" ht="14.25" x14ac:dyDescent="0.2">
      <c r="BH15216" s="25"/>
      <c r="BI15216" s="25"/>
      <c r="BJ15216" s="25"/>
      <c r="BK15216" s="25"/>
    </row>
    <row r="15217" spans="60:63" ht="14.25" x14ac:dyDescent="0.2">
      <c r="BH15217" s="25"/>
      <c r="BI15217" s="25"/>
      <c r="BJ15217" s="25"/>
      <c r="BK15217" s="25"/>
    </row>
    <row r="15218" spans="60:63" ht="14.25" x14ac:dyDescent="0.2">
      <c r="BH15218" s="25"/>
      <c r="BI15218" s="25"/>
      <c r="BJ15218" s="25"/>
      <c r="BK15218" s="25"/>
    </row>
    <row r="15219" spans="60:63" ht="14.25" x14ac:dyDescent="0.2">
      <c r="BH15219" s="25"/>
      <c r="BI15219" s="25"/>
      <c r="BJ15219" s="25"/>
      <c r="BK15219" s="25"/>
    </row>
    <row r="15220" spans="60:63" ht="14.25" x14ac:dyDescent="0.2">
      <c r="BH15220" s="25"/>
      <c r="BI15220" s="25"/>
      <c r="BJ15220" s="25"/>
      <c r="BK15220" s="25"/>
    </row>
    <row r="15221" spans="60:63" ht="14.25" x14ac:dyDescent="0.2">
      <c r="BH15221" s="25"/>
      <c r="BI15221" s="25"/>
      <c r="BJ15221" s="25"/>
      <c r="BK15221" s="25"/>
    </row>
    <row r="15222" spans="60:63" ht="14.25" x14ac:dyDescent="0.2">
      <c r="BH15222" s="25"/>
      <c r="BI15222" s="25"/>
      <c r="BJ15222" s="25"/>
      <c r="BK15222" s="25"/>
    </row>
    <row r="15223" spans="60:63" ht="14.25" x14ac:dyDescent="0.2">
      <c r="BH15223" s="25"/>
      <c r="BI15223" s="25"/>
      <c r="BJ15223" s="25"/>
      <c r="BK15223" s="25"/>
    </row>
    <row r="15224" spans="60:63" ht="14.25" x14ac:dyDescent="0.2">
      <c r="BH15224" s="25"/>
      <c r="BI15224" s="25"/>
      <c r="BJ15224" s="25"/>
      <c r="BK15224" s="25"/>
    </row>
    <row r="15225" spans="60:63" ht="14.25" x14ac:dyDescent="0.2">
      <c r="BH15225" s="25"/>
      <c r="BI15225" s="25"/>
      <c r="BJ15225" s="25"/>
      <c r="BK15225" s="25"/>
    </row>
    <row r="15226" spans="60:63" ht="14.25" x14ac:dyDescent="0.2">
      <c r="BH15226" s="25"/>
      <c r="BI15226" s="25"/>
      <c r="BJ15226" s="25"/>
      <c r="BK15226" s="25"/>
    </row>
    <row r="15227" spans="60:63" ht="14.25" x14ac:dyDescent="0.2">
      <c r="BH15227" s="25"/>
      <c r="BI15227" s="25"/>
      <c r="BJ15227" s="25"/>
      <c r="BK15227" s="25"/>
    </row>
    <row r="15228" spans="60:63" ht="14.25" x14ac:dyDescent="0.2">
      <c r="BH15228" s="25"/>
      <c r="BI15228" s="25"/>
      <c r="BJ15228" s="25"/>
      <c r="BK15228" s="25"/>
    </row>
    <row r="15229" spans="60:63" ht="14.25" x14ac:dyDescent="0.2">
      <c r="BH15229" s="25"/>
      <c r="BI15229" s="25"/>
      <c r="BJ15229" s="25"/>
      <c r="BK15229" s="25"/>
    </row>
    <row r="15230" spans="60:63" ht="14.25" x14ac:dyDescent="0.2">
      <c r="BH15230" s="25"/>
      <c r="BI15230" s="25"/>
      <c r="BJ15230" s="25"/>
      <c r="BK15230" s="25"/>
    </row>
    <row r="15231" spans="60:63" ht="14.25" x14ac:dyDescent="0.2">
      <c r="BH15231" s="25"/>
      <c r="BI15231" s="25"/>
      <c r="BJ15231" s="25"/>
      <c r="BK15231" s="25"/>
    </row>
    <row r="15232" spans="60:63" ht="14.25" x14ac:dyDescent="0.2">
      <c r="BH15232" s="25"/>
      <c r="BI15232" s="25"/>
      <c r="BJ15232" s="25"/>
      <c r="BK15232" s="25"/>
    </row>
    <row r="15233" spans="60:63" ht="14.25" x14ac:dyDescent="0.2">
      <c r="BH15233" s="25"/>
      <c r="BI15233" s="25"/>
      <c r="BJ15233" s="25"/>
      <c r="BK15233" s="25"/>
    </row>
    <row r="15234" spans="60:63" ht="14.25" x14ac:dyDescent="0.2">
      <c r="BH15234" s="25"/>
      <c r="BI15234" s="25"/>
      <c r="BJ15234" s="25"/>
      <c r="BK15234" s="25"/>
    </row>
    <row r="15235" spans="60:63" ht="14.25" x14ac:dyDescent="0.2">
      <c r="BH15235" s="25"/>
      <c r="BI15235" s="25"/>
      <c r="BJ15235" s="25"/>
      <c r="BK15235" s="25"/>
    </row>
    <row r="15236" spans="60:63" ht="14.25" x14ac:dyDescent="0.2">
      <c r="BH15236" s="25"/>
      <c r="BI15236" s="25"/>
      <c r="BJ15236" s="25"/>
      <c r="BK15236" s="25"/>
    </row>
    <row r="15237" spans="60:63" ht="14.25" x14ac:dyDescent="0.2">
      <c r="BH15237" s="25"/>
      <c r="BI15237" s="25"/>
      <c r="BJ15237" s="25"/>
      <c r="BK15237" s="25"/>
    </row>
    <row r="15238" spans="60:63" ht="14.25" x14ac:dyDescent="0.2">
      <c r="BH15238" s="25"/>
      <c r="BI15238" s="25"/>
      <c r="BJ15238" s="25"/>
      <c r="BK15238" s="25"/>
    </row>
    <row r="15239" spans="60:63" ht="14.25" x14ac:dyDescent="0.2">
      <c r="BH15239" s="25"/>
      <c r="BI15239" s="25"/>
      <c r="BJ15239" s="25"/>
      <c r="BK15239" s="25"/>
    </row>
    <row r="15240" spans="60:63" ht="14.25" x14ac:dyDescent="0.2">
      <c r="BH15240" s="25"/>
      <c r="BI15240" s="25"/>
      <c r="BJ15240" s="25"/>
      <c r="BK15240" s="25"/>
    </row>
    <row r="15241" spans="60:63" ht="14.25" x14ac:dyDescent="0.2">
      <c r="BH15241" s="25"/>
      <c r="BI15241" s="25"/>
      <c r="BJ15241" s="25"/>
      <c r="BK15241" s="25"/>
    </row>
    <row r="15242" spans="60:63" ht="14.25" x14ac:dyDescent="0.2">
      <c r="BH15242" s="25"/>
      <c r="BI15242" s="25"/>
      <c r="BJ15242" s="25"/>
      <c r="BK15242" s="25"/>
    </row>
    <row r="15243" spans="60:63" ht="14.25" x14ac:dyDescent="0.2">
      <c r="BH15243" s="25"/>
      <c r="BI15243" s="25"/>
      <c r="BJ15243" s="25"/>
      <c r="BK15243" s="25"/>
    </row>
    <row r="15244" spans="60:63" ht="14.25" x14ac:dyDescent="0.2">
      <c r="BH15244" s="25"/>
      <c r="BI15244" s="25"/>
      <c r="BJ15244" s="25"/>
      <c r="BK15244" s="25"/>
    </row>
    <row r="15245" spans="60:63" ht="14.25" x14ac:dyDescent="0.2">
      <c r="BH15245" s="25"/>
      <c r="BI15245" s="25"/>
      <c r="BJ15245" s="25"/>
      <c r="BK15245" s="25"/>
    </row>
    <row r="15246" spans="60:63" ht="14.25" x14ac:dyDescent="0.2">
      <c r="BH15246" s="25"/>
      <c r="BI15246" s="25"/>
      <c r="BJ15246" s="25"/>
      <c r="BK15246" s="25"/>
    </row>
    <row r="15247" spans="60:63" ht="14.25" x14ac:dyDescent="0.2">
      <c r="BH15247" s="25"/>
      <c r="BI15247" s="25"/>
      <c r="BJ15247" s="25"/>
      <c r="BK15247" s="25"/>
    </row>
    <row r="15248" spans="60:63" ht="14.25" x14ac:dyDescent="0.2">
      <c r="BH15248" s="25"/>
      <c r="BI15248" s="25"/>
      <c r="BJ15248" s="25"/>
      <c r="BK15248" s="25"/>
    </row>
    <row r="15249" spans="60:63" ht="14.25" x14ac:dyDescent="0.2">
      <c r="BH15249" s="25"/>
      <c r="BI15249" s="25"/>
      <c r="BJ15249" s="25"/>
      <c r="BK15249" s="25"/>
    </row>
    <row r="15250" spans="60:63" ht="14.25" x14ac:dyDescent="0.2">
      <c r="BH15250" s="25"/>
      <c r="BI15250" s="25"/>
      <c r="BJ15250" s="25"/>
      <c r="BK15250" s="25"/>
    </row>
    <row r="15251" spans="60:63" ht="14.25" x14ac:dyDescent="0.2">
      <c r="BH15251" s="25"/>
      <c r="BI15251" s="25"/>
      <c r="BJ15251" s="25"/>
      <c r="BK15251" s="25"/>
    </row>
    <row r="15252" spans="60:63" ht="14.25" x14ac:dyDescent="0.2">
      <c r="BH15252" s="25"/>
      <c r="BI15252" s="25"/>
      <c r="BJ15252" s="25"/>
      <c r="BK15252" s="25"/>
    </row>
    <row r="15253" spans="60:63" ht="14.25" x14ac:dyDescent="0.2">
      <c r="BH15253" s="25"/>
      <c r="BI15253" s="25"/>
      <c r="BJ15253" s="25"/>
      <c r="BK15253" s="25"/>
    </row>
    <row r="15254" spans="60:63" ht="14.25" x14ac:dyDescent="0.2">
      <c r="BH15254" s="25"/>
      <c r="BI15254" s="25"/>
      <c r="BJ15254" s="25"/>
      <c r="BK15254" s="25"/>
    </row>
    <row r="15255" spans="60:63" ht="14.25" x14ac:dyDescent="0.2">
      <c r="BH15255" s="25"/>
      <c r="BI15255" s="25"/>
      <c r="BJ15255" s="25"/>
      <c r="BK15255" s="25"/>
    </row>
    <row r="15256" spans="60:63" ht="14.25" x14ac:dyDescent="0.2">
      <c r="BH15256" s="25"/>
      <c r="BI15256" s="25"/>
      <c r="BJ15256" s="25"/>
      <c r="BK15256" s="25"/>
    </row>
    <row r="15257" spans="60:63" ht="14.25" x14ac:dyDescent="0.2">
      <c r="BH15257" s="25"/>
      <c r="BI15257" s="25"/>
      <c r="BJ15257" s="25"/>
      <c r="BK15257" s="25"/>
    </row>
    <row r="15258" spans="60:63" ht="14.25" x14ac:dyDescent="0.2">
      <c r="BH15258" s="25"/>
      <c r="BI15258" s="25"/>
      <c r="BJ15258" s="25"/>
      <c r="BK15258" s="25"/>
    </row>
    <row r="15259" spans="60:63" ht="14.25" x14ac:dyDescent="0.2">
      <c r="BH15259" s="25"/>
      <c r="BI15259" s="25"/>
      <c r="BJ15259" s="25"/>
      <c r="BK15259" s="25"/>
    </row>
    <row r="15260" spans="60:63" ht="14.25" x14ac:dyDescent="0.2">
      <c r="BH15260" s="25"/>
      <c r="BI15260" s="25"/>
      <c r="BJ15260" s="25"/>
      <c r="BK15260" s="25"/>
    </row>
    <row r="15261" spans="60:63" ht="14.25" x14ac:dyDescent="0.2">
      <c r="BH15261" s="25"/>
      <c r="BI15261" s="25"/>
      <c r="BJ15261" s="25"/>
      <c r="BK15261" s="25"/>
    </row>
    <row r="15262" spans="60:63" ht="14.25" x14ac:dyDescent="0.2">
      <c r="BH15262" s="25"/>
      <c r="BI15262" s="25"/>
      <c r="BJ15262" s="25"/>
      <c r="BK15262" s="25"/>
    </row>
    <row r="15263" spans="60:63" ht="14.25" x14ac:dyDescent="0.2">
      <c r="BH15263" s="25"/>
      <c r="BI15263" s="25"/>
      <c r="BJ15263" s="25"/>
      <c r="BK15263" s="25"/>
    </row>
    <row r="15264" spans="60:63" ht="14.25" x14ac:dyDescent="0.2">
      <c r="BH15264" s="25"/>
      <c r="BI15264" s="25"/>
      <c r="BJ15264" s="25"/>
      <c r="BK15264" s="25"/>
    </row>
    <row r="15265" spans="60:63" ht="14.25" x14ac:dyDescent="0.2">
      <c r="BH15265" s="25"/>
      <c r="BI15265" s="25"/>
      <c r="BJ15265" s="25"/>
      <c r="BK15265" s="25"/>
    </row>
    <row r="15266" spans="60:63" ht="14.25" x14ac:dyDescent="0.2">
      <c r="BH15266" s="25"/>
      <c r="BI15266" s="25"/>
      <c r="BJ15266" s="25"/>
      <c r="BK15266" s="25"/>
    </row>
    <row r="15267" spans="60:63" ht="14.25" x14ac:dyDescent="0.2">
      <c r="BH15267" s="25"/>
      <c r="BI15267" s="25"/>
      <c r="BJ15267" s="25"/>
      <c r="BK15267" s="25"/>
    </row>
    <row r="15268" spans="60:63" ht="14.25" x14ac:dyDescent="0.2">
      <c r="BH15268" s="25"/>
      <c r="BI15268" s="25"/>
      <c r="BJ15268" s="25"/>
      <c r="BK15268" s="25"/>
    </row>
    <row r="15269" spans="60:63" ht="14.25" x14ac:dyDescent="0.2">
      <c r="BH15269" s="25"/>
      <c r="BI15269" s="25"/>
      <c r="BJ15269" s="25"/>
      <c r="BK15269" s="25"/>
    </row>
    <row r="15270" spans="60:63" ht="14.25" x14ac:dyDescent="0.2">
      <c r="BH15270" s="25"/>
      <c r="BI15270" s="25"/>
      <c r="BJ15270" s="25"/>
      <c r="BK15270" s="25"/>
    </row>
    <row r="15271" spans="60:63" ht="14.25" x14ac:dyDescent="0.2">
      <c r="BH15271" s="25"/>
      <c r="BI15271" s="25"/>
      <c r="BJ15271" s="25"/>
      <c r="BK15271" s="25"/>
    </row>
    <row r="15272" spans="60:63" ht="14.25" x14ac:dyDescent="0.2">
      <c r="BH15272" s="25"/>
      <c r="BI15272" s="25"/>
      <c r="BJ15272" s="25"/>
      <c r="BK15272" s="25"/>
    </row>
    <row r="15273" spans="60:63" ht="14.25" x14ac:dyDescent="0.2">
      <c r="BH15273" s="25"/>
      <c r="BI15273" s="25"/>
      <c r="BJ15273" s="25"/>
      <c r="BK15273" s="25"/>
    </row>
    <row r="15274" spans="60:63" ht="14.25" x14ac:dyDescent="0.2">
      <c r="BH15274" s="25"/>
      <c r="BI15274" s="25"/>
      <c r="BJ15274" s="25"/>
      <c r="BK15274" s="25"/>
    </row>
    <row r="15275" spans="60:63" ht="14.25" x14ac:dyDescent="0.2">
      <c r="BH15275" s="25"/>
      <c r="BI15275" s="25"/>
      <c r="BJ15275" s="25"/>
      <c r="BK15275" s="25"/>
    </row>
    <row r="15276" spans="60:63" ht="14.25" x14ac:dyDescent="0.2">
      <c r="BH15276" s="25"/>
      <c r="BI15276" s="25"/>
      <c r="BJ15276" s="25"/>
      <c r="BK15276" s="25"/>
    </row>
    <row r="15277" spans="60:63" ht="14.25" x14ac:dyDescent="0.2">
      <c r="BH15277" s="25"/>
      <c r="BI15277" s="25"/>
      <c r="BJ15277" s="25"/>
      <c r="BK15277" s="25"/>
    </row>
    <row r="15278" spans="60:63" ht="14.25" x14ac:dyDescent="0.2">
      <c r="BH15278" s="25"/>
      <c r="BI15278" s="25"/>
      <c r="BJ15278" s="25"/>
      <c r="BK15278" s="25"/>
    </row>
    <row r="15279" spans="60:63" ht="14.25" x14ac:dyDescent="0.2">
      <c r="BH15279" s="25"/>
      <c r="BI15279" s="25"/>
      <c r="BJ15279" s="25"/>
      <c r="BK15279" s="25"/>
    </row>
    <row r="15280" spans="60:63" ht="14.25" x14ac:dyDescent="0.2">
      <c r="BH15280" s="25"/>
      <c r="BI15280" s="25"/>
      <c r="BJ15280" s="25"/>
      <c r="BK15280" s="25"/>
    </row>
    <row r="15281" spans="60:63" ht="14.25" x14ac:dyDescent="0.2">
      <c r="BH15281" s="25"/>
      <c r="BI15281" s="25"/>
      <c r="BJ15281" s="25"/>
      <c r="BK15281" s="25"/>
    </row>
    <row r="15282" spans="60:63" ht="14.25" x14ac:dyDescent="0.2">
      <c r="BH15282" s="25"/>
      <c r="BI15282" s="25"/>
      <c r="BJ15282" s="25"/>
      <c r="BK15282" s="25"/>
    </row>
    <row r="15283" spans="60:63" ht="14.25" x14ac:dyDescent="0.2">
      <c r="BH15283" s="25"/>
      <c r="BI15283" s="25"/>
      <c r="BJ15283" s="25"/>
      <c r="BK15283" s="25"/>
    </row>
    <row r="15284" spans="60:63" ht="14.25" x14ac:dyDescent="0.2">
      <c r="BH15284" s="25"/>
      <c r="BI15284" s="25"/>
      <c r="BJ15284" s="25"/>
      <c r="BK15284" s="25"/>
    </row>
    <row r="15285" spans="60:63" ht="14.25" x14ac:dyDescent="0.2">
      <c r="BH15285" s="25"/>
      <c r="BI15285" s="25"/>
      <c r="BJ15285" s="25"/>
      <c r="BK15285" s="25"/>
    </row>
    <row r="15286" spans="60:63" ht="14.25" x14ac:dyDescent="0.2">
      <c r="BH15286" s="25"/>
      <c r="BI15286" s="25"/>
      <c r="BJ15286" s="25"/>
      <c r="BK15286" s="25"/>
    </row>
    <row r="15287" spans="60:63" ht="14.25" x14ac:dyDescent="0.2">
      <c r="BH15287" s="25"/>
      <c r="BI15287" s="25"/>
      <c r="BJ15287" s="25"/>
      <c r="BK15287" s="25"/>
    </row>
    <row r="15288" spans="60:63" ht="14.25" x14ac:dyDescent="0.2">
      <c r="BH15288" s="25"/>
      <c r="BI15288" s="25"/>
      <c r="BJ15288" s="25"/>
      <c r="BK15288" s="25"/>
    </row>
    <row r="15289" spans="60:63" ht="14.25" x14ac:dyDescent="0.2">
      <c r="BH15289" s="25"/>
      <c r="BI15289" s="25"/>
      <c r="BJ15289" s="25"/>
      <c r="BK15289" s="25"/>
    </row>
    <row r="15290" spans="60:63" ht="14.25" x14ac:dyDescent="0.2">
      <c r="BH15290" s="25"/>
      <c r="BI15290" s="25"/>
      <c r="BJ15290" s="25"/>
      <c r="BK15290" s="25"/>
    </row>
    <row r="15291" spans="60:63" ht="14.25" x14ac:dyDescent="0.2">
      <c r="BH15291" s="25"/>
      <c r="BI15291" s="25"/>
      <c r="BJ15291" s="25"/>
      <c r="BK15291" s="25"/>
    </row>
    <row r="15292" spans="60:63" ht="14.25" x14ac:dyDescent="0.2">
      <c r="BH15292" s="25"/>
      <c r="BI15292" s="25"/>
      <c r="BJ15292" s="25"/>
      <c r="BK15292" s="25"/>
    </row>
    <row r="15293" spans="60:63" ht="14.25" x14ac:dyDescent="0.2">
      <c r="BH15293" s="25"/>
      <c r="BI15293" s="25"/>
      <c r="BJ15293" s="25"/>
      <c r="BK15293" s="25"/>
    </row>
    <row r="15294" spans="60:63" ht="14.25" x14ac:dyDescent="0.2">
      <c r="BH15294" s="25"/>
      <c r="BI15294" s="25"/>
      <c r="BJ15294" s="25"/>
      <c r="BK15294" s="25"/>
    </row>
    <row r="15295" spans="60:63" ht="14.25" x14ac:dyDescent="0.2">
      <c r="BH15295" s="25"/>
      <c r="BI15295" s="25"/>
      <c r="BJ15295" s="25"/>
      <c r="BK15295" s="25"/>
    </row>
    <row r="15296" spans="60:63" ht="14.25" x14ac:dyDescent="0.2">
      <c r="BH15296" s="25"/>
      <c r="BI15296" s="25"/>
      <c r="BJ15296" s="25"/>
      <c r="BK15296" s="25"/>
    </row>
    <row r="15297" spans="60:63" ht="14.25" x14ac:dyDescent="0.2">
      <c r="BH15297" s="25"/>
      <c r="BI15297" s="25"/>
      <c r="BJ15297" s="25"/>
      <c r="BK15297" s="25"/>
    </row>
    <row r="15298" spans="60:63" ht="14.25" x14ac:dyDescent="0.2">
      <c r="BH15298" s="25"/>
      <c r="BI15298" s="25"/>
      <c r="BJ15298" s="25"/>
      <c r="BK15298" s="25"/>
    </row>
    <row r="15299" spans="60:63" ht="14.25" x14ac:dyDescent="0.2">
      <c r="BH15299" s="25"/>
      <c r="BI15299" s="25"/>
      <c r="BJ15299" s="25"/>
      <c r="BK15299" s="25"/>
    </row>
    <row r="15300" spans="60:63" ht="14.25" x14ac:dyDescent="0.2">
      <c r="BH15300" s="25"/>
      <c r="BI15300" s="25"/>
      <c r="BJ15300" s="25"/>
      <c r="BK15300" s="25"/>
    </row>
    <row r="15301" spans="60:63" ht="14.25" x14ac:dyDescent="0.2">
      <c r="BH15301" s="25"/>
      <c r="BI15301" s="25"/>
      <c r="BJ15301" s="25"/>
      <c r="BK15301" s="25"/>
    </row>
    <row r="15302" spans="60:63" ht="14.25" x14ac:dyDescent="0.2">
      <c r="BH15302" s="25"/>
      <c r="BI15302" s="25"/>
      <c r="BJ15302" s="25"/>
      <c r="BK15302" s="25"/>
    </row>
    <row r="15303" spans="60:63" ht="14.25" x14ac:dyDescent="0.2">
      <c r="BH15303" s="25"/>
      <c r="BI15303" s="25"/>
      <c r="BJ15303" s="25"/>
      <c r="BK15303" s="25"/>
    </row>
    <row r="15304" spans="60:63" ht="14.25" x14ac:dyDescent="0.2">
      <c r="BH15304" s="25"/>
      <c r="BI15304" s="25"/>
      <c r="BJ15304" s="25"/>
      <c r="BK15304" s="25"/>
    </row>
    <row r="15305" spans="60:63" ht="14.25" x14ac:dyDescent="0.2">
      <c r="BH15305" s="25"/>
      <c r="BI15305" s="25"/>
      <c r="BJ15305" s="25"/>
      <c r="BK15305" s="25"/>
    </row>
    <row r="15306" spans="60:63" ht="14.25" x14ac:dyDescent="0.2">
      <c r="BH15306" s="25"/>
      <c r="BI15306" s="25"/>
      <c r="BJ15306" s="25"/>
      <c r="BK15306" s="25"/>
    </row>
    <row r="15307" spans="60:63" ht="14.25" x14ac:dyDescent="0.2">
      <c r="BH15307" s="25"/>
      <c r="BI15307" s="25"/>
      <c r="BJ15307" s="25"/>
      <c r="BK15307" s="25"/>
    </row>
    <row r="15308" spans="60:63" ht="14.25" x14ac:dyDescent="0.2">
      <c r="BH15308" s="25"/>
      <c r="BI15308" s="25"/>
      <c r="BJ15308" s="25"/>
      <c r="BK15308" s="25"/>
    </row>
    <row r="15309" spans="60:63" ht="14.25" x14ac:dyDescent="0.2">
      <c r="BH15309" s="25"/>
      <c r="BI15309" s="25"/>
      <c r="BJ15309" s="25"/>
      <c r="BK15309" s="25"/>
    </row>
    <row r="15310" spans="60:63" ht="14.25" x14ac:dyDescent="0.2">
      <c r="BH15310" s="25"/>
      <c r="BI15310" s="25"/>
      <c r="BJ15310" s="25"/>
      <c r="BK15310" s="25"/>
    </row>
    <row r="15311" spans="60:63" ht="14.25" x14ac:dyDescent="0.2">
      <c r="BH15311" s="25"/>
      <c r="BI15311" s="25"/>
      <c r="BJ15311" s="25"/>
      <c r="BK15311" s="25"/>
    </row>
    <row r="15312" spans="60:63" ht="14.25" x14ac:dyDescent="0.2">
      <c r="BH15312" s="25"/>
      <c r="BI15312" s="25"/>
      <c r="BJ15312" s="25"/>
      <c r="BK15312" s="25"/>
    </row>
    <row r="15313" spans="60:63" ht="14.25" x14ac:dyDescent="0.2">
      <c r="BH15313" s="25"/>
      <c r="BI15313" s="25"/>
      <c r="BJ15313" s="25"/>
      <c r="BK15313" s="25"/>
    </row>
    <row r="15314" spans="60:63" ht="14.25" x14ac:dyDescent="0.2">
      <c r="BH15314" s="25"/>
      <c r="BI15314" s="25"/>
      <c r="BJ15314" s="25"/>
      <c r="BK15314" s="25"/>
    </row>
    <row r="15315" spans="60:63" ht="14.25" x14ac:dyDescent="0.2">
      <c r="BH15315" s="25"/>
      <c r="BI15315" s="25"/>
      <c r="BJ15315" s="25"/>
      <c r="BK15315" s="25"/>
    </row>
    <row r="15316" spans="60:63" ht="14.25" x14ac:dyDescent="0.2">
      <c r="BH15316" s="25"/>
      <c r="BI15316" s="25"/>
      <c r="BJ15316" s="25"/>
      <c r="BK15316" s="25"/>
    </row>
    <row r="15317" spans="60:63" ht="14.25" x14ac:dyDescent="0.2">
      <c r="BH15317" s="25"/>
      <c r="BI15317" s="25"/>
      <c r="BJ15317" s="25"/>
      <c r="BK15317" s="25"/>
    </row>
    <row r="15318" spans="60:63" ht="14.25" x14ac:dyDescent="0.2">
      <c r="BH15318" s="25"/>
      <c r="BI15318" s="25"/>
      <c r="BJ15318" s="25"/>
      <c r="BK15318" s="25"/>
    </row>
    <row r="15319" spans="60:63" ht="14.25" x14ac:dyDescent="0.2">
      <c r="BH15319" s="25"/>
      <c r="BI15319" s="25"/>
      <c r="BJ15319" s="25"/>
      <c r="BK15319" s="25"/>
    </row>
    <row r="15320" spans="60:63" ht="14.25" x14ac:dyDescent="0.2">
      <c r="BH15320" s="25"/>
      <c r="BI15320" s="25"/>
      <c r="BJ15320" s="25"/>
      <c r="BK15320" s="25"/>
    </row>
    <row r="15321" spans="60:63" ht="14.25" x14ac:dyDescent="0.2">
      <c r="BH15321" s="25"/>
      <c r="BI15321" s="25"/>
      <c r="BJ15321" s="25"/>
      <c r="BK15321" s="25"/>
    </row>
    <row r="15322" spans="60:63" ht="14.25" x14ac:dyDescent="0.2">
      <c r="BH15322" s="25"/>
      <c r="BI15322" s="25"/>
      <c r="BJ15322" s="25"/>
      <c r="BK15322" s="25"/>
    </row>
    <row r="15323" spans="60:63" ht="14.25" x14ac:dyDescent="0.2">
      <c r="BH15323" s="25"/>
      <c r="BI15323" s="25"/>
      <c r="BJ15323" s="25"/>
      <c r="BK15323" s="25"/>
    </row>
    <row r="15324" spans="60:63" ht="14.25" x14ac:dyDescent="0.2">
      <c r="BH15324" s="25"/>
      <c r="BI15324" s="25"/>
      <c r="BJ15324" s="25"/>
      <c r="BK15324" s="25"/>
    </row>
    <row r="15325" spans="60:63" ht="14.25" x14ac:dyDescent="0.2">
      <c r="BH15325" s="25"/>
      <c r="BI15325" s="25"/>
      <c r="BJ15325" s="25"/>
      <c r="BK15325" s="25"/>
    </row>
    <row r="15326" spans="60:63" ht="14.25" x14ac:dyDescent="0.2">
      <c r="BH15326" s="25"/>
      <c r="BI15326" s="25"/>
      <c r="BJ15326" s="25"/>
      <c r="BK15326" s="25"/>
    </row>
    <row r="15327" spans="60:63" ht="14.25" x14ac:dyDescent="0.2">
      <c r="BH15327" s="25"/>
      <c r="BI15327" s="25"/>
      <c r="BJ15327" s="25"/>
      <c r="BK15327" s="25"/>
    </row>
    <row r="15328" spans="60:63" ht="14.25" x14ac:dyDescent="0.2">
      <c r="BH15328" s="25"/>
      <c r="BI15328" s="25"/>
      <c r="BJ15328" s="25"/>
      <c r="BK15328" s="25"/>
    </row>
    <row r="15329" spans="60:63" ht="14.25" x14ac:dyDescent="0.2">
      <c r="BH15329" s="25"/>
      <c r="BI15329" s="25"/>
      <c r="BJ15329" s="25"/>
      <c r="BK15329" s="25"/>
    </row>
    <row r="15330" spans="60:63" ht="14.25" x14ac:dyDescent="0.2">
      <c r="BH15330" s="25"/>
      <c r="BI15330" s="25"/>
      <c r="BJ15330" s="25"/>
      <c r="BK15330" s="25"/>
    </row>
    <row r="15331" spans="60:63" ht="14.25" x14ac:dyDescent="0.2">
      <c r="BH15331" s="25"/>
      <c r="BI15331" s="25"/>
      <c r="BJ15331" s="25"/>
      <c r="BK15331" s="25"/>
    </row>
    <row r="15332" spans="60:63" ht="14.25" x14ac:dyDescent="0.2">
      <c r="BH15332" s="25"/>
      <c r="BI15332" s="25"/>
      <c r="BJ15332" s="25"/>
      <c r="BK15332" s="25"/>
    </row>
    <row r="15333" spans="60:63" ht="14.25" x14ac:dyDescent="0.2">
      <c r="BH15333" s="25"/>
      <c r="BI15333" s="25"/>
      <c r="BJ15333" s="25"/>
      <c r="BK15333" s="25"/>
    </row>
    <row r="15334" spans="60:63" ht="14.25" x14ac:dyDescent="0.2">
      <c r="BH15334" s="25"/>
      <c r="BI15334" s="25"/>
      <c r="BJ15334" s="25"/>
      <c r="BK15334" s="25"/>
    </row>
    <row r="15335" spans="60:63" ht="14.25" x14ac:dyDescent="0.2">
      <c r="BH15335" s="25"/>
      <c r="BI15335" s="25"/>
      <c r="BJ15335" s="25"/>
      <c r="BK15335" s="25"/>
    </row>
    <row r="15336" spans="60:63" ht="14.25" x14ac:dyDescent="0.2">
      <c r="BH15336" s="25"/>
      <c r="BI15336" s="25"/>
      <c r="BJ15336" s="25"/>
      <c r="BK15336" s="25"/>
    </row>
    <row r="15337" spans="60:63" ht="14.25" x14ac:dyDescent="0.2">
      <c r="BH15337" s="25"/>
      <c r="BI15337" s="25"/>
      <c r="BJ15337" s="25"/>
      <c r="BK15337" s="25"/>
    </row>
    <row r="15338" spans="60:63" ht="14.25" x14ac:dyDescent="0.2">
      <c r="BH15338" s="25"/>
      <c r="BI15338" s="25"/>
      <c r="BJ15338" s="25"/>
      <c r="BK15338" s="25"/>
    </row>
    <row r="15339" spans="60:63" ht="14.25" x14ac:dyDescent="0.2">
      <c r="BH15339" s="25"/>
      <c r="BI15339" s="25"/>
      <c r="BJ15339" s="25"/>
      <c r="BK15339" s="25"/>
    </row>
    <row r="15340" spans="60:63" ht="14.25" x14ac:dyDescent="0.2">
      <c r="BH15340" s="25"/>
      <c r="BI15340" s="25"/>
      <c r="BJ15340" s="25"/>
      <c r="BK15340" s="25"/>
    </row>
    <row r="15341" spans="60:63" ht="14.25" x14ac:dyDescent="0.2">
      <c r="BH15341" s="25"/>
      <c r="BI15341" s="25"/>
      <c r="BJ15341" s="25"/>
      <c r="BK15341" s="25"/>
    </row>
    <row r="15342" spans="60:63" ht="14.25" x14ac:dyDescent="0.2">
      <c r="BH15342" s="25"/>
      <c r="BI15342" s="25"/>
      <c r="BJ15342" s="25"/>
      <c r="BK15342" s="25"/>
    </row>
    <row r="15343" spans="60:63" ht="14.25" x14ac:dyDescent="0.2">
      <c r="BH15343" s="25"/>
      <c r="BI15343" s="25"/>
      <c r="BJ15343" s="25"/>
      <c r="BK15343" s="25"/>
    </row>
    <row r="15344" spans="60:63" ht="14.25" x14ac:dyDescent="0.2">
      <c r="BH15344" s="25"/>
      <c r="BI15344" s="25"/>
      <c r="BJ15344" s="25"/>
      <c r="BK15344" s="25"/>
    </row>
    <row r="15345" spans="60:63" ht="14.25" x14ac:dyDescent="0.2">
      <c r="BH15345" s="25"/>
      <c r="BI15345" s="25"/>
      <c r="BJ15345" s="25"/>
      <c r="BK15345" s="25"/>
    </row>
    <row r="15346" spans="60:63" ht="14.25" x14ac:dyDescent="0.2">
      <c r="BH15346" s="25"/>
      <c r="BI15346" s="25"/>
      <c r="BJ15346" s="25"/>
      <c r="BK15346" s="25"/>
    </row>
    <row r="15347" spans="60:63" ht="14.25" x14ac:dyDescent="0.2">
      <c r="BH15347" s="25"/>
      <c r="BI15347" s="25"/>
      <c r="BJ15347" s="25"/>
      <c r="BK15347" s="25"/>
    </row>
    <row r="15348" spans="60:63" ht="14.25" x14ac:dyDescent="0.2">
      <c r="BH15348" s="25"/>
      <c r="BI15348" s="25"/>
      <c r="BJ15348" s="25"/>
      <c r="BK15348" s="25"/>
    </row>
    <row r="15349" spans="60:63" ht="14.25" x14ac:dyDescent="0.2">
      <c r="BH15349" s="25"/>
      <c r="BI15349" s="25"/>
      <c r="BJ15349" s="25"/>
      <c r="BK15349" s="25"/>
    </row>
    <row r="15350" spans="60:63" ht="14.25" x14ac:dyDescent="0.2">
      <c r="BH15350" s="25"/>
      <c r="BI15350" s="25"/>
      <c r="BJ15350" s="25"/>
      <c r="BK15350" s="25"/>
    </row>
    <row r="15351" spans="60:63" ht="14.25" x14ac:dyDescent="0.2">
      <c r="BH15351" s="25"/>
      <c r="BI15351" s="25"/>
      <c r="BJ15351" s="25"/>
      <c r="BK15351" s="25"/>
    </row>
    <row r="15352" spans="60:63" ht="14.25" x14ac:dyDescent="0.2">
      <c r="BH15352" s="25"/>
      <c r="BI15352" s="25"/>
      <c r="BJ15352" s="25"/>
      <c r="BK15352" s="25"/>
    </row>
    <row r="15353" spans="60:63" ht="14.25" x14ac:dyDescent="0.2">
      <c r="BH15353" s="25"/>
      <c r="BI15353" s="25"/>
      <c r="BJ15353" s="25"/>
      <c r="BK15353" s="25"/>
    </row>
    <row r="15354" spans="60:63" ht="14.25" x14ac:dyDescent="0.2">
      <c r="BH15354" s="25"/>
      <c r="BI15354" s="25"/>
      <c r="BJ15354" s="25"/>
      <c r="BK15354" s="25"/>
    </row>
    <row r="15355" spans="60:63" ht="14.25" x14ac:dyDescent="0.2">
      <c r="BH15355" s="25"/>
      <c r="BI15355" s="25"/>
      <c r="BJ15355" s="25"/>
      <c r="BK15355" s="25"/>
    </row>
    <row r="15356" spans="60:63" ht="14.25" x14ac:dyDescent="0.2">
      <c r="BH15356" s="25"/>
      <c r="BI15356" s="25"/>
      <c r="BJ15356" s="25"/>
      <c r="BK15356" s="25"/>
    </row>
    <row r="15357" spans="60:63" ht="14.25" x14ac:dyDescent="0.2">
      <c r="BH15357" s="25"/>
      <c r="BI15357" s="25"/>
      <c r="BJ15357" s="25"/>
      <c r="BK15357" s="25"/>
    </row>
    <row r="15358" spans="60:63" ht="14.25" x14ac:dyDescent="0.2">
      <c r="BH15358" s="25"/>
      <c r="BI15358" s="25"/>
      <c r="BJ15358" s="25"/>
      <c r="BK15358" s="25"/>
    </row>
    <row r="15359" spans="60:63" ht="14.25" x14ac:dyDescent="0.2">
      <c r="BH15359" s="25"/>
      <c r="BI15359" s="25"/>
      <c r="BJ15359" s="25"/>
      <c r="BK15359" s="25"/>
    </row>
    <row r="15360" spans="60:63" ht="14.25" x14ac:dyDescent="0.2">
      <c r="BH15360" s="25"/>
      <c r="BI15360" s="25"/>
      <c r="BJ15360" s="25"/>
      <c r="BK15360" s="25"/>
    </row>
    <row r="15361" spans="60:63" ht="14.25" x14ac:dyDescent="0.2">
      <c r="BH15361" s="25"/>
      <c r="BI15361" s="25"/>
      <c r="BJ15361" s="25"/>
      <c r="BK15361" s="25"/>
    </row>
    <row r="15362" spans="60:63" ht="14.25" x14ac:dyDescent="0.2">
      <c r="BH15362" s="25"/>
      <c r="BI15362" s="25"/>
      <c r="BJ15362" s="25"/>
      <c r="BK15362" s="25"/>
    </row>
    <row r="15363" spans="60:63" ht="14.25" x14ac:dyDescent="0.2">
      <c r="BH15363" s="25"/>
      <c r="BI15363" s="25"/>
      <c r="BJ15363" s="25"/>
      <c r="BK15363" s="25"/>
    </row>
    <row r="15364" spans="60:63" ht="14.25" x14ac:dyDescent="0.2">
      <c r="BH15364" s="25"/>
      <c r="BI15364" s="25"/>
      <c r="BJ15364" s="25"/>
      <c r="BK15364" s="25"/>
    </row>
    <row r="15365" spans="60:63" ht="14.25" x14ac:dyDescent="0.2">
      <c r="BH15365" s="25"/>
      <c r="BI15365" s="25"/>
      <c r="BJ15365" s="25"/>
      <c r="BK15365" s="25"/>
    </row>
    <row r="15366" spans="60:63" ht="14.25" x14ac:dyDescent="0.2">
      <c r="BH15366" s="25"/>
      <c r="BI15366" s="25"/>
      <c r="BJ15366" s="25"/>
      <c r="BK15366" s="25"/>
    </row>
    <row r="15367" spans="60:63" ht="14.25" x14ac:dyDescent="0.2">
      <c r="BH15367" s="25"/>
      <c r="BI15367" s="25"/>
      <c r="BJ15367" s="25"/>
      <c r="BK15367" s="25"/>
    </row>
    <row r="15368" spans="60:63" ht="14.25" x14ac:dyDescent="0.2">
      <c r="BH15368" s="25"/>
      <c r="BI15368" s="25"/>
      <c r="BJ15368" s="25"/>
      <c r="BK15368" s="25"/>
    </row>
    <row r="15369" spans="60:63" ht="14.25" x14ac:dyDescent="0.2">
      <c r="BH15369" s="25"/>
      <c r="BI15369" s="25"/>
      <c r="BJ15369" s="25"/>
      <c r="BK15369" s="25"/>
    </row>
    <row r="15370" spans="60:63" ht="14.25" x14ac:dyDescent="0.2">
      <c r="BH15370" s="25"/>
      <c r="BI15370" s="25"/>
      <c r="BJ15370" s="25"/>
      <c r="BK15370" s="25"/>
    </row>
    <row r="15371" spans="60:63" ht="14.25" x14ac:dyDescent="0.2">
      <c r="BH15371" s="25"/>
      <c r="BI15371" s="25"/>
      <c r="BJ15371" s="25"/>
      <c r="BK15371" s="25"/>
    </row>
    <row r="15372" spans="60:63" ht="14.25" x14ac:dyDescent="0.2">
      <c r="BH15372" s="25"/>
      <c r="BI15372" s="25"/>
      <c r="BJ15372" s="25"/>
      <c r="BK15372" s="25"/>
    </row>
    <row r="15373" spans="60:63" ht="14.25" x14ac:dyDescent="0.2">
      <c r="BH15373" s="25"/>
      <c r="BI15373" s="25"/>
      <c r="BJ15373" s="25"/>
      <c r="BK15373" s="25"/>
    </row>
    <row r="15374" spans="60:63" ht="14.25" x14ac:dyDescent="0.2">
      <c r="BH15374" s="25"/>
      <c r="BI15374" s="25"/>
      <c r="BJ15374" s="25"/>
      <c r="BK15374" s="25"/>
    </row>
    <row r="15375" spans="60:63" ht="14.25" x14ac:dyDescent="0.2">
      <c r="BH15375" s="25"/>
      <c r="BI15375" s="25"/>
      <c r="BJ15375" s="25"/>
      <c r="BK15375" s="25"/>
    </row>
    <row r="15376" spans="60:63" ht="14.25" x14ac:dyDescent="0.2">
      <c r="BH15376" s="25"/>
      <c r="BI15376" s="25"/>
      <c r="BJ15376" s="25"/>
      <c r="BK15376" s="25"/>
    </row>
    <row r="15377" spans="60:63" ht="14.25" x14ac:dyDescent="0.2">
      <c r="BH15377" s="25"/>
      <c r="BI15377" s="25"/>
      <c r="BJ15377" s="25"/>
      <c r="BK15377" s="25"/>
    </row>
    <row r="15378" spans="60:63" ht="14.25" x14ac:dyDescent="0.2">
      <c r="BH15378" s="25"/>
      <c r="BI15378" s="25"/>
      <c r="BJ15378" s="25"/>
      <c r="BK15378" s="25"/>
    </row>
    <row r="15379" spans="60:63" ht="14.25" x14ac:dyDescent="0.2">
      <c r="BH15379" s="25"/>
      <c r="BI15379" s="25"/>
      <c r="BJ15379" s="25"/>
      <c r="BK15379" s="25"/>
    </row>
    <row r="15380" spans="60:63" ht="14.25" x14ac:dyDescent="0.2">
      <c r="BH15380" s="25"/>
      <c r="BI15380" s="25"/>
      <c r="BJ15380" s="25"/>
      <c r="BK15380" s="25"/>
    </row>
    <row r="15381" spans="60:63" ht="14.25" x14ac:dyDescent="0.2">
      <c r="BH15381" s="25"/>
      <c r="BI15381" s="25"/>
      <c r="BJ15381" s="25"/>
      <c r="BK15381" s="25"/>
    </row>
    <row r="15382" spans="60:63" ht="14.25" x14ac:dyDescent="0.2">
      <c r="BH15382" s="25"/>
      <c r="BI15382" s="25"/>
      <c r="BJ15382" s="25"/>
      <c r="BK15382" s="25"/>
    </row>
    <row r="15383" spans="60:63" ht="14.25" x14ac:dyDescent="0.2">
      <c r="BH15383" s="25"/>
      <c r="BI15383" s="25"/>
      <c r="BJ15383" s="25"/>
      <c r="BK15383" s="25"/>
    </row>
    <row r="15384" spans="60:63" ht="14.25" x14ac:dyDescent="0.2">
      <c r="BH15384" s="25"/>
      <c r="BI15384" s="25"/>
      <c r="BJ15384" s="25"/>
      <c r="BK15384" s="25"/>
    </row>
    <row r="15385" spans="60:63" ht="14.25" x14ac:dyDescent="0.2">
      <c r="BH15385" s="25"/>
      <c r="BI15385" s="25"/>
      <c r="BJ15385" s="25"/>
      <c r="BK15385" s="25"/>
    </row>
    <row r="15386" spans="60:63" ht="14.25" x14ac:dyDescent="0.2">
      <c r="BH15386" s="25"/>
      <c r="BI15386" s="25"/>
      <c r="BJ15386" s="25"/>
      <c r="BK15386" s="25"/>
    </row>
    <row r="15387" spans="60:63" ht="14.25" x14ac:dyDescent="0.2">
      <c r="BH15387" s="25"/>
      <c r="BI15387" s="25"/>
      <c r="BJ15387" s="25"/>
      <c r="BK15387" s="25"/>
    </row>
    <row r="15388" spans="60:63" ht="14.25" x14ac:dyDescent="0.2">
      <c r="BH15388" s="25"/>
      <c r="BI15388" s="25"/>
      <c r="BJ15388" s="25"/>
      <c r="BK15388" s="25"/>
    </row>
    <row r="15389" spans="60:63" ht="14.25" x14ac:dyDescent="0.2">
      <c r="BH15389" s="25"/>
      <c r="BI15389" s="25"/>
      <c r="BJ15389" s="25"/>
      <c r="BK15389" s="25"/>
    </row>
    <row r="15390" spans="60:63" ht="14.25" x14ac:dyDescent="0.2">
      <c r="BH15390" s="25"/>
      <c r="BI15390" s="25"/>
      <c r="BJ15390" s="25"/>
      <c r="BK15390" s="25"/>
    </row>
    <row r="15391" spans="60:63" ht="14.25" x14ac:dyDescent="0.2">
      <c r="BH15391" s="25"/>
      <c r="BI15391" s="25"/>
      <c r="BJ15391" s="25"/>
      <c r="BK15391" s="25"/>
    </row>
    <row r="15392" spans="60:63" ht="14.25" x14ac:dyDescent="0.2">
      <c r="BH15392" s="25"/>
      <c r="BI15392" s="25"/>
      <c r="BJ15392" s="25"/>
      <c r="BK15392" s="25"/>
    </row>
    <row r="15393" spans="60:63" ht="14.25" x14ac:dyDescent="0.2">
      <c r="BH15393" s="25"/>
      <c r="BI15393" s="25"/>
      <c r="BJ15393" s="25"/>
      <c r="BK15393" s="25"/>
    </row>
    <row r="15394" spans="60:63" ht="14.25" x14ac:dyDescent="0.2">
      <c r="BH15394" s="25"/>
      <c r="BI15394" s="25"/>
      <c r="BJ15394" s="25"/>
      <c r="BK15394" s="25"/>
    </row>
    <row r="15395" spans="60:63" ht="14.25" x14ac:dyDescent="0.2">
      <c r="BH15395" s="25"/>
      <c r="BI15395" s="25"/>
      <c r="BJ15395" s="25"/>
      <c r="BK15395" s="25"/>
    </row>
    <row r="15396" spans="60:63" ht="14.25" x14ac:dyDescent="0.2">
      <c r="BH15396" s="25"/>
      <c r="BI15396" s="25"/>
      <c r="BJ15396" s="25"/>
      <c r="BK15396" s="25"/>
    </row>
    <row r="15397" spans="60:63" ht="14.25" x14ac:dyDescent="0.2">
      <c r="BH15397" s="25"/>
      <c r="BI15397" s="25"/>
      <c r="BJ15397" s="25"/>
      <c r="BK15397" s="25"/>
    </row>
    <row r="15398" spans="60:63" ht="14.25" x14ac:dyDescent="0.2">
      <c r="BH15398" s="25"/>
      <c r="BI15398" s="25"/>
      <c r="BJ15398" s="25"/>
      <c r="BK15398" s="25"/>
    </row>
    <row r="15399" spans="60:63" ht="14.25" x14ac:dyDescent="0.2">
      <c r="BH15399" s="25"/>
      <c r="BI15399" s="25"/>
      <c r="BJ15399" s="25"/>
      <c r="BK15399" s="25"/>
    </row>
    <row r="15400" spans="60:63" ht="14.25" x14ac:dyDescent="0.2">
      <c r="BH15400" s="25"/>
      <c r="BI15400" s="25"/>
      <c r="BJ15400" s="25"/>
      <c r="BK15400" s="25"/>
    </row>
    <row r="15401" spans="60:63" ht="14.25" x14ac:dyDescent="0.2">
      <c r="BH15401" s="25"/>
      <c r="BI15401" s="25"/>
      <c r="BJ15401" s="25"/>
      <c r="BK15401" s="25"/>
    </row>
    <row r="15402" spans="60:63" ht="14.25" x14ac:dyDescent="0.2">
      <c r="BH15402" s="25"/>
      <c r="BI15402" s="25"/>
      <c r="BJ15402" s="25"/>
      <c r="BK15402" s="25"/>
    </row>
    <row r="15403" spans="60:63" ht="14.25" x14ac:dyDescent="0.2">
      <c r="BH15403" s="25"/>
      <c r="BI15403" s="25"/>
      <c r="BJ15403" s="25"/>
      <c r="BK15403" s="25"/>
    </row>
    <row r="15404" spans="60:63" ht="14.25" x14ac:dyDescent="0.2">
      <c r="BH15404" s="25"/>
      <c r="BI15404" s="25"/>
      <c r="BJ15404" s="25"/>
      <c r="BK15404" s="25"/>
    </row>
    <row r="15405" spans="60:63" ht="14.25" x14ac:dyDescent="0.2">
      <c r="BH15405" s="25"/>
      <c r="BI15405" s="25"/>
      <c r="BJ15405" s="25"/>
      <c r="BK15405" s="25"/>
    </row>
    <row r="15406" spans="60:63" ht="14.25" x14ac:dyDescent="0.2">
      <c r="BH15406" s="25"/>
      <c r="BI15406" s="25"/>
      <c r="BJ15406" s="25"/>
      <c r="BK15406" s="25"/>
    </row>
    <row r="15407" spans="60:63" ht="14.25" x14ac:dyDescent="0.2">
      <c r="BH15407" s="25"/>
      <c r="BI15407" s="25"/>
      <c r="BJ15407" s="25"/>
      <c r="BK15407" s="25"/>
    </row>
    <row r="15408" spans="60:63" ht="14.25" x14ac:dyDescent="0.2">
      <c r="BH15408" s="25"/>
      <c r="BI15408" s="25"/>
      <c r="BJ15408" s="25"/>
      <c r="BK15408" s="25"/>
    </row>
    <row r="15409" spans="60:63" ht="14.25" x14ac:dyDescent="0.2">
      <c r="BH15409" s="25"/>
      <c r="BI15409" s="25"/>
      <c r="BJ15409" s="25"/>
      <c r="BK15409" s="25"/>
    </row>
    <row r="15410" spans="60:63" ht="14.25" x14ac:dyDescent="0.2">
      <c r="BH15410" s="25"/>
      <c r="BI15410" s="25"/>
      <c r="BJ15410" s="25"/>
      <c r="BK15410" s="25"/>
    </row>
    <row r="15411" spans="60:63" ht="14.25" x14ac:dyDescent="0.2">
      <c r="BH15411" s="25"/>
      <c r="BI15411" s="25"/>
      <c r="BJ15411" s="25"/>
      <c r="BK15411" s="25"/>
    </row>
    <row r="15412" spans="60:63" ht="14.25" x14ac:dyDescent="0.2">
      <c r="BH15412" s="25"/>
      <c r="BI15412" s="25"/>
      <c r="BJ15412" s="25"/>
      <c r="BK15412" s="25"/>
    </row>
    <row r="15413" spans="60:63" ht="14.25" x14ac:dyDescent="0.2">
      <c r="BH15413" s="25"/>
      <c r="BI15413" s="25"/>
      <c r="BJ15413" s="25"/>
      <c r="BK15413" s="25"/>
    </row>
    <row r="15414" spans="60:63" ht="14.25" x14ac:dyDescent="0.2">
      <c r="BH15414" s="25"/>
      <c r="BI15414" s="25"/>
      <c r="BJ15414" s="25"/>
      <c r="BK15414" s="25"/>
    </row>
    <row r="15415" spans="60:63" ht="14.25" x14ac:dyDescent="0.2">
      <c r="BH15415" s="25"/>
      <c r="BI15415" s="25"/>
      <c r="BJ15415" s="25"/>
      <c r="BK15415" s="25"/>
    </row>
    <row r="15416" spans="60:63" ht="14.25" x14ac:dyDescent="0.2">
      <c r="BH15416" s="25"/>
      <c r="BI15416" s="25"/>
      <c r="BJ15416" s="25"/>
      <c r="BK15416" s="25"/>
    </row>
    <row r="15417" spans="60:63" ht="14.25" x14ac:dyDescent="0.2">
      <c r="BH15417" s="25"/>
      <c r="BI15417" s="25"/>
      <c r="BJ15417" s="25"/>
      <c r="BK15417" s="25"/>
    </row>
    <row r="15418" spans="60:63" ht="14.25" x14ac:dyDescent="0.2">
      <c r="BH15418" s="25"/>
      <c r="BI15418" s="25"/>
      <c r="BJ15418" s="25"/>
      <c r="BK15418" s="25"/>
    </row>
    <row r="15419" spans="60:63" ht="14.25" x14ac:dyDescent="0.2">
      <c r="BH15419" s="25"/>
      <c r="BI15419" s="25"/>
      <c r="BJ15419" s="25"/>
      <c r="BK15419" s="25"/>
    </row>
    <row r="15420" spans="60:63" ht="14.25" x14ac:dyDescent="0.2">
      <c r="BH15420" s="25"/>
      <c r="BI15420" s="25"/>
      <c r="BJ15420" s="25"/>
      <c r="BK15420" s="25"/>
    </row>
    <row r="15421" spans="60:63" ht="14.25" x14ac:dyDescent="0.2">
      <c r="BH15421" s="25"/>
      <c r="BI15421" s="25"/>
      <c r="BJ15421" s="25"/>
      <c r="BK15421" s="25"/>
    </row>
    <row r="15422" spans="60:63" ht="14.25" x14ac:dyDescent="0.2">
      <c r="BH15422" s="25"/>
      <c r="BI15422" s="25"/>
      <c r="BJ15422" s="25"/>
      <c r="BK15422" s="25"/>
    </row>
    <row r="15423" spans="60:63" ht="14.25" x14ac:dyDescent="0.2">
      <c r="BH15423" s="25"/>
      <c r="BI15423" s="25"/>
      <c r="BJ15423" s="25"/>
      <c r="BK15423" s="25"/>
    </row>
    <row r="15424" spans="60:63" ht="14.25" x14ac:dyDescent="0.2">
      <c r="BH15424" s="25"/>
      <c r="BI15424" s="25"/>
      <c r="BJ15424" s="25"/>
      <c r="BK15424" s="25"/>
    </row>
    <row r="15425" spans="60:63" ht="14.25" x14ac:dyDescent="0.2">
      <c r="BH15425" s="25"/>
      <c r="BI15425" s="25"/>
      <c r="BJ15425" s="25"/>
      <c r="BK15425" s="25"/>
    </row>
    <row r="15426" spans="60:63" ht="14.25" x14ac:dyDescent="0.2">
      <c r="BH15426" s="25"/>
      <c r="BI15426" s="25"/>
      <c r="BJ15426" s="25"/>
      <c r="BK15426" s="25"/>
    </row>
    <row r="15427" spans="60:63" ht="14.25" x14ac:dyDescent="0.2">
      <c r="BH15427" s="25"/>
      <c r="BI15427" s="25"/>
      <c r="BJ15427" s="25"/>
      <c r="BK15427" s="25"/>
    </row>
    <row r="15428" spans="60:63" ht="14.25" x14ac:dyDescent="0.2">
      <c r="BH15428" s="25"/>
      <c r="BI15428" s="25"/>
      <c r="BJ15428" s="25"/>
      <c r="BK15428" s="25"/>
    </row>
    <row r="15429" spans="60:63" ht="14.25" x14ac:dyDescent="0.2">
      <c r="BH15429" s="25"/>
      <c r="BI15429" s="25"/>
      <c r="BJ15429" s="25"/>
      <c r="BK15429" s="25"/>
    </row>
    <row r="15430" spans="60:63" ht="14.25" x14ac:dyDescent="0.2">
      <c r="BH15430" s="25"/>
      <c r="BI15430" s="25"/>
      <c r="BJ15430" s="25"/>
      <c r="BK15430" s="25"/>
    </row>
    <row r="15431" spans="60:63" ht="14.25" x14ac:dyDescent="0.2">
      <c r="BH15431" s="25"/>
      <c r="BI15431" s="25"/>
      <c r="BJ15431" s="25"/>
      <c r="BK15431" s="25"/>
    </row>
    <row r="15432" spans="60:63" ht="14.25" x14ac:dyDescent="0.2">
      <c r="BH15432" s="25"/>
      <c r="BI15432" s="25"/>
      <c r="BJ15432" s="25"/>
      <c r="BK15432" s="25"/>
    </row>
    <row r="15433" spans="60:63" ht="14.25" x14ac:dyDescent="0.2">
      <c r="BH15433" s="25"/>
      <c r="BI15433" s="25"/>
      <c r="BJ15433" s="25"/>
      <c r="BK15433" s="25"/>
    </row>
    <row r="15434" spans="60:63" ht="14.25" x14ac:dyDescent="0.2">
      <c r="BH15434" s="25"/>
      <c r="BI15434" s="25"/>
      <c r="BJ15434" s="25"/>
      <c r="BK15434" s="25"/>
    </row>
    <row r="15435" spans="60:63" ht="14.25" x14ac:dyDescent="0.2">
      <c r="BH15435" s="25"/>
      <c r="BI15435" s="25"/>
      <c r="BJ15435" s="25"/>
      <c r="BK15435" s="25"/>
    </row>
    <row r="15436" spans="60:63" ht="14.25" x14ac:dyDescent="0.2">
      <c r="BH15436" s="25"/>
      <c r="BI15436" s="25"/>
      <c r="BJ15436" s="25"/>
      <c r="BK15436" s="25"/>
    </row>
    <row r="15437" spans="60:63" ht="14.25" x14ac:dyDescent="0.2">
      <c r="BH15437" s="25"/>
      <c r="BI15437" s="25"/>
      <c r="BJ15437" s="25"/>
      <c r="BK15437" s="25"/>
    </row>
    <row r="15438" spans="60:63" ht="14.25" x14ac:dyDescent="0.2">
      <c r="BH15438" s="25"/>
      <c r="BI15438" s="25"/>
      <c r="BJ15438" s="25"/>
      <c r="BK15438" s="25"/>
    </row>
    <row r="15439" spans="60:63" ht="14.25" x14ac:dyDescent="0.2">
      <c r="BH15439" s="25"/>
      <c r="BI15439" s="25"/>
      <c r="BJ15439" s="25"/>
      <c r="BK15439" s="25"/>
    </row>
    <row r="15440" spans="60:63" ht="14.25" x14ac:dyDescent="0.2">
      <c r="BH15440" s="25"/>
      <c r="BI15440" s="25"/>
      <c r="BJ15440" s="25"/>
      <c r="BK15440" s="25"/>
    </row>
    <row r="15441" spans="60:63" ht="14.25" x14ac:dyDescent="0.2">
      <c r="BH15441" s="25"/>
      <c r="BI15441" s="25"/>
      <c r="BJ15441" s="25"/>
      <c r="BK15441" s="25"/>
    </row>
    <row r="15442" spans="60:63" ht="14.25" x14ac:dyDescent="0.2">
      <c r="BH15442" s="25"/>
      <c r="BI15442" s="25"/>
      <c r="BJ15442" s="25"/>
      <c r="BK15442" s="25"/>
    </row>
    <row r="15443" spans="60:63" ht="14.25" x14ac:dyDescent="0.2">
      <c r="BH15443" s="25"/>
      <c r="BI15443" s="25"/>
      <c r="BJ15443" s="25"/>
      <c r="BK15443" s="25"/>
    </row>
    <row r="15444" spans="60:63" ht="14.25" x14ac:dyDescent="0.2">
      <c r="BH15444" s="25"/>
      <c r="BI15444" s="25"/>
      <c r="BJ15444" s="25"/>
      <c r="BK15444" s="25"/>
    </row>
    <row r="15445" spans="60:63" ht="14.25" x14ac:dyDescent="0.2">
      <c r="BH15445" s="25"/>
      <c r="BI15445" s="25"/>
      <c r="BJ15445" s="25"/>
      <c r="BK15445" s="25"/>
    </row>
    <row r="15446" spans="60:63" ht="14.25" x14ac:dyDescent="0.2">
      <c r="BH15446" s="25"/>
      <c r="BI15446" s="25"/>
      <c r="BJ15446" s="25"/>
      <c r="BK15446" s="25"/>
    </row>
    <row r="15447" spans="60:63" ht="14.25" x14ac:dyDescent="0.2">
      <c r="BH15447" s="25"/>
      <c r="BI15447" s="25"/>
      <c r="BJ15447" s="25"/>
      <c r="BK15447" s="25"/>
    </row>
    <row r="15448" spans="60:63" ht="14.25" x14ac:dyDescent="0.2">
      <c r="BH15448" s="25"/>
      <c r="BI15448" s="25"/>
      <c r="BJ15448" s="25"/>
      <c r="BK15448" s="25"/>
    </row>
    <row r="15449" spans="60:63" ht="14.25" x14ac:dyDescent="0.2">
      <c r="BH15449" s="25"/>
      <c r="BI15449" s="25"/>
      <c r="BJ15449" s="25"/>
      <c r="BK15449" s="25"/>
    </row>
    <row r="15450" spans="60:63" ht="14.25" x14ac:dyDescent="0.2">
      <c r="BH15450" s="25"/>
      <c r="BI15450" s="25"/>
      <c r="BJ15450" s="25"/>
      <c r="BK15450" s="25"/>
    </row>
    <row r="15451" spans="60:63" ht="14.25" x14ac:dyDescent="0.2">
      <c r="BH15451" s="25"/>
      <c r="BI15451" s="25"/>
      <c r="BJ15451" s="25"/>
      <c r="BK15451" s="25"/>
    </row>
    <row r="15452" spans="60:63" ht="14.25" x14ac:dyDescent="0.2">
      <c r="BH15452" s="25"/>
      <c r="BI15452" s="25"/>
      <c r="BJ15452" s="25"/>
      <c r="BK15452" s="25"/>
    </row>
    <row r="15453" spans="60:63" ht="14.25" x14ac:dyDescent="0.2">
      <c r="BH15453" s="25"/>
      <c r="BI15453" s="25"/>
      <c r="BJ15453" s="25"/>
      <c r="BK15453" s="25"/>
    </row>
    <row r="15454" spans="60:63" ht="14.25" x14ac:dyDescent="0.2">
      <c r="BH15454" s="25"/>
      <c r="BI15454" s="25"/>
      <c r="BJ15454" s="25"/>
      <c r="BK15454" s="25"/>
    </row>
    <row r="15455" spans="60:63" ht="14.25" x14ac:dyDescent="0.2">
      <c r="BH15455" s="25"/>
      <c r="BI15455" s="25"/>
      <c r="BJ15455" s="25"/>
      <c r="BK15455" s="25"/>
    </row>
    <row r="15456" spans="60:63" ht="14.25" x14ac:dyDescent="0.2">
      <c r="BH15456" s="25"/>
      <c r="BI15456" s="25"/>
      <c r="BJ15456" s="25"/>
      <c r="BK15456" s="25"/>
    </row>
    <row r="15457" spans="60:63" ht="14.25" x14ac:dyDescent="0.2">
      <c r="BH15457" s="25"/>
      <c r="BI15457" s="25"/>
      <c r="BJ15457" s="25"/>
      <c r="BK15457" s="25"/>
    </row>
    <row r="15458" spans="60:63" ht="14.25" x14ac:dyDescent="0.2">
      <c r="BH15458" s="25"/>
      <c r="BI15458" s="25"/>
      <c r="BJ15458" s="25"/>
      <c r="BK15458" s="25"/>
    </row>
    <row r="15459" spans="60:63" ht="14.25" x14ac:dyDescent="0.2">
      <c r="BH15459" s="25"/>
      <c r="BI15459" s="25"/>
      <c r="BJ15459" s="25"/>
      <c r="BK15459" s="25"/>
    </row>
    <row r="15460" spans="60:63" ht="14.25" x14ac:dyDescent="0.2">
      <c r="BH15460" s="25"/>
      <c r="BI15460" s="25"/>
      <c r="BJ15460" s="25"/>
      <c r="BK15460" s="25"/>
    </row>
    <row r="15461" spans="60:63" ht="14.25" x14ac:dyDescent="0.2">
      <c r="BH15461" s="25"/>
      <c r="BI15461" s="25"/>
      <c r="BJ15461" s="25"/>
      <c r="BK15461" s="25"/>
    </row>
    <row r="15462" spans="60:63" ht="14.25" x14ac:dyDescent="0.2">
      <c r="BH15462" s="25"/>
      <c r="BI15462" s="25"/>
      <c r="BJ15462" s="25"/>
      <c r="BK15462" s="25"/>
    </row>
    <row r="15463" spans="60:63" ht="14.25" x14ac:dyDescent="0.2">
      <c r="BH15463" s="25"/>
      <c r="BI15463" s="25"/>
      <c r="BJ15463" s="25"/>
      <c r="BK15463" s="25"/>
    </row>
    <row r="15464" spans="60:63" ht="14.25" x14ac:dyDescent="0.2">
      <c r="BH15464" s="25"/>
      <c r="BI15464" s="25"/>
      <c r="BJ15464" s="25"/>
      <c r="BK15464" s="25"/>
    </row>
    <row r="15465" spans="60:63" ht="14.25" x14ac:dyDescent="0.2">
      <c r="BH15465" s="25"/>
      <c r="BI15465" s="25"/>
      <c r="BJ15465" s="25"/>
      <c r="BK15465" s="25"/>
    </row>
    <row r="15466" spans="60:63" ht="14.25" x14ac:dyDescent="0.2">
      <c r="BH15466" s="25"/>
      <c r="BI15466" s="25"/>
      <c r="BJ15466" s="25"/>
      <c r="BK15466" s="25"/>
    </row>
    <row r="15467" spans="60:63" ht="14.25" x14ac:dyDescent="0.2">
      <c r="BH15467" s="25"/>
      <c r="BI15467" s="25"/>
      <c r="BJ15467" s="25"/>
      <c r="BK15467" s="25"/>
    </row>
    <row r="15468" spans="60:63" ht="14.25" x14ac:dyDescent="0.2">
      <c r="BH15468" s="25"/>
      <c r="BI15468" s="25"/>
      <c r="BJ15468" s="25"/>
      <c r="BK15468" s="25"/>
    </row>
    <row r="15469" spans="60:63" ht="14.25" x14ac:dyDescent="0.2">
      <c r="BH15469" s="25"/>
      <c r="BI15469" s="25"/>
      <c r="BJ15469" s="25"/>
      <c r="BK15469" s="25"/>
    </row>
    <row r="15470" spans="60:63" ht="14.25" x14ac:dyDescent="0.2">
      <c r="BH15470" s="25"/>
      <c r="BI15470" s="25"/>
      <c r="BJ15470" s="25"/>
      <c r="BK15470" s="25"/>
    </row>
    <row r="15471" spans="60:63" ht="14.25" x14ac:dyDescent="0.2">
      <c r="BH15471" s="25"/>
      <c r="BI15471" s="25"/>
      <c r="BJ15471" s="25"/>
      <c r="BK15471" s="25"/>
    </row>
    <row r="15472" spans="60:63" ht="14.25" x14ac:dyDescent="0.2">
      <c r="BH15472" s="25"/>
      <c r="BI15472" s="25"/>
      <c r="BJ15472" s="25"/>
      <c r="BK15472" s="25"/>
    </row>
    <row r="15473" spans="60:63" ht="14.25" x14ac:dyDescent="0.2">
      <c r="BH15473" s="25"/>
      <c r="BI15473" s="25"/>
      <c r="BJ15473" s="25"/>
      <c r="BK15473" s="25"/>
    </row>
    <row r="15474" spans="60:63" ht="14.25" x14ac:dyDescent="0.2">
      <c r="BH15474" s="25"/>
      <c r="BI15474" s="25"/>
      <c r="BJ15474" s="25"/>
      <c r="BK15474" s="25"/>
    </row>
    <row r="15475" spans="60:63" ht="14.25" x14ac:dyDescent="0.2">
      <c r="BH15475" s="25"/>
      <c r="BI15475" s="25"/>
      <c r="BJ15475" s="25"/>
      <c r="BK15475" s="25"/>
    </row>
    <row r="15476" spans="60:63" ht="14.25" x14ac:dyDescent="0.2">
      <c r="BH15476" s="25"/>
      <c r="BI15476" s="25"/>
      <c r="BJ15476" s="25"/>
      <c r="BK15476" s="25"/>
    </row>
    <row r="15477" spans="60:63" ht="14.25" x14ac:dyDescent="0.2">
      <c r="BH15477" s="25"/>
      <c r="BI15477" s="25"/>
      <c r="BJ15477" s="25"/>
      <c r="BK15477" s="25"/>
    </row>
    <row r="15478" spans="60:63" ht="14.25" x14ac:dyDescent="0.2">
      <c r="BH15478" s="25"/>
      <c r="BI15478" s="25"/>
      <c r="BJ15478" s="25"/>
      <c r="BK15478" s="25"/>
    </row>
    <row r="15479" spans="60:63" ht="14.25" x14ac:dyDescent="0.2">
      <c r="BH15479" s="25"/>
      <c r="BI15479" s="25"/>
      <c r="BJ15479" s="25"/>
      <c r="BK15479" s="25"/>
    </row>
    <row r="15480" spans="60:63" ht="14.25" x14ac:dyDescent="0.2">
      <c r="BH15480" s="25"/>
      <c r="BI15480" s="25"/>
      <c r="BJ15480" s="25"/>
      <c r="BK15480" s="25"/>
    </row>
    <row r="15481" spans="60:63" ht="14.25" x14ac:dyDescent="0.2">
      <c r="BH15481" s="25"/>
      <c r="BI15481" s="25"/>
      <c r="BJ15481" s="25"/>
      <c r="BK15481" s="25"/>
    </row>
    <row r="15482" spans="60:63" ht="14.25" x14ac:dyDescent="0.2">
      <c r="BH15482" s="25"/>
      <c r="BI15482" s="25"/>
      <c r="BJ15482" s="25"/>
      <c r="BK15482" s="25"/>
    </row>
    <row r="15483" spans="60:63" ht="14.25" x14ac:dyDescent="0.2">
      <c r="BH15483" s="25"/>
      <c r="BI15483" s="25"/>
      <c r="BJ15483" s="25"/>
      <c r="BK15483" s="25"/>
    </row>
    <row r="15484" spans="60:63" ht="14.25" x14ac:dyDescent="0.2">
      <c r="BH15484" s="25"/>
      <c r="BI15484" s="25"/>
      <c r="BJ15484" s="25"/>
      <c r="BK15484" s="25"/>
    </row>
    <row r="15485" spans="60:63" ht="14.25" x14ac:dyDescent="0.2">
      <c r="BH15485" s="25"/>
      <c r="BI15485" s="25"/>
      <c r="BJ15485" s="25"/>
      <c r="BK15485" s="25"/>
    </row>
    <row r="15486" spans="60:63" ht="14.25" x14ac:dyDescent="0.2">
      <c r="BH15486" s="25"/>
      <c r="BI15486" s="25"/>
      <c r="BJ15486" s="25"/>
      <c r="BK15486" s="25"/>
    </row>
    <row r="15487" spans="60:63" ht="14.25" x14ac:dyDescent="0.2">
      <c r="BH15487" s="25"/>
      <c r="BI15487" s="25"/>
      <c r="BJ15487" s="25"/>
      <c r="BK15487" s="25"/>
    </row>
    <row r="15488" spans="60:63" ht="14.25" x14ac:dyDescent="0.2">
      <c r="BH15488" s="25"/>
      <c r="BI15488" s="25"/>
      <c r="BJ15488" s="25"/>
      <c r="BK15488" s="25"/>
    </row>
    <row r="15489" spans="60:63" ht="14.25" x14ac:dyDescent="0.2">
      <c r="BH15489" s="25"/>
      <c r="BI15489" s="25"/>
      <c r="BJ15489" s="25"/>
      <c r="BK15489" s="25"/>
    </row>
    <row r="15490" spans="60:63" ht="14.25" x14ac:dyDescent="0.2">
      <c r="BH15490" s="25"/>
      <c r="BI15490" s="25"/>
      <c r="BJ15490" s="25"/>
      <c r="BK15490" s="25"/>
    </row>
    <row r="15491" spans="60:63" ht="14.25" x14ac:dyDescent="0.2">
      <c r="BH15491" s="25"/>
      <c r="BI15491" s="25"/>
      <c r="BJ15491" s="25"/>
      <c r="BK15491" s="25"/>
    </row>
    <row r="15492" spans="60:63" ht="14.25" x14ac:dyDescent="0.2">
      <c r="BH15492" s="25"/>
      <c r="BI15492" s="25"/>
      <c r="BJ15492" s="25"/>
      <c r="BK15492" s="25"/>
    </row>
    <row r="15493" spans="60:63" ht="14.25" x14ac:dyDescent="0.2">
      <c r="BH15493" s="25"/>
      <c r="BI15493" s="25"/>
      <c r="BJ15493" s="25"/>
      <c r="BK15493" s="25"/>
    </row>
    <row r="15494" spans="60:63" ht="14.25" x14ac:dyDescent="0.2">
      <c r="BH15494" s="25"/>
      <c r="BI15494" s="25"/>
      <c r="BJ15494" s="25"/>
      <c r="BK15494" s="25"/>
    </row>
    <row r="15495" spans="60:63" ht="14.25" x14ac:dyDescent="0.2">
      <c r="BH15495" s="25"/>
      <c r="BI15495" s="25"/>
      <c r="BJ15495" s="25"/>
      <c r="BK15495" s="25"/>
    </row>
    <row r="15496" spans="60:63" ht="14.25" x14ac:dyDescent="0.2">
      <c r="BH15496" s="25"/>
      <c r="BI15496" s="25"/>
      <c r="BJ15496" s="25"/>
      <c r="BK15496" s="25"/>
    </row>
    <row r="15497" spans="60:63" ht="14.25" x14ac:dyDescent="0.2">
      <c r="BH15497" s="25"/>
      <c r="BI15497" s="25"/>
      <c r="BJ15497" s="25"/>
      <c r="BK15497" s="25"/>
    </row>
    <row r="15498" spans="60:63" ht="14.25" x14ac:dyDescent="0.2">
      <c r="BH15498" s="25"/>
      <c r="BI15498" s="25"/>
      <c r="BJ15498" s="25"/>
      <c r="BK15498" s="25"/>
    </row>
    <row r="15499" spans="60:63" ht="14.25" x14ac:dyDescent="0.2">
      <c r="BH15499" s="25"/>
      <c r="BI15499" s="25"/>
      <c r="BJ15499" s="25"/>
      <c r="BK15499" s="25"/>
    </row>
    <row r="15500" spans="60:63" ht="14.25" x14ac:dyDescent="0.2">
      <c r="BH15500" s="25"/>
      <c r="BI15500" s="25"/>
      <c r="BJ15500" s="25"/>
      <c r="BK15500" s="25"/>
    </row>
    <row r="15501" spans="60:63" ht="14.25" x14ac:dyDescent="0.2">
      <c r="BH15501" s="25"/>
      <c r="BI15501" s="25"/>
      <c r="BJ15501" s="25"/>
      <c r="BK15501" s="25"/>
    </row>
    <row r="15502" spans="60:63" ht="14.25" x14ac:dyDescent="0.2">
      <c r="BH15502" s="25"/>
      <c r="BI15502" s="25"/>
      <c r="BJ15502" s="25"/>
      <c r="BK15502" s="25"/>
    </row>
    <row r="15503" spans="60:63" ht="14.25" x14ac:dyDescent="0.2">
      <c r="BH15503" s="25"/>
      <c r="BI15503" s="25"/>
      <c r="BJ15503" s="25"/>
      <c r="BK15503" s="25"/>
    </row>
    <row r="15504" spans="60:63" ht="14.25" x14ac:dyDescent="0.2">
      <c r="BH15504" s="25"/>
      <c r="BI15504" s="25"/>
      <c r="BJ15504" s="25"/>
      <c r="BK15504" s="25"/>
    </row>
    <row r="15505" spans="60:63" ht="14.25" x14ac:dyDescent="0.2">
      <c r="BH15505" s="25"/>
      <c r="BI15505" s="25"/>
      <c r="BJ15505" s="25"/>
      <c r="BK15505" s="25"/>
    </row>
    <row r="15506" spans="60:63" ht="14.25" x14ac:dyDescent="0.2">
      <c r="BH15506" s="25"/>
      <c r="BI15506" s="25"/>
      <c r="BJ15506" s="25"/>
      <c r="BK15506" s="25"/>
    </row>
    <row r="15507" spans="60:63" ht="14.25" x14ac:dyDescent="0.2">
      <c r="BH15507" s="25"/>
      <c r="BI15507" s="25"/>
      <c r="BJ15507" s="25"/>
      <c r="BK15507" s="25"/>
    </row>
    <row r="15508" spans="60:63" ht="14.25" x14ac:dyDescent="0.2">
      <c r="BH15508" s="25"/>
      <c r="BI15508" s="25"/>
      <c r="BJ15508" s="25"/>
      <c r="BK15508" s="25"/>
    </row>
    <row r="15509" spans="60:63" ht="14.25" x14ac:dyDescent="0.2">
      <c r="BH15509" s="25"/>
      <c r="BI15509" s="25"/>
      <c r="BJ15509" s="25"/>
      <c r="BK15509" s="25"/>
    </row>
    <row r="15510" spans="60:63" ht="14.25" x14ac:dyDescent="0.2">
      <c r="BH15510" s="25"/>
      <c r="BI15510" s="25"/>
      <c r="BJ15510" s="25"/>
      <c r="BK15510" s="25"/>
    </row>
    <row r="15511" spans="60:63" ht="14.25" x14ac:dyDescent="0.2">
      <c r="BH15511" s="25"/>
      <c r="BI15511" s="25"/>
      <c r="BJ15511" s="25"/>
      <c r="BK15511" s="25"/>
    </row>
    <row r="15512" spans="60:63" ht="14.25" x14ac:dyDescent="0.2">
      <c r="BH15512" s="25"/>
      <c r="BI15512" s="25"/>
      <c r="BJ15512" s="25"/>
      <c r="BK15512" s="25"/>
    </row>
    <row r="15513" spans="60:63" ht="14.25" x14ac:dyDescent="0.2">
      <c r="BH15513" s="25"/>
      <c r="BI15513" s="25"/>
      <c r="BJ15513" s="25"/>
      <c r="BK15513" s="25"/>
    </row>
    <row r="15514" spans="60:63" ht="14.25" x14ac:dyDescent="0.2">
      <c r="BH15514" s="25"/>
      <c r="BI15514" s="25"/>
      <c r="BJ15514" s="25"/>
      <c r="BK15514" s="25"/>
    </row>
    <row r="15515" spans="60:63" ht="14.25" x14ac:dyDescent="0.2">
      <c r="BH15515" s="25"/>
      <c r="BI15515" s="25"/>
      <c r="BJ15515" s="25"/>
      <c r="BK15515" s="25"/>
    </row>
    <row r="15516" spans="60:63" ht="14.25" x14ac:dyDescent="0.2">
      <c r="BH15516" s="25"/>
      <c r="BI15516" s="25"/>
      <c r="BJ15516" s="25"/>
      <c r="BK15516" s="25"/>
    </row>
    <row r="15517" spans="60:63" ht="14.25" x14ac:dyDescent="0.2">
      <c r="BH15517" s="25"/>
      <c r="BI15517" s="25"/>
      <c r="BJ15517" s="25"/>
      <c r="BK15517" s="25"/>
    </row>
    <row r="15518" spans="60:63" ht="14.25" x14ac:dyDescent="0.2">
      <c r="BH15518" s="25"/>
      <c r="BI15518" s="25"/>
      <c r="BJ15518" s="25"/>
      <c r="BK15518" s="25"/>
    </row>
    <row r="15519" spans="60:63" ht="14.25" x14ac:dyDescent="0.2">
      <c r="BH15519" s="25"/>
      <c r="BI15519" s="25"/>
      <c r="BJ15519" s="25"/>
      <c r="BK15519" s="25"/>
    </row>
    <row r="15520" spans="60:63" ht="14.25" x14ac:dyDescent="0.2">
      <c r="BH15520" s="25"/>
      <c r="BI15520" s="25"/>
      <c r="BJ15520" s="25"/>
      <c r="BK15520" s="25"/>
    </row>
    <row r="15521" spans="60:63" ht="14.25" x14ac:dyDescent="0.2">
      <c r="BH15521" s="25"/>
      <c r="BI15521" s="25"/>
      <c r="BJ15521" s="25"/>
      <c r="BK15521" s="25"/>
    </row>
    <row r="15522" spans="60:63" ht="14.25" x14ac:dyDescent="0.2">
      <c r="BH15522" s="25"/>
      <c r="BI15522" s="25"/>
      <c r="BJ15522" s="25"/>
      <c r="BK15522" s="25"/>
    </row>
    <row r="15523" spans="60:63" ht="14.25" x14ac:dyDescent="0.2">
      <c r="BH15523" s="25"/>
      <c r="BI15523" s="25"/>
      <c r="BJ15523" s="25"/>
      <c r="BK15523" s="25"/>
    </row>
    <row r="15524" spans="60:63" ht="14.25" x14ac:dyDescent="0.2">
      <c r="BH15524" s="25"/>
      <c r="BI15524" s="25"/>
      <c r="BJ15524" s="25"/>
      <c r="BK15524" s="25"/>
    </row>
    <row r="15525" spans="60:63" ht="14.25" x14ac:dyDescent="0.2">
      <c r="BH15525" s="25"/>
      <c r="BI15525" s="25"/>
      <c r="BJ15525" s="25"/>
      <c r="BK15525" s="25"/>
    </row>
    <row r="15526" spans="60:63" ht="14.25" x14ac:dyDescent="0.2">
      <c r="BH15526" s="25"/>
      <c r="BI15526" s="25"/>
      <c r="BJ15526" s="25"/>
      <c r="BK15526" s="25"/>
    </row>
    <row r="15527" spans="60:63" ht="14.25" x14ac:dyDescent="0.2">
      <c r="BH15527" s="25"/>
      <c r="BI15527" s="25"/>
      <c r="BJ15527" s="25"/>
      <c r="BK15527" s="25"/>
    </row>
    <row r="15528" spans="60:63" ht="14.25" x14ac:dyDescent="0.2">
      <c r="BH15528" s="25"/>
      <c r="BI15528" s="25"/>
      <c r="BJ15528" s="25"/>
      <c r="BK15528" s="25"/>
    </row>
    <row r="15529" spans="60:63" ht="14.25" x14ac:dyDescent="0.2">
      <c r="BH15529" s="25"/>
      <c r="BI15529" s="25"/>
      <c r="BJ15529" s="25"/>
      <c r="BK15529" s="25"/>
    </row>
    <row r="15530" spans="60:63" ht="14.25" x14ac:dyDescent="0.2">
      <c r="BH15530" s="25"/>
      <c r="BI15530" s="25"/>
      <c r="BJ15530" s="25"/>
      <c r="BK15530" s="25"/>
    </row>
    <row r="15531" spans="60:63" ht="14.25" x14ac:dyDescent="0.2">
      <c r="BH15531" s="25"/>
      <c r="BI15531" s="25"/>
      <c r="BJ15531" s="25"/>
      <c r="BK15531" s="25"/>
    </row>
    <row r="15532" spans="60:63" ht="14.25" x14ac:dyDescent="0.2">
      <c r="BH15532" s="25"/>
      <c r="BI15532" s="25"/>
      <c r="BJ15532" s="25"/>
      <c r="BK15532" s="25"/>
    </row>
    <row r="15533" spans="60:63" ht="14.25" x14ac:dyDescent="0.2">
      <c r="BH15533" s="25"/>
      <c r="BI15533" s="25"/>
      <c r="BJ15533" s="25"/>
      <c r="BK15533" s="25"/>
    </row>
    <row r="15534" spans="60:63" ht="14.25" x14ac:dyDescent="0.2">
      <c r="BH15534" s="25"/>
      <c r="BI15534" s="25"/>
      <c r="BJ15534" s="25"/>
      <c r="BK15534" s="25"/>
    </row>
    <row r="15535" spans="60:63" ht="14.25" x14ac:dyDescent="0.2">
      <c r="BH15535" s="25"/>
      <c r="BI15535" s="25"/>
      <c r="BJ15535" s="25"/>
      <c r="BK15535" s="25"/>
    </row>
    <row r="15536" spans="60:63" ht="14.25" x14ac:dyDescent="0.2">
      <c r="BH15536" s="25"/>
      <c r="BI15536" s="25"/>
      <c r="BJ15536" s="25"/>
      <c r="BK15536" s="25"/>
    </row>
    <row r="15537" spans="60:63" ht="14.25" x14ac:dyDescent="0.2">
      <c r="BH15537" s="25"/>
      <c r="BI15537" s="25"/>
      <c r="BJ15537" s="25"/>
      <c r="BK15537" s="25"/>
    </row>
    <row r="15538" spans="60:63" ht="14.25" x14ac:dyDescent="0.2">
      <c r="BH15538" s="25"/>
      <c r="BI15538" s="25"/>
      <c r="BJ15538" s="25"/>
      <c r="BK15538" s="25"/>
    </row>
    <row r="15539" spans="60:63" ht="14.25" x14ac:dyDescent="0.2">
      <c r="BH15539" s="25"/>
      <c r="BI15539" s="25"/>
      <c r="BJ15539" s="25"/>
      <c r="BK15539" s="25"/>
    </row>
    <row r="15540" spans="60:63" ht="14.25" x14ac:dyDescent="0.2">
      <c r="BH15540" s="25"/>
      <c r="BI15540" s="25"/>
      <c r="BJ15540" s="25"/>
      <c r="BK15540" s="25"/>
    </row>
    <row r="15541" spans="60:63" ht="14.25" x14ac:dyDescent="0.2">
      <c r="BH15541" s="25"/>
      <c r="BI15541" s="25"/>
      <c r="BJ15541" s="25"/>
      <c r="BK15541" s="25"/>
    </row>
    <row r="15542" spans="60:63" ht="14.25" x14ac:dyDescent="0.2">
      <c r="BH15542" s="25"/>
      <c r="BI15542" s="25"/>
      <c r="BJ15542" s="25"/>
      <c r="BK15542" s="25"/>
    </row>
    <row r="15543" spans="60:63" ht="14.25" x14ac:dyDescent="0.2">
      <c r="BH15543" s="25"/>
      <c r="BI15543" s="25"/>
      <c r="BJ15543" s="25"/>
      <c r="BK15543" s="25"/>
    </row>
    <row r="15544" spans="60:63" ht="14.25" x14ac:dyDescent="0.2">
      <c r="BH15544" s="25"/>
      <c r="BI15544" s="25"/>
      <c r="BJ15544" s="25"/>
      <c r="BK15544" s="25"/>
    </row>
    <row r="15545" spans="60:63" ht="14.25" x14ac:dyDescent="0.2">
      <c r="BH15545" s="25"/>
      <c r="BI15545" s="25"/>
      <c r="BJ15545" s="25"/>
      <c r="BK15545" s="25"/>
    </row>
    <row r="15546" spans="60:63" ht="14.25" x14ac:dyDescent="0.2">
      <c r="BH15546" s="25"/>
      <c r="BI15546" s="25"/>
      <c r="BJ15546" s="25"/>
      <c r="BK15546" s="25"/>
    </row>
    <row r="15547" spans="60:63" ht="14.25" x14ac:dyDescent="0.2">
      <c r="BH15547" s="25"/>
      <c r="BI15547" s="25"/>
      <c r="BJ15547" s="25"/>
      <c r="BK15547" s="25"/>
    </row>
    <row r="15548" spans="60:63" ht="14.25" x14ac:dyDescent="0.2">
      <c r="BH15548" s="25"/>
      <c r="BI15548" s="25"/>
      <c r="BJ15548" s="25"/>
      <c r="BK15548" s="25"/>
    </row>
    <row r="15549" spans="60:63" ht="14.25" x14ac:dyDescent="0.2">
      <c r="BH15549" s="25"/>
      <c r="BI15549" s="25"/>
      <c r="BJ15549" s="25"/>
      <c r="BK15549" s="25"/>
    </row>
    <row r="15550" spans="60:63" ht="14.25" x14ac:dyDescent="0.2">
      <c r="BH15550" s="25"/>
      <c r="BI15550" s="25"/>
      <c r="BJ15550" s="25"/>
      <c r="BK15550" s="25"/>
    </row>
    <row r="15551" spans="60:63" ht="14.25" x14ac:dyDescent="0.2">
      <c r="BH15551" s="25"/>
      <c r="BI15551" s="25"/>
      <c r="BJ15551" s="25"/>
      <c r="BK15551" s="25"/>
    </row>
    <row r="15552" spans="60:63" ht="14.25" x14ac:dyDescent="0.2">
      <c r="BH15552" s="25"/>
      <c r="BI15552" s="25"/>
      <c r="BJ15552" s="25"/>
      <c r="BK15552" s="25"/>
    </row>
    <row r="15553" spans="60:63" ht="14.25" x14ac:dyDescent="0.2">
      <c r="BH15553" s="25"/>
      <c r="BI15553" s="25"/>
      <c r="BJ15553" s="25"/>
      <c r="BK15553" s="25"/>
    </row>
    <row r="15554" spans="60:63" ht="14.25" x14ac:dyDescent="0.2">
      <c r="BH15554" s="25"/>
      <c r="BI15554" s="25"/>
      <c r="BJ15554" s="25"/>
      <c r="BK15554" s="25"/>
    </row>
    <row r="15555" spans="60:63" ht="14.25" x14ac:dyDescent="0.2">
      <c r="BH15555" s="25"/>
      <c r="BI15555" s="25"/>
      <c r="BJ15555" s="25"/>
      <c r="BK15555" s="25"/>
    </row>
    <row r="15556" spans="60:63" ht="14.25" x14ac:dyDescent="0.2">
      <c r="BH15556" s="25"/>
      <c r="BI15556" s="25"/>
      <c r="BJ15556" s="25"/>
      <c r="BK15556" s="25"/>
    </row>
    <row r="15557" spans="60:63" ht="14.25" x14ac:dyDescent="0.2">
      <c r="BH15557" s="25"/>
      <c r="BI15557" s="25"/>
      <c r="BJ15557" s="25"/>
      <c r="BK15557" s="25"/>
    </row>
    <row r="15558" spans="60:63" ht="14.25" x14ac:dyDescent="0.2">
      <c r="BH15558" s="25"/>
      <c r="BI15558" s="25"/>
      <c r="BJ15558" s="25"/>
      <c r="BK15558" s="25"/>
    </row>
    <row r="15559" spans="60:63" ht="14.25" x14ac:dyDescent="0.2">
      <c r="BH15559" s="25"/>
      <c r="BI15559" s="25"/>
      <c r="BJ15559" s="25"/>
      <c r="BK15559" s="25"/>
    </row>
    <row r="15560" spans="60:63" ht="14.25" x14ac:dyDescent="0.2">
      <c r="BH15560" s="25"/>
      <c r="BI15560" s="25"/>
      <c r="BJ15560" s="25"/>
      <c r="BK15560" s="25"/>
    </row>
    <row r="15561" spans="60:63" ht="14.25" x14ac:dyDescent="0.2">
      <c r="BH15561" s="25"/>
      <c r="BI15561" s="25"/>
      <c r="BJ15561" s="25"/>
      <c r="BK15561" s="25"/>
    </row>
    <row r="15562" spans="60:63" ht="14.25" x14ac:dyDescent="0.2">
      <c r="BH15562" s="25"/>
      <c r="BI15562" s="25"/>
      <c r="BJ15562" s="25"/>
      <c r="BK15562" s="25"/>
    </row>
    <row r="15563" spans="60:63" ht="14.25" x14ac:dyDescent="0.2">
      <c r="BH15563" s="25"/>
      <c r="BI15563" s="25"/>
      <c r="BJ15563" s="25"/>
      <c r="BK15563" s="25"/>
    </row>
    <row r="15564" spans="60:63" ht="14.25" x14ac:dyDescent="0.2">
      <c r="BH15564" s="25"/>
      <c r="BI15564" s="25"/>
      <c r="BJ15564" s="25"/>
      <c r="BK15564" s="25"/>
    </row>
    <row r="15565" spans="60:63" ht="14.25" x14ac:dyDescent="0.2">
      <c r="BH15565" s="25"/>
      <c r="BI15565" s="25"/>
      <c r="BJ15565" s="25"/>
      <c r="BK15565" s="25"/>
    </row>
    <row r="15566" spans="60:63" ht="14.25" x14ac:dyDescent="0.2">
      <c r="BH15566" s="25"/>
      <c r="BI15566" s="25"/>
      <c r="BJ15566" s="25"/>
      <c r="BK15566" s="25"/>
    </row>
    <row r="15567" spans="60:63" ht="14.25" x14ac:dyDescent="0.2">
      <c r="BH15567" s="25"/>
      <c r="BI15567" s="25"/>
      <c r="BJ15567" s="25"/>
      <c r="BK15567" s="25"/>
    </row>
    <row r="15568" spans="60:63" ht="14.25" x14ac:dyDescent="0.2">
      <c r="BH15568" s="25"/>
      <c r="BI15568" s="25"/>
      <c r="BJ15568" s="25"/>
      <c r="BK15568" s="25"/>
    </row>
    <row r="15569" spans="60:63" ht="14.25" x14ac:dyDescent="0.2">
      <c r="BH15569" s="25"/>
      <c r="BI15569" s="25"/>
      <c r="BJ15569" s="25"/>
      <c r="BK15569" s="25"/>
    </row>
    <row r="15570" spans="60:63" ht="14.25" x14ac:dyDescent="0.2">
      <c r="BH15570" s="25"/>
      <c r="BI15570" s="25"/>
      <c r="BJ15570" s="25"/>
      <c r="BK15570" s="25"/>
    </row>
    <row r="15571" spans="60:63" ht="14.25" x14ac:dyDescent="0.2">
      <c r="BH15571" s="25"/>
      <c r="BI15571" s="25"/>
      <c r="BJ15571" s="25"/>
      <c r="BK15571" s="25"/>
    </row>
    <row r="15572" spans="60:63" ht="14.25" x14ac:dyDescent="0.2">
      <c r="BH15572" s="25"/>
      <c r="BI15572" s="25"/>
      <c r="BJ15572" s="25"/>
      <c r="BK15572" s="25"/>
    </row>
    <row r="15573" spans="60:63" ht="14.25" x14ac:dyDescent="0.2">
      <c r="BH15573" s="25"/>
      <c r="BI15573" s="25"/>
      <c r="BJ15573" s="25"/>
      <c r="BK15573" s="25"/>
    </row>
    <row r="15574" spans="60:63" ht="14.25" x14ac:dyDescent="0.2">
      <c r="BH15574" s="25"/>
      <c r="BI15574" s="25"/>
      <c r="BJ15574" s="25"/>
      <c r="BK15574" s="25"/>
    </row>
    <row r="15575" spans="60:63" ht="14.25" x14ac:dyDescent="0.2">
      <c r="BH15575" s="25"/>
      <c r="BI15575" s="25"/>
      <c r="BJ15575" s="25"/>
      <c r="BK15575" s="25"/>
    </row>
    <row r="15576" spans="60:63" ht="14.25" x14ac:dyDescent="0.2">
      <c r="BH15576" s="25"/>
      <c r="BI15576" s="25"/>
      <c r="BJ15576" s="25"/>
      <c r="BK15576" s="25"/>
    </row>
    <row r="15577" spans="60:63" ht="14.25" x14ac:dyDescent="0.2">
      <c r="BH15577" s="25"/>
      <c r="BI15577" s="25"/>
      <c r="BJ15577" s="25"/>
      <c r="BK15577" s="25"/>
    </row>
    <row r="15578" spans="60:63" ht="14.25" x14ac:dyDescent="0.2">
      <c r="BH15578" s="25"/>
      <c r="BI15578" s="25"/>
      <c r="BJ15578" s="25"/>
      <c r="BK15578" s="25"/>
    </row>
    <row r="15579" spans="60:63" ht="14.25" x14ac:dyDescent="0.2">
      <c r="BH15579" s="25"/>
      <c r="BI15579" s="25"/>
      <c r="BJ15579" s="25"/>
      <c r="BK15579" s="25"/>
    </row>
    <row r="15580" spans="60:63" ht="14.25" x14ac:dyDescent="0.2">
      <c r="BH15580" s="25"/>
      <c r="BI15580" s="25"/>
      <c r="BJ15580" s="25"/>
      <c r="BK15580" s="25"/>
    </row>
    <row r="15581" spans="60:63" ht="14.25" x14ac:dyDescent="0.2">
      <c r="BH15581" s="25"/>
      <c r="BI15581" s="25"/>
      <c r="BJ15581" s="25"/>
      <c r="BK15581" s="25"/>
    </row>
    <row r="15582" spans="60:63" ht="14.25" x14ac:dyDescent="0.2">
      <c r="BH15582" s="25"/>
      <c r="BI15582" s="25"/>
      <c r="BJ15582" s="25"/>
      <c r="BK15582" s="25"/>
    </row>
    <row r="15583" spans="60:63" ht="14.25" x14ac:dyDescent="0.2">
      <c r="BH15583" s="25"/>
      <c r="BI15583" s="25"/>
      <c r="BJ15583" s="25"/>
      <c r="BK15583" s="25"/>
    </row>
    <row r="15584" spans="60:63" ht="14.25" x14ac:dyDescent="0.2">
      <c r="BH15584" s="25"/>
      <c r="BI15584" s="25"/>
      <c r="BJ15584" s="25"/>
      <c r="BK15584" s="25"/>
    </row>
    <row r="15585" spans="60:63" ht="14.25" x14ac:dyDescent="0.2">
      <c r="BH15585" s="25"/>
      <c r="BI15585" s="25"/>
      <c r="BJ15585" s="25"/>
      <c r="BK15585" s="25"/>
    </row>
    <row r="15586" spans="60:63" ht="14.25" x14ac:dyDescent="0.2">
      <c r="BH15586" s="25"/>
      <c r="BI15586" s="25"/>
      <c r="BJ15586" s="25"/>
      <c r="BK15586" s="25"/>
    </row>
    <row r="15587" spans="60:63" ht="14.25" x14ac:dyDescent="0.2">
      <c r="BH15587" s="25"/>
      <c r="BI15587" s="25"/>
      <c r="BJ15587" s="25"/>
      <c r="BK15587" s="25"/>
    </row>
    <row r="15588" spans="60:63" ht="14.25" x14ac:dyDescent="0.2">
      <c r="BH15588" s="25"/>
      <c r="BI15588" s="25"/>
      <c r="BJ15588" s="25"/>
      <c r="BK15588" s="25"/>
    </row>
    <row r="15589" spans="60:63" ht="14.25" x14ac:dyDescent="0.2">
      <c r="BH15589" s="25"/>
      <c r="BI15589" s="25"/>
      <c r="BJ15589" s="25"/>
      <c r="BK15589" s="25"/>
    </row>
    <row r="15590" spans="60:63" ht="14.25" x14ac:dyDescent="0.2">
      <c r="BH15590" s="25"/>
      <c r="BI15590" s="25"/>
      <c r="BJ15590" s="25"/>
      <c r="BK15590" s="25"/>
    </row>
    <row r="15591" spans="60:63" ht="14.25" x14ac:dyDescent="0.2">
      <c r="BH15591" s="25"/>
      <c r="BI15591" s="25"/>
      <c r="BJ15591" s="25"/>
      <c r="BK15591" s="25"/>
    </row>
    <row r="15592" spans="60:63" ht="14.25" x14ac:dyDescent="0.2">
      <c r="BH15592" s="25"/>
      <c r="BI15592" s="25"/>
      <c r="BJ15592" s="25"/>
      <c r="BK15592" s="25"/>
    </row>
    <row r="15593" spans="60:63" ht="14.25" x14ac:dyDescent="0.2">
      <c r="BH15593" s="25"/>
      <c r="BI15593" s="25"/>
      <c r="BJ15593" s="25"/>
      <c r="BK15593" s="25"/>
    </row>
    <row r="15594" spans="60:63" ht="14.25" x14ac:dyDescent="0.2">
      <c r="BH15594" s="25"/>
      <c r="BI15594" s="25"/>
      <c r="BJ15594" s="25"/>
      <c r="BK15594" s="25"/>
    </row>
    <row r="15595" spans="60:63" ht="14.25" x14ac:dyDescent="0.2">
      <c r="BH15595" s="25"/>
      <c r="BI15595" s="25"/>
      <c r="BJ15595" s="25"/>
      <c r="BK15595" s="25"/>
    </row>
    <row r="15596" spans="60:63" ht="14.25" x14ac:dyDescent="0.2">
      <c r="BH15596" s="25"/>
      <c r="BI15596" s="25"/>
      <c r="BJ15596" s="25"/>
      <c r="BK15596" s="25"/>
    </row>
    <row r="15597" spans="60:63" ht="14.25" x14ac:dyDescent="0.2">
      <c r="BH15597" s="25"/>
      <c r="BI15597" s="25"/>
      <c r="BJ15597" s="25"/>
      <c r="BK15597" s="25"/>
    </row>
    <row r="15598" spans="60:63" ht="14.25" x14ac:dyDescent="0.2">
      <c r="BH15598" s="25"/>
      <c r="BI15598" s="25"/>
      <c r="BJ15598" s="25"/>
      <c r="BK15598" s="25"/>
    </row>
    <row r="15599" spans="60:63" ht="14.25" x14ac:dyDescent="0.2">
      <c r="BH15599" s="25"/>
      <c r="BI15599" s="25"/>
      <c r="BJ15599" s="25"/>
      <c r="BK15599" s="25"/>
    </row>
    <row r="15600" spans="60:63" ht="14.25" x14ac:dyDescent="0.2">
      <c r="BH15600" s="25"/>
      <c r="BI15600" s="25"/>
      <c r="BJ15600" s="25"/>
      <c r="BK15600" s="25"/>
    </row>
    <row r="15601" spans="60:63" ht="14.25" x14ac:dyDescent="0.2">
      <c r="BH15601" s="25"/>
      <c r="BI15601" s="25"/>
      <c r="BJ15601" s="25"/>
      <c r="BK15601" s="25"/>
    </row>
    <row r="15602" spans="60:63" ht="14.25" x14ac:dyDescent="0.2">
      <c r="BH15602" s="25"/>
      <c r="BI15602" s="25"/>
      <c r="BJ15602" s="25"/>
      <c r="BK15602" s="25"/>
    </row>
    <row r="15603" spans="60:63" ht="14.25" x14ac:dyDescent="0.2">
      <c r="BH15603" s="25"/>
      <c r="BI15603" s="25"/>
      <c r="BJ15603" s="25"/>
      <c r="BK15603" s="25"/>
    </row>
    <row r="15604" spans="60:63" ht="14.25" x14ac:dyDescent="0.2">
      <c r="BH15604" s="25"/>
      <c r="BI15604" s="25"/>
      <c r="BJ15604" s="25"/>
      <c r="BK15604" s="25"/>
    </row>
    <row r="15605" spans="60:63" ht="14.25" x14ac:dyDescent="0.2">
      <c r="BH15605" s="25"/>
      <c r="BI15605" s="25"/>
      <c r="BJ15605" s="25"/>
      <c r="BK15605" s="25"/>
    </row>
    <row r="15606" spans="60:63" ht="14.25" x14ac:dyDescent="0.2">
      <c r="BH15606" s="25"/>
      <c r="BI15606" s="25"/>
      <c r="BJ15606" s="25"/>
      <c r="BK15606" s="25"/>
    </row>
    <row r="15607" spans="60:63" ht="14.25" x14ac:dyDescent="0.2">
      <c r="BH15607" s="25"/>
      <c r="BI15607" s="25"/>
      <c r="BJ15607" s="25"/>
      <c r="BK15607" s="25"/>
    </row>
    <row r="15608" spans="60:63" ht="14.25" x14ac:dyDescent="0.2">
      <c r="BH15608" s="25"/>
      <c r="BI15608" s="25"/>
      <c r="BJ15608" s="25"/>
      <c r="BK15608" s="25"/>
    </row>
    <row r="15609" spans="60:63" ht="14.25" x14ac:dyDescent="0.2">
      <c r="BH15609" s="25"/>
      <c r="BI15609" s="25"/>
      <c r="BJ15609" s="25"/>
      <c r="BK15609" s="25"/>
    </row>
    <row r="15610" spans="60:63" ht="14.25" x14ac:dyDescent="0.2">
      <c r="BH15610" s="25"/>
      <c r="BI15610" s="25"/>
      <c r="BJ15610" s="25"/>
      <c r="BK15610" s="25"/>
    </row>
    <row r="15611" spans="60:63" ht="14.25" x14ac:dyDescent="0.2">
      <c r="BH15611" s="25"/>
      <c r="BI15611" s="25"/>
      <c r="BJ15611" s="25"/>
      <c r="BK15611" s="25"/>
    </row>
    <row r="15612" spans="60:63" ht="14.25" x14ac:dyDescent="0.2">
      <c r="BH15612" s="25"/>
      <c r="BI15612" s="25"/>
      <c r="BJ15612" s="25"/>
      <c r="BK15612" s="25"/>
    </row>
    <row r="15613" spans="60:63" ht="14.25" x14ac:dyDescent="0.2">
      <c r="BH15613" s="25"/>
      <c r="BI15613" s="25"/>
      <c r="BJ15613" s="25"/>
      <c r="BK15613" s="25"/>
    </row>
    <row r="15614" spans="60:63" ht="14.25" x14ac:dyDescent="0.2">
      <c r="BH15614" s="25"/>
      <c r="BI15614" s="25"/>
      <c r="BJ15614" s="25"/>
      <c r="BK15614" s="25"/>
    </row>
    <row r="15615" spans="60:63" ht="14.25" x14ac:dyDescent="0.2">
      <c r="BH15615" s="25"/>
      <c r="BI15615" s="25"/>
      <c r="BJ15615" s="25"/>
      <c r="BK15615" s="25"/>
    </row>
    <row r="15616" spans="60:63" ht="14.25" x14ac:dyDescent="0.2">
      <c r="BH15616" s="25"/>
      <c r="BI15616" s="25"/>
      <c r="BJ15616" s="25"/>
      <c r="BK15616" s="25"/>
    </row>
    <row r="15617" spans="60:63" ht="14.25" x14ac:dyDescent="0.2">
      <c r="BH15617" s="25"/>
      <c r="BI15617" s="25"/>
      <c r="BJ15617" s="25"/>
      <c r="BK15617" s="25"/>
    </row>
    <row r="15618" spans="60:63" ht="14.25" x14ac:dyDescent="0.2">
      <c r="BH15618" s="25"/>
      <c r="BI15618" s="25"/>
      <c r="BJ15618" s="25"/>
      <c r="BK15618" s="25"/>
    </row>
    <row r="15619" spans="60:63" ht="14.25" x14ac:dyDescent="0.2">
      <c r="BH15619" s="25"/>
      <c r="BI15619" s="25"/>
      <c r="BJ15619" s="25"/>
      <c r="BK15619" s="25"/>
    </row>
    <row r="15620" spans="60:63" ht="14.25" x14ac:dyDescent="0.2">
      <c r="BH15620" s="25"/>
      <c r="BI15620" s="25"/>
      <c r="BJ15620" s="25"/>
      <c r="BK15620" s="25"/>
    </row>
    <row r="15621" spans="60:63" ht="14.25" x14ac:dyDescent="0.2">
      <c r="BH15621" s="25"/>
      <c r="BI15621" s="25"/>
      <c r="BJ15621" s="25"/>
      <c r="BK15621" s="25"/>
    </row>
    <row r="15622" spans="60:63" ht="14.25" x14ac:dyDescent="0.2">
      <c r="BH15622" s="25"/>
      <c r="BI15622" s="25"/>
      <c r="BJ15622" s="25"/>
      <c r="BK15622" s="25"/>
    </row>
    <row r="15623" spans="60:63" ht="14.25" x14ac:dyDescent="0.2">
      <c r="BH15623" s="25"/>
      <c r="BI15623" s="25"/>
      <c r="BJ15623" s="25"/>
      <c r="BK15623" s="25"/>
    </row>
    <row r="15624" spans="60:63" ht="14.25" x14ac:dyDescent="0.2">
      <c r="BH15624" s="25"/>
      <c r="BI15624" s="25"/>
      <c r="BJ15624" s="25"/>
      <c r="BK15624" s="25"/>
    </row>
    <row r="15625" spans="60:63" ht="14.25" x14ac:dyDescent="0.2">
      <c r="BH15625" s="25"/>
      <c r="BI15625" s="25"/>
      <c r="BJ15625" s="25"/>
      <c r="BK15625" s="25"/>
    </row>
    <row r="15626" spans="60:63" ht="14.25" x14ac:dyDescent="0.2">
      <c r="BH15626" s="25"/>
      <c r="BI15626" s="25"/>
      <c r="BJ15626" s="25"/>
      <c r="BK15626" s="25"/>
    </row>
    <row r="15627" spans="60:63" ht="14.25" x14ac:dyDescent="0.2">
      <c r="BH15627" s="25"/>
      <c r="BI15627" s="25"/>
      <c r="BJ15627" s="25"/>
      <c r="BK15627" s="25"/>
    </row>
    <row r="15628" spans="60:63" ht="14.25" x14ac:dyDescent="0.2">
      <c r="BH15628" s="25"/>
      <c r="BI15628" s="25"/>
      <c r="BJ15628" s="25"/>
      <c r="BK15628" s="25"/>
    </row>
    <row r="15629" spans="60:63" ht="14.25" x14ac:dyDescent="0.2">
      <c r="BH15629" s="25"/>
      <c r="BI15629" s="25"/>
      <c r="BJ15629" s="25"/>
      <c r="BK15629" s="25"/>
    </row>
    <row r="15630" spans="60:63" ht="14.25" x14ac:dyDescent="0.2">
      <c r="BH15630" s="25"/>
      <c r="BI15630" s="25"/>
      <c r="BJ15630" s="25"/>
      <c r="BK15630" s="25"/>
    </row>
    <row r="15631" spans="60:63" ht="14.25" x14ac:dyDescent="0.2">
      <c r="BH15631" s="25"/>
      <c r="BI15631" s="25"/>
      <c r="BJ15631" s="25"/>
      <c r="BK15631" s="25"/>
    </row>
    <row r="15632" spans="60:63" ht="14.25" x14ac:dyDescent="0.2">
      <c r="BH15632" s="25"/>
      <c r="BI15632" s="25"/>
      <c r="BJ15632" s="25"/>
      <c r="BK15632" s="25"/>
    </row>
    <row r="15633" spans="60:63" ht="14.25" x14ac:dyDescent="0.2">
      <c r="BH15633" s="25"/>
      <c r="BI15633" s="25"/>
      <c r="BJ15633" s="25"/>
      <c r="BK15633" s="25"/>
    </row>
    <row r="15634" spans="60:63" ht="14.25" x14ac:dyDescent="0.2">
      <c r="BH15634" s="25"/>
      <c r="BI15634" s="25"/>
      <c r="BJ15634" s="25"/>
      <c r="BK15634" s="25"/>
    </row>
    <row r="15635" spans="60:63" ht="14.25" x14ac:dyDescent="0.2">
      <c r="BH15635" s="25"/>
      <c r="BI15635" s="25"/>
      <c r="BJ15635" s="25"/>
      <c r="BK15635" s="25"/>
    </row>
    <row r="15636" spans="60:63" ht="14.25" x14ac:dyDescent="0.2">
      <c r="BH15636" s="25"/>
      <c r="BI15636" s="25"/>
      <c r="BJ15636" s="25"/>
      <c r="BK15636" s="25"/>
    </row>
    <row r="15637" spans="60:63" ht="14.25" x14ac:dyDescent="0.2">
      <c r="BH15637" s="25"/>
      <c r="BI15637" s="25"/>
      <c r="BJ15637" s="25"/>
      <c r="BK15637" s="25"/>
    </row>
    <row r="15638" spans="60:63" ht="14.25" x14ac:dyDescent="0.2">
      <c r="BH15638" s="25"/>
      <c r="BI15638" s="25"/>
      <c r="BJ15638" s="25"/>
      <c r="BK15638" s="25"/>
    </row>
    <row r="15639" spans="60:63" ht="14.25" x14ac:dyDescent="0.2">
      <c r="BH15639" s="25"/>
      <c r="BI15639" s="25"/>
      <c r="BJ15639" s="25"/>
      <c r="BK15639" s="25"/>
    </row>
    <row r="15640" spans="60:63" ht="14.25" x14ac:dyDescent="0.2">
      <c r="BH15640" s="25"/>
      <c r="BI15640" s="25"/>
      <c r="BJ15640" s="25"/>
      <c r="BK15640" s="25"/>
    </row>
    <row r="15641" spans="60:63" ht="14.25" x14ac:dyDescent="0.2">
      <c r="BH15641" s="25"/>
      <c r="BI15641" s="25"/>
      <c r="BJ15641" s="25"/>
      <c r="BK15641" s="25"/>
    </row>
    <row r="15642" spans="60:63" ht="14.25" x14ac:dyDescent="0.2">
      <c r="BH15642" s="25"/>
      <c r="BI15642" s="25"/>
      <c r="BJ15642" s="25"/>
      <c r="BK15642" s="25"/>
    </row>
    <row r="15643" spans="60:63" ht="14.25" x14ac:dyDescent="0.2">
      <c r="BH15643" s="25"/>
      <c r="BI15643" s="25"/>
      <c r="BJ15643" s="25"/>
      <c r="BK15643" s="25"/>
    </row>
    <row r="15644" spans="60:63" ht="14.25" x14ac:dyDescent="0.2">
      <c r="BH15644" s="25"/>
      <c r="BI15644" s="25"/>
      <c r="BJ15644" s="25"/>
      <c r="BK15644" s="25"/>
    </row>
    <row r="15645" spans="60:63" ht="14.25" x14ac:dyDescent="0.2">
      <c r="BH15645" s="25"/>
      <c r="BI15645" s="25"/>
      <c r="BJ15645" s="25"/>
      <c r="BK15645" s="25"/>
    </row>
    <row r="15646" spans="60:63" ht="14.25" x14ac:dyDescent="0.2">
      <c r="BH15646" s="25"/>
      <c r="BI15646" s="25"/>
      <c r="BJ15646" s="25"/>
      <c r="BK15646" s="25"/>
    </row>
    <row r="15647" spans="60:63" ht="14.25" x14ac:dyDescent="0.2">
      <c r="BH15647" s="25"/>
      <c r="BI15647" s="25"/>
      <c r="BJ15647" s="25"/>
      <c r="BK15647" s="25"/>
    </row>
    <row r="15648" spans="60:63" ht="14.25" x14ac:dyDescent="0.2">
      <c r="BH15648" s="25"/>
      <c r="BI15648" s="25"/>
      <c r="BJ15648" s="25"/>
      <c r="BK15648" s="25"/>
    </row>
    <row r="15649" spans="60:63" ht="14.25" x14ac:dyDescent="0.2">
      <c r="BH15649" s="25"/>
      <c r="BI15649" s="25"/>
      <c r="BJ15649" s="25"/>
      <c r="BK15649" s="25"/>
    </row>
    <row r="15650" spans="60:63" ht="14.25" x14ac:dyDescent="0.2">
      <c r="BH15650" s="25"/>
      <c r="BI15650" s="25"/>
      <c r="BJ15650" s="25"/>
      <c r="BK15650" s="25"/>
    </row>
    <row r="15651" spans="60:63" ht="14.25" x14ac:dyDescent="0.2">
      <c r="BH15651" s="25"/>
      <c r="BI15651" s="25"/>
      <c r="BJ15651" s="25"/>
      <c r="BK15651" s="25"/>
    </row>
    <row r="15652" spans="60:63" ht="14.25" x14ac:dyDescent="0.2">
      <c r="BH15652" s="25"/>
      <c r="BI15652" s="25"/>
      <c r="BJ15652" s="25"/>
      <c r="BK15652" s="25"/>
    </row>
    <row r="15653" spans="60:63" ht="14.25" x14ac:dyDescent="0.2">
      <c r="BH15653" s="25"/>
      <c r="BI15653" s="25"/>
      <c r="BJ15653" s="25"/>
      <c r="BK15653" s="25"/>
    </row>
    <row r="15654" spans="60:63" ht="14.25" x14ac:dyDescent="0.2">
      <c r="BH15654" s="25"/>
      <c r="BI15654" s="25"/>
      <c r="BJ15654" s="25"/>
      <c r="BK15654" s="25"/>
    </row>
    <row r="15655" spans="60:63" ht="14.25" x14ac:dyDescent="0.2">
      <c r="BH15655" s="25"/>
      <c r="BI15655" s="25"/>
      <c r="BJ15655" s="25"/>
      <c r="BK15655" s="25"/>
    </row>
    <row r="15656" spans="60:63" ht="14.25" x14ac:dyDescent="0.2">
      <c r="BH15656" s="25"/>
      <c r="BI15656" s="25"/>
      <c r="BJ15656" s="25"/>
      <c r="BK15656" s="25"/>
    </row>
    <row r="15657" spans="60:63" ht="14.25" x14ac:dyDescent="0.2">
      <c r="BH15657" s="25"/>
      <c r="BI15657" s="25"/>
      <c r="BJ15657" s="25"/>
      <c r="BK15657" s="25"/>
    </row>
    <row r="15658" spans="60:63" ht="14.25" x14ac:dyDescent="0.2">
      <c r="BH15658" s="25"/>
      <c r="BI15658" s="25"/>
      <c r="BJ15658" s="25"/>
      <c r="BK15658" s="25"/>
    </row>
    <row r="15659" spans="60:63" ht="14.25" x14ac:dyDescent="0.2">
      <c r="BH15659" s="25"/>
      <c r="BI15659" s="25"/>
      <c r="BJ15659" s="25"/>
      <c r="BK15659" s="25"/>
    </row>
    <row r="15660" spans="60:63" ht="14.25" x14ac:dyDescent="0.2">
      <c r="BH15660" s="25"/>
      <c r="BI15660" s="25"/>
      <c r="BJ15660" s="25"/>
      <c r="BK15660" s="25"/>
    </row>
    <row r="15661" spans="60:63" ht="14.25" x14ac:dyDescent="0.2">
      <c r="BH15661" s="25"/>
      <c r="BI15661" s="25"/>
      <c r="BJ15661" s="25"/>
      <c r="BK15661" s="25"/>
    </row>
    <row r="15662" spans="60:63" ht="14.25" x14ac:dyDescent="0.2">
      <c r="BH15662" s="25"/>
      <c r="BI15662" s="25"/>
      <c r="BJ15662" s="25"/>
      <c r="BK15662" s="25"/>
    </row>
    <row r="15663" spans="60:63" ht="14.25" x14ac:dyDescent="0.2">
      <c r="BH15663" s="25"/>
      <c r="BI15663" s="25"/>
      <c r="BJ15663" s="25"/>
      <c r="BK15663" s="25"/>
    </row>
    <row r="15664" spans="60:63" ht="14.25" x14ac:dyDescent="0.2">
      <c r="BH15664" s="25"/>
      <c r="BI15664" s="25"/>
      <c r="BJ15664" s="25"/>
      <c r="BK15664" s="25"/>
    </row>
    <row r="15665" spans="60:63" ht="14.25" x14ac:dyDescent="0.2">
      <c r="BH15665" s="25"/>
      <c r="BI15665" s="25"/>
      <c r="BJ15665" s="25"/>
      <c r="BK15665" s="25"/>
    </row>
    <row r="15666" spans="60:63" ht="14.25" x14ac:dyDescent="0.2">
      <c r="BH15666" s="25"/>
      <c r="BI15666" s="25"/>
      <c r="BJ15666" s="25"/>
      <c r="BK15666" s="25"/>
    </row>
    <row r="15667" spans="60:63" ht="14.25" x14ac:dyDescent="0.2">
      <c r="BH15667" s="25"/>
      <c r="BI15667" s="25"/>
      <c r="BJ15667" s="25"/>
      <c r="BK15667" s="25"/>
    </row>
    <row r="15668" spans="60:63" ht="14.25" x14ac:dyDescent="0.2">
      <c r="BH15668" s="25"/>
      <c r="BI15668" s="25"/>
      <c r="BJ15668" s="25"/>
      <c r="BK15668" s="25"/>
    </row>
    <row r="15669" spans="60:63" ht="14.25" x14ac:dyDescent="0.2">
      <c r="BH15669" s="25"/>
      <c r="BI15669" s="25"/>
      <c r="BJ15669" s="25"/>
      <c r="BK15669" s="25"/>
    </row>
    <row r="15670" spans="60:63" ht="14.25" x14ac:dyDescent="0.2">
      <c r="BH15670" s="25"/>
      <c r="BI15670" s="25"/>
      <c r="BJ15670" s="25"/>
      <c r="BK15670" s="25"/>
    </row>
    <row r="15671" spans="60:63" ht="14.25" x14ac:dyDescent="0.2">
      <c r="BH15671" s="25"/>
      <c r="BI15671" s="25"/>
      <c r="BJ15671" s="25"/>
      <c r="BK15671" s="25"/>
    </row>
    <row r="15672" spans="60:63" ht="14.25" x14ac:dyDescent="0.2">
      <c r="BH15672" s="25"/>
      <c r="BI15672" s="25"/>
      <c r="BJ15672" s="25"/>
      <c r="BK15672" s="25"/>
    </row>
    <row r="15673" spans="60:63" ht="14.25" x14ac:dyDescent="0.2">
      <c r="BH15673" s="25"/>
      <c r="BI15673" s="25"/>
      <c r="BJ15673" s="25"/>
      <c r="BK15673" s="25"/>
    </row>
    <row r="15674" spans="60:63" ht="14.25" x14ac:dyDescent="0.2">
      <c r="BH15674" s="25"/>
      <c r="BI15674" s="25"/>
      <c r="BJ15674" s="25"/>
      <c r="BK15674" s="25"/>
    </row>
    <row r="15675" spans="60:63" ht="14.25" x14ac:dyDescent="0.2">
      <c r="BH15675" s="25"/>
      <c r="BI15675" s="25"/>
      <c r="BJ15675" s="25"/>
      <c r="BK15675" s="25"/>
    </row>
    <row r="15676" spans="60:63" ht="14.25" x14ac:dyDescent="0.2">
      <c r="BH15676" s="25"/>
      <c r="BI15676" s="25"/>
      <c r="BJ15676" s="25"/>
      <c r="BK15676" s="25"/>
    </row>
    <row r="15677" spans="60:63" ht="14.25" x14ac:dyDescent="0.2">
      <c r="BH15677" s="25"/>
      <c r="BI15677" s="25"/>
      <c r="BJ15677" s="25"/>
      <c r="BK15677" s="25"/>
    </row>
    <row r="15678" spans="60:63" ht="14.25" x14ac:dyDescent="0.2">
      <c r="BH15678" s="25"/>
      <c r="BI15678" s="25"/>
      <c r="BJ15678" s="25"/>
      <c r="BK15678" s="25"/>
    </row>
    <row r="15679" spans="60:63" ht="14.25" x14ac:dyDescent="0.2">
      <c r="BH15679" s="25"/>
      <c r="BI15679" s="25"/>
      <c r="BJ15679" s="25"/>
      <c r="BK15679" s="25"/>
    </row>
    <row r="15680" spans="60:63" ht="14.25" x14ac:dyDescent="0.2">
      <c r="BH15680" s="25"/>
      <c r="BI15680" s="25"/>
      <c r="BJ15680" s="25"/>
      <c r="BK15680" s="25"/>
    </row>
    <row r="15681" spans="60:63" ht="14.25" x14ac:dyDescent="0.2">
      <c r="BH15681" s="25"/>
      <c r="BI15681" s="25"/>
      <c r="BJ15681" s="25"/>
      <c r="BK15681" s="25"/>
    </row>
    <row r="15682" spans="60:63" ht="14.25" x14ac:dyDescent="0.2">
      <c r="BH15682" s="25"/>
      <c r="BI15682" s="25"/>
      <c r="BJ15682" s="25"/>
      <c r="BK15682" s="25"/>
    </row>
    <row r="15683" spans="60:63" ht="14.25" x14ac:dyDescent="0.2">
      <c r="BH15683" s="25"/>
      <c r="BI15683" s="25"/>
      <c r="BJ15683" s="25"/>
      <c r="BK15683" s="25"/>
    </row>
    <row r="15684" spans="60:63" ht="14.25" x14ac:dyDescent="0.2">
      <c r="BH15684" s="25"/>
      <c r="BI15684" s="25"/>
      <c r="BJ15684" s="25"/>
      <c r="BK15684" s="25"/>
    </row>
    <row r="15685" spans="60:63" ht="14.25" x14ac:dyDescent="0.2">
      <c r="BH15685" s="25"/>
      <c r="BI15685" s="25"/>
      <c r="BJ15685" s="25"/>
      <c r="BK15685" s="25"/>
    </row>
    <row r="15686" spans="60:63" ht="14.25" x14ac:dyDescent="0.2">
      <c r="BH15686" s="25"/>
      <c r="BI15686" s="25"/>
      <c r="BJ15686" s="25"/>
      <c r="BK15686" s="25"/>
    </row>
    <row r="15687" spans="60:63" ht="14.25" x14ac:dyDescent="0.2">
      <c r="BH15687" s="25"/>
      <c r="BI15687" s="25"/>
      <c r="BJ15687" s="25"/>
      <c r="BK15687" s="25"/>
    </row>
    <row r="15688" spans="60:63" ht="14.25" x14ac:dyDescent="0.2">
      <c r="BH15688" s="25"/>
      <c r="BI15688" s="25"/>
      <c r="BJ15688" s="25"/>
      <c r="BK15688" s="25"/>
    </row>
    <row r="15689" spans="60:63" ht="14.25" x14ac:dyDescent="0.2">
      <c r="BH15689" s="25"/>
      <c r="BI15689" s="25"/>
      <c r="BJ15689" s="25"/>
      <c r="BK15689" s="25"/>
    </row>
    <row r="15690" spans="60:63" ht="14.25" x14ac:dyDescent="0.2">
      <c r="BH15690" s="25"/>
      <c r="BI15690" s="25"/>
      <c r="BJ15690" s="25"/>
      <c r="BK15690" s="25"/>
    </row>
    <row r="15691" spans="60:63" ht="14.25" x14ac:dyDescent="0.2">
      <c r="BH15691" s="25"/>
      <c r="BI15691" s="25"/>
      <c r="BJ15691" s="25"/>
      <c r="BK15691" s="25"/>
    </row>
    <row r="15692" spans="60:63" ht="14.25" x14ac:dyDescent="0.2">
      <c r="BH15692" s="25"/>
      <c r="BI15692" s="25"/>
      <c r="BJ15692" s="25"/>
      <c r="BK15692" s="25"/>
    </row>
    <row r="15693" spans="60:63" ht="14.25" x14ac:dyDescent="0.2">
      <c r="BH15693" s="25"/>
      <c r="BI15693" s="25"/>
      <c r="BJ15693" s="25"/>
      <c r="BK15693" s="25"/>
    </row>
    <row r="15694" spans="60:63" ht="14.25" x14ac:dyDescent="0.2">
      <c r="BH15694" s="25"/>
      <c r="BI15694" s="25"/>
      <c r="BJ15694" s="25"/>
      <c r="BK15694" s="25"/>
    </row>
    <row r="15695" spans="60:63" ht="14.25" x14ac:dyDescent="0.2">
      <c r="BH15695" s="25"/>
      <c r="BI15695" s="25"/>
      <c r="BJ15695" s="25"/>
      <c r="BK15695" s="25"/>
    </row>
    <row r="15696" spans="60:63" ht="14.25" x14ac:dyDescent="0.2">
      <c r="BH15696" s="25"/>
      <c r="BI15696" s="25"/>
      <c r="BJ15696" s="25"/>
      <c r="BK15696" s="25"/>
    </row>
    <row r="15697" spans="60:63" ht="14.25" x14ac:dyDescent="0.2">
      <c r="BH15697" s="25"/>
      <c r="BI15697" s="25"/>
      <c r="BJ15697" s="25"/>
      <c r="BK15697" s="25"/>
    </row>
    <row r="15698" spans="60:63" ht="14.25" x14ac:dyDescent="0.2">
      <c r="BH15698" s="25"/>
      <c r="BI15698" s="25"/>
      <c r="BJ15698" s="25"/>
      <c r="BK15698" s="25"/>
    </row>
    <row r="15699" spans="60:63" ht="14.25" x14ac:dyDescent="0.2">
      <c r="BH15699" s="25"/>
      <c r="BI15699" s="25"/>
      <c r="BJ15699" s="25"/>
      <c r="BK15699" s="25"/>
    </row>
    <row r="15700" spans="60:63" ht="14.25" x14ac:dyDescent="0.2">
      <c r="BH15700" s="25"/>
      <c r="BI15700" s="25"/>
      <c r="BJ15700" s="25"/>
      <c r="BK15700" s="25"/>
    </row>
    <row r="15701" spans="60:63" ht="14.25" x14ac:dyDescent="0.2">
      <c r="BH15701" s="25"/>
      <c r="BI15701" s="25"/>
      <c r="BJ15701" s="25"/>
      <c r="BK15701" s="25"/>
    </row>
    <row r="15702" spans="60:63" ht="14.25" x14ac:dyDescent="0.2">
      <c r="BH15702" s="25"/>
      <c r="BI15702" s="25"/>
      <c r="BJ15702" s="25"/>
      <c r="BK15702" s="25"/>
    </row>
    <row r="15703" spans="60:63" ht="14.25" x14ac:dyDescent="0.2">
      <c r="BH15703" s="25"/>
      <c r="BI15703" s="25"/>
      <c r="BJ15703" s="25"/>
      <c r="BK15703" s="25"/>
    </row>
    <row r="15704" spans="60:63" ht="14.25" x14ac:dyDescent="0.2">
      <c r="BH15704" s="25"/>
      <c r="BI15704" s="25"/>
      <c r="BJ15704" s="25"/>
      <c r="BK15704" s="25"/>
    </row>
    <row r="15705" spans="60:63" ht="14.25" x14ac:dyDescent="0.2">
      <c r="BH15705" s="25"/>
      <c r="BI15705" s="25"/>
      <c r="BJ15705" s="25"/>
      <c r="BK15705" s="25"/>
    </row>
    <row r="15706" spans="60:63" ht="14.25" x14ac:dyDescent="0.2">
      <c r="BH15706" s="25"/>
      <c r="BI15706" s="25"/>
      <c r="BJ15706" s="25"/>
      <c r="BK15706" s="25"/>
    </row>
    <row r="15707" spans="60:63" ht="14.25" x14ac:dyDescent="0.2">
      <c r="BH15707" s="25"/>
      <c r="BI15707" s="25"/>
      <c r="BJ15707" s="25"/>
      <c r="BK15707" s="25"/>
    </row>
    <row r="15708" spans="60:63" ht="14.25" x14ac:dyDescent="0.2">
      <c r="BH15708" s="25"/>
      <c r="BI15708" s="25"/>
      <c r="BJ15708" s="25"/>
      <c r="BK15708" s="25"/>
    </row>
    <row r="15709" spans="60:63" ht="14.25" x14ac:dyDescent="0.2">
      <c r="BH15709" s="25"/>
      <c r="BI15709" s="25"/>
      <c r="BJ15709" s="25"/>
      <c r="BK15709" s="25"/>
    </row>
    <row r="15710" spans="60:63" ht="14.25" x14ac:dyDescent="0.2">
      <c r="BH15710" s="25"/>
      <c r="BI15710" s="25"/>
      <c r="BJ15710" s="25"/>
      <c r="BK15710" s="25"/>
    </row>
    <row r="15711" spans="60:63" ht="14.25" x14ac:dyDescent="0.2">
      <c r="BH15711" s="25"/>
      <c r="BI15711" s="25"/>
      <c r="BJ15711" s="25"/>
      <c r="BK15711" s="25"/>
    </row>
    <row r="15712" spans="60:63" ht="14.25" x14ac:dyDescent="0.2">
      <c r="BH15712" s="25"/>
      <c r="BI15712" s="25"/>
      <c r="BJ15712" s="25"/>
      <c r="BK15712" s="25"/>
    </row>
    <row r="15713" spans="60:63" ht="14.25" x14ac:dyDescent="0.2">
      <c r="BH15713" s="25"/>
      <c r="BI15713" s="25"/>
      <c r="BJ15713" s="25"/>
      <c r="BK15713" s="25"/>
    </row>
    <row r="15714" spans="60:63" ht="14.25" x14ac:dyDescent="0.2">
      <c r="BH15714" s="25"/>
      <c r="BI15714" s="25"/>
      <c r="BJ15714" s="25"/>
      <c r="BK15714" s="25"/>
    </row>
    <row r="15715" spans="60:63" ht="14.25" x14ac:dyDescent="0.2">
      <c r="BH15715" s="25"/>
      <c r="BI15715" s="25"/>
      <c r="BJ15715" s="25"/>
      <c r="BK15715" s="25"/>
    </row>
    <row r="15716" spans="60:63" ht="14.25" x14ac:dyDescent="0.2">
      <c r="BH15716" s="25"/>
      <c r="BI15716" s="25"/>
      <c r="BJ15716" s="25"/>
      <c r="BK15716" s="25"/>
    </row>
    <row r="15717" spans="60:63" ht="14.25" x14ac:dyDescent="0.2">
      <c r="BH15717" s="25"/>
      <c r="BI15717" s="25"/>
      <c r="BJ15717" s="25"/>
      <c r="BK15717" s="25"/>
    </row>
    <row r="15718" spans="60:63" ht="14.25" x14ac:dyDescent="0.2">
      <c r="BH15718" s="25"/>
      <c r="BI15718" s="25"/>
      <c r="BJ15718" s="25"/>
      <c r="BK15718" s="25"/>
    </row>
    <row r="15719" spans="60:63" ht="14.25" x14ac:dyDescent="0.2">
      <c r="BH15719" s="25"/>
      <c r="BI15719" s="25"/>
      <c r="BJ15719" s="25"/>
      <c r="BK15719" s="25"/>
    </row>
    <row r="15720" spans="60:63" ht="14.25" x14ac:dyDescent="0.2">
      <c r="BH15720" s="25"/>
      <c r="BI15720" s="25"/>
      <c r="BJ15720" s="25"/>
      <c r="BK15720" s="25"/>
    </row>
    <row r="15721" spans="60:63" ht="14.25" x14ac:dyDescent="0.2">
      <c r="BH15721" s="25"/>
      <c r="BI15721" s="25"/>
      <c r="BJ15721" s="25"/>
      <c r="BK15721" s="25"/>
    </row>
    <row r="15722" spans="60:63" ht="14.25" x14ac:dyDescent="0.2">
      <c r="BH15722" s="25"/>
      <c r="BI15722" s="25"/>
      <c r="BJ15722" s="25"/>
      <c r="BK15722" s="25"/>
    </row>
    <row r="15723" spans="60:63" ht="14.25" x14ac:dyDescent="0.2">
      <c r="BH15723" s="25"/>
      <c r="BI15723" s="25"/>
      <c r="BJ15723" s="25"/>
      <c r="BK15723" s="25"/>
    </row>
    <row r="15724" spans="60:63" ht="14.25" x14ac:dyDescent="0.2">
      <c r="BH15724" s="25"/>
      <c r="BI15724" s="25"/>
      <c r="BJ15724" s="25"/>
      <c r="BK15724" s="25"/>
    </row>
    <row r="15725" spans="60:63" ht="14.25" x14ac:dyDescent="0.2">
      <c r="BH15725" s="25"/>
      <c r="BI15725" s="25"/>
      <c r="BJ15725" s="25"/>
      <c r="BK15725" s="25"/>
    </row>
    <row r="15726" spans="60:63" ht="14.25" x14ac:dyDescent="0.2">
      <c r="BH15726" s="25"/>
      <c r="BI15726" s="25"/>
      <c r="BJ15726" s="25"/>
      <c r="BK15726" s="25"/>
    </row>
    <row r="15727" spans="60:63" ht="14.25" x14ac:dyDescent="0.2">
      <c r="BH15727" s="25"/>
      <c r="BI15727" s="25"/>
      <c r="BJ15727" s="25"/>
      <c r="BK15727" s="25"/>
    </row>
    <row r="15728" spans="60:63" ht="14.25" x14ac:dyDescent="0.2">
      <c r="BH15728" s="25"/>
      <c r="BI15728" s="25"/>
      <c r="BJ15728" s="25"/>
      <c r="BK15728" s="25"/>
    </row>
    <row r="15729" spans="60:63" ht="14.25" x14ac:dyDescent="0.2">
      <c r="BH15729" s="25"/>
      <c r="BI15729" s="25"/>
      <c r="BJ15729" s="25"/>
      <c r="BK15729" s="25"/>
    </row>
    <row r="15730" spans="60:63" ht="14.25" x14ac:dyDescent="0.2">
      <c r="BH15730" s="25"/>
      <c r="BI15730" s="25"/>
      <c r="BJ15730" s="25"/>
      <c r="BK15730" s="25"/>
    </row>
    <row r="15731" spans="60:63" ht="14.25" x14ac:dyDescent="0.2">
      <c r="BH15731" s="25"/>
      <c r="BI15731" s="25"/>
      <c r="BJ15731" s="25"/>
      <c r="BK15731" s="25"/>
    </row>
    <row r="15732" spans="60:63" ht="14.25" x14ac:dyDescent="0.2">
      <c r="BH15732" s="25"/>
      <c r="BI15732" s="25"/>
      <c r="BJ15732" s="25"/>
      <c r="BK15732" s="25"/>
    </row>
    <row r="15733" spans="60:63" ht="14.25" x14ac:dyDescent="0.2">
      <c r="BH15733" s="25"/>
      <c r="BI15733" s="25"/>
      <c r="BJ15733" s="25"/>
      <c r="BK15733" s="25"/>
    </row>
    <row r="15734" spans="60:63" ht="14.25" x14ac:dyDescent="0.2">
      <c r="BH15734" s="25"/>
      <c r="BI15734" s="25"/>
      <c r="BJ15734" s="25"/>
      <c r="BK15734" s="25"/>
    </row>
    <row r="15735" spans="60:63" ht="14.25" x14ac:dyDescent="0.2">
      <c r="BH15735" s="25"/>
      <c r="BI15735" s="25"/>
      <c r="BJ15735" s="25"/>
      <c r="BK15735" s="25"/>
    </row>
    <row r="15736" spans="60:63" ht="14.25" x14ac:dyDescent="0.2">
      <c r="BH15736" s="25"/>
      <c r="BI15736" s="25"/>
      <c r="BJ15736" s="25"/>
      <c r="BK15736" s="25"/>
    </row>
    <row r="15737" spans="60:63" ht="14.25" x14ac:dyDescent="0.2">
      <c r="BH15737" s="25"/>
      <c r="BI15737" s="25"/>
      <c r="BJ15737" s="25"/>
      <c r="BK15737" s="25"/>
    </row>
    <row r="15738" spans="60:63" ht="14.25" x14ac:dyDescent="0.2">
      <c r="BH15738" s="25"/>
      <c r="BI15738" s="25"/>
      <c r="BJ15738" s="25"/>
      <c r="BK15738" s="25"/>
    </row>
    <row r="15739" spans="60:63" ht="14.25" x14ac:dyDescent="0.2">
      <c r="BH15739" s="25"/>
      <c r="BI15739" s="25"/>
      <c r="BJ15739" s="25"/>
      <c r="BK15739" s="25"/>
    </row>
    <row r="15740" spans="60:63" ht="14.25" x14ac:dyDescent="0.2">
      <c r="BH15740" s="25"/>
      <c r="BI15740" s="25"/>
      <c r="BJ15740" s="25"/>
      <c r="BK15740" s="25"/>
    </row>
    <row r="15741" spans="60:63" ht="14.25" x14ac:dyDescent="0.2">
      <c r="BH15741" s="25"/>
      <c r="BI15741" s="25"/>
      <c r="BJ15741" s="25"/>
      <c r="BK15741" s="25"/>
    </row>
    <row r="15742" spans="60:63" ht="14.25" x14ac:dyDescent="0.2">
      <c r="BH15742" s="25"/>
      <c r="BI15742" s="25"/>
      <c r="BJ15742" s="25"/>
      <c r="BK15742" s="25"/>
    </row>
    <row r="15743" spans="60:63" ht="14.25" x14ac:dyDescent="0.2">
      <c r="BH15743" s="25"/>
      <c r="BI15743" s="25"/>
      <c r="BJ15743" s="25"/>
      <c r="BK15743" s="25"/>
    </row>
    <row r="15744" spans="60:63" ht="14.25" x14ac:dyDescent="0.2">
      <c r="BH15744" s="25"/>
      <c r="BI15744" s="25"/>
      <c r="BJ15744" s="25"/>
      <c r="BK15744" s="25"/>
    </row>
    <row r="15745" spans="60:63" ht="14.25" x14ac:dyDescent="0.2">
      <c r="BH15745" s="25"/>
      <c r="BI15745" s="25"/>
      <c r="BJ15745" s="25"/>
      <c r="BK15745" s="25"/>
    </row>
    <row r="15746" spans="60:63" ht="14.25" x14ac:dyDescent="0.2">
      <c r="BH15746" s="25"/>
      <c r="BI15746" s="25"/>
      <c r="BJ15746" s="25"/>
      <c r="BK15746" s="25"/>
    </row>
    <row r="15747" spans="60:63" ht="14.25" x14ac:dyDescent="0.2">
      <c r="BH15747" s="25"/>
      <c r="BI15747" s="25"/>
      <c r="BJ15747" s="25"/>
      <c r="BK15747" s="25"/>
    </row>
    <row r="15748" spans="60:63" ht="14.25" x14ac:dyDescent="0.2">
      <c r="BH15748" s="25"/>
      <c r="BI15748" s="25"/>
      <c r="BJ15748" s="25"/>
      <c r="BK15748" s="25"/>
    </row>
    <row r="15749" spans="60:63" ht="14.25" x14ac:dyDescent="0.2">
      <c r="BH15749" s="25"/>
      <c r="BI15749" s="25"/>
      <c r="BJ15749" s="25"/>
      <c r="BK15749" s="25"/>
    </row>
    <row r="15750" spans="60:63" ht="14.25" x14ac:dyDescent="0.2">
      <c r="BH15750" s="25"/>
      <c r="BI15750" s="25"/>
      <c r="BJ15750" s="25"/>
      <c r="BK15750" s="25"/>
    </row>
    <row r="15751" spans="60:63" ht="14.25" x14ac:dyDescent="0.2">
      <c r="BH15751" s="25"/>
      <c r="BI15751" s="25"/>
      <c r="BJ15751" s="25"/>
      <c r="BK15751" s="25"/>
    </row>
    <row r="15752" spans="60:63" ht="14.25" x14ac:dyDescent="0.2">
      <c r="BH15752" s="25"/>
      <c r="BI15752" s="25"/>
      <c r="BJ15752" s="25"/>
      <c r="BK15752" s="25"/>
    </row>
    <row r="15753" spans="60:63" ht="14.25" x14ac:dyDescent="0.2">
      <c r="BH15753" s="25"/>
      <c r="BI15753" s="25"/>
      <c r="BJ15753" s="25"/>
      <c r="BK15753" s="25"/>
    </row>
    <row r="15754" spans="60:63" ht="14.25" x14ac:dyDescent="0.2">
      <c r="BH15754" s="25"/>
      <c r="BI15754" s="25"/>
      <c r="BJ15754" s="25"/>
      <c r="BK15754" s="25"/>
    </row>
    <row r="15755" spans="60:63" ht="14.25" x14ac:dyDescent="0.2">
      <c r="BH15755" s="25"/>
      <c r="BI15755" s="25"/>
      <c r="BJ15755" s="25"/>
      <c r="BK15755" s="25"/>
    </row>
    <row r="15756" spans="60:63" ht="14.25" x14ac:dyDescent="0.2">
      <c r="BH15756" s="25"/>
      <c r="BI15756" s="25"/>
      <c r="BJ15756" s="25"/>
      <c r="BK15756" s="25"/>
    </row>
    <row r="15757" spans="60:63" ht="14.25" x14ac:dyDescent="0.2">
      <c r="BH15757" s="25"/>
      <c r="BI15757" s="25"/>
      <c r="BJ15757" s="25"/>
      <c r="BK15757" s="25"/>
    </row>
    <row r="15758" spans="60:63" ht="14.25" x14ac:dyDescent="0.2">
      <c r="BH15758" s="25"/>
      <c r="BI15758" s="25"/>
      <c r="BJ15758" s="25"/>
      <c r="BK15758" s="25"/>
    </row>
    <row r="15759" spans="60:63" ht="14.25" x14ac:dyDescent="0.2">
      <c r="BH15759" s="25"/>
      <c r="BI15759" s="25"/>
      <c r="BJ15759" s="25"/>
      <c r="BK15759" s="25"/>
    </row>
    <row r="15760" spans="60:63" ht="14.25" x14ac:dyDescent="0.2">
      <c r="BH15760" s="25"/>
      <c r="BI15760" s="25"/>
      <c r="BJ15760" s="25"/>
      <c r="BK15760" s="25"/>
    </row>
    <row r="15761" spans="60:63" ht="14.25" x14ac:dyDescent="0.2">
      <c r="BH15761" s="25"/>
      <c r="BI15761" s="25"/>
      <c r="BJ15761" s="25"/>
      <c r="BK15761" s="25"/>
    </row>
    <row r="15762" spans="60:63" ht="14.25" x14ac:dyDescent="0.2">
      <c r="BH15762" s="25"/>
      <c r="BI15762" s="25"/>
      <c r="BJ15762" s="25"/>
      <c r="BK15762" s="25"/>
    </row>
    <row r="15763" spans="60:63" ht="14.25" x14ac:dyDescent="0.2">
      <c r="BH15763" s="25"/>
      <c r="BI15763" s="25"/>
      <c r="BJ15763" s="25"/>
      <c r="BK15763" s="25"/>
    </row>
    <row r="15764" spans="60:63" ht="14.25" x14ac:dyDescent="0.2">
      <c r="BH15764" s="25"/>
      <c r="BI15764" s="25"/>
      <c r="BJ15764" s="25"/>
      <c r="BK15764" s="25"/>
    </row>
    <row r="15765" spans="60:63" ht="14.25" x14ac:dyDescent="0.2">
      <c r="BH15765" s="25"/>
      <c r="BI15765" s="25"/>
      <c r="BJ15765" s="25"/>
      <c r="BK15765" s="25"/>
    </row>
    <row r="15766" spans="60:63" ht="14.25" x14ac:dyDescent="0.2">
      <c r="BH15766" s="25"/>
      <c r="BI15766" s="25"/>
      <c r="BJ15766" s="25"/>
      <c r="BK15766" s="25"/>
    </row>
    <row r="15767" spans="60:63" ht="14.25" x14ac:dyDescent="0.2">
      <c r="BH15767" s="25"/>
      <c r="BI15767" s="25"/>
      <c r="BJ15767" s="25"/>
      <c r="BK15767" s="25"/>
    </row>
    <row r="15768" spans="60:63" ht="14.25" x14ac:dyDescent="0.2">
      <c r="BH15768" s="25"/>
      <c r="BI15768" s="25"/>
      <c r="BJ15768" s="25"/>
      <c r="BK15768" s="25"/>
    </row>
    <row r="15769" spans="60:63" ht="14.25" x14ac:dyDescent="0.2">
      <c r="BH15769" s="25"/>
      <c r="BI15769" s="25"/>
      <c r="BJ15769" s="25"/>
      <c r="BK15769" s="25"/>
    </row>
    <row r="15770" spans="60:63" ht="14.25" x14ac:dyDescent="0.2">
      <c r="BH15770" s="25"/>
      <c r="BI15770" s="25"/>
      <c r="BJ15770" s="25"/>
      <c r="BK15770" s="25"/>
    </row>
    <row r="15771" spans="60:63" ht="14.25" x14ac:dyDescent="0.2">
      <c r="BH15771" s="25"/>
      <c r="BI15771" s="25"/>
      <c r="BJ15771" s="25"/>
      <c r="BK15771" s="25"/>
    </row>
    <row r="15772" spans="60:63" ht="14.25" x14ac:dyDescent="0.2">
      <c r="BH15772" s="25"/>
      <c r="BI15772" s="25"/>
      <c r="BJ15772" s="25"/>
      <c r="BK15772" s="25"/>
    </row>
    <row r="15773" spans="60:63" ht="14.25" x14ac:dyDescent="0.2">
      <c r="BH15773" s="25"/>
      <c r="BI15773" s="25"/>
      <c r="BJ15773" s="25"/>
      <c r="BK15773" s="25"/>
    </row>
    <row r="15774" spans="60:63" ht="14.25" x14ac:dyDescent="0.2">
      <c r="BH15774" s="25"/>
      <c r="BI15774" s="25"/>
      <c r="BJ15774" s="25"/>
      <c r="BK15774" s="25"/>
    </row>
    <row r="15775" spans="60:63" ht="14.25" x14ac:dyDescent="0.2">
      <c r="BH15775" s="25"/>
      <c r="BI15775" s="25"/>
      <c r="BJ15775" s="25"/>
      <c r="BK15775" s="25"/>
    </row>
    <row r="15776" spans="60:63" ht="14.25" x14ac:dyDescent="0.2">
      <c r="BH15776" s="25"/>
      <c r="BI15776" s="25"/>
      <c r="BJ15776" s="25"/>
      <c r="BK15776" s="25"/>
    </row>
    <row r="15777" spans="60:63" ht="14.25" x14ac:dyDescent="0.2">
      <c r="BH15777" s="25"/>
      <c r="BI15777" s="25"/>
      <c r="BJ15777" s="25"/>
      <c r="BK15777" s="25"/>
    </row>
    <row r="15778" spans="60:63" ht="14.25" x14ac:dyDescent="0.2">
      <c r="BH15778" s="25"/>
      <c r="BI15778" s="25"/>
      <c r="BJ15778" s="25"/>
      <c r="BK15778" s="25"/>
    </row>
    <row r="15779" spans="60:63" ht="14.25" x14ac:dyDescent="0.2">
      <c r="BH15779" s="25"/>
      <c r="BI15779" s="25"/>
      <c r="BJ15779" s="25"/>
      <c r="BK15779" s="25"/>
    </row>
    <row r="15780" spans="60:63" ht="14.25" x14ac:dyDescent="0.2">
      <c r="BH15780" s="25"/>
      <c r="BI15780" s="25"/>
      <c r="BJ15780" s="25"/>
      <c r="BK15780" s="25"/>
    </row>
    <row r="15781" spans="60:63" ht="14.25" x14ac:dyDescent="0.2">
      <c r="BH15781" s="25"/>
      <c r="BI15781" s="25"/>
      <c r="BJ15781" s="25"/>
      <c r="BK15781" s="25"/>
    </row>
    <row r="15782" spans="60:63" ht="14.25" x14ac:dyDescent="0.2">
      <c r="BH15782" s="25"/>
      <c r="BI15782" s="25"/>
      <c r="BJ15782" s="25"/>
      <c r="BK15782" s="25"/>
    </row>
    <row r="15783" spans="60:63" ht="14.25" x14ac:dyDescent="0.2">
      <c r="BH15783" s="25"/>
      <c r="BI15783" s="25"/>
      <c r="BJ15783" s="25"/>
      <c r="BK15783" s="25"/>
    </row>
    <row r="15784" spans="60:63" ht="14.25" x14ac:dyDescent="0.2">
      <c r="BH15784" s="25"/>
      <c r="BI15784" s="25"/>
      <c r="BJ15784" s="25"/>
      <c r="BK15784" s="25"/>
    </row>
    <row r="15785" spans="60:63" ht="14.25" x14ac:dyDescent="0.2">
      <c r="BH15785" s="25"/>
      <c r="BI15785" s="25"/>
      <c r="BJ15785" s="25"/>
      <c r="BK15785" s="25"/>
    </row>
    <row r="15786" spans="60:63" ht="14.25" x14ac:dyDescent="0.2">
      <c r="BH15786" s="25"/>
      <c r="BI15786" s="25"/>
      <c r="BJ15786" s="25"/>
      <c r="BK15786" s="25"/>
    </row>
    <row r="15787" spans="60:63" ht="14.25" x14ac:dyDescent="0.2">
      <c r="BH15787" s="25"/>
      <c r="BI15787" s="25"/>
      <c r="BJ15787" s="25"/>
      <c r="BK15787" s="25"/>
    </row>
    <row r="15788" spans="60:63" ht="14.25" x14ac:dyDescent="0.2">
      <c r="BH15788" s="25"/>
      <c r="BI15788" s="25"/>
      <c r="BJ15788" s="25"/>
      <c r="BK15788" s="25"/>
    </row>
    <row r="15789" spans="60:63" ht="14.25" x14ac:dyDescent="0.2">
      <c r="BH15789" s="25"/>
      <c r="BI15789" s="25"/>
      <c r="BJ15789" s="25"/>
      <c r="BK15789" s="25"/>
    </row>
    <row r="15790" spans="60:63" ht="14.25" x14ac:dyDescent="0.2">
      <c r="BH15790" s="25"/>
      <c r="BI15790" s="25"/>
      <c r="BJ15790" s="25"/>
      <c r="BK15790" s="25"/>
    </row>
    <row r="15791" spans="60:63" ht="14.25" x14ac:dyDescent="0.2">
      <c r="BH15791" s="25"/>
      <c r="BI15791" s="25"/>
      <c r="BJ15791" s="25"/>
      <c r="BK15791" s="25"/>
    </row>
    <row r="15792" spans="60:63" ht="14.25" x14ac:dyDescent="0.2">
      <c r="BH15792" s="25"/>
      <c r="BI15792" s="25"/>
      <c r="BJ15792" s="25"/>
      <c r="BK15792" s="25"/>
    </row>
    <row r="15793" spans="60:63" ht="14.25" x14ac:dyDescent="0.2">
      <c r="BH15793" s="25"/>
      <c r="BI15793" s="25"/>
      <c r="BJ15793" s="25"/>
      <c r="BK15793" s="25"/>
    </row>
    <row r="15794" spans="60:63" ht="14.25" x14ac:dyDescent="0.2">
      <c r="BH15794" s="25"/>
      <c r="BI15794" s="25"/>
      <c r="BJ15794" s="25"/>
      <c r="BK15794" s="25"/>
    </row>
    <row r="15795" spans="60:63" ht="14.25" x14ac:dyDescent="0.2">
      <c r="BH15795" s="25"/>
      <c r="BI15795" s="25"/>
      <c r="BJ15795" s="25"/>
      <c r="BK15795" s="25"/>
    </row>
    <row r="15796" spans="60:63" ht="14.25" x14ac:dyDescent="0.2">
      <c r="BH15796" s="25"/>
      <c r="BI15796" s="25"/>
      <c r="BJ15796" s="25"/>
      <c r="BK15796" s="25"/>
    </row>
    <row r="15797" spans="60:63" ht="14.25" x14ac:dyDescent="0.2">
      <c r="BH15797" s="25"/>
      <c r="BI15797" s="25"/>
      <c r="BJ15797" s="25"/>
      <c r="BK15797" s="25"/>
    </row>
    <row r="15798" spans="60:63" ht="14.25" x14ac:dyDescent="0.2">
      <c r="BH15798" s="25"/>
      <c r="BI15798" s="25"/>
      <c r="BJ15798" s="25"/>
      <c r="BK15798" s="25"/>
    </row>
    <row r="15799" spans="60:63" ht="14.25" x14ac:dyDescent="0.2">
      <c r="BH15799" s="25"/>
      <c r="BI15799" s="25"/>
      <c r="BJ15799" s="25"/>
      <c r="BK15799" s="25"/>
    </row>
    <row r="15800" spans="60:63" ht="14.25" x14ac:dyDescent="0.2">
      <c r="BH15800" s="25"/>
      <c r="BI15800" s="25"/>
      <c r="BJ15800" s="25"/>
      <c r="BK15800" s="25"/>
    </row>
    <row r="15801" spans="60:63" ht="14.25" x14ac:dyDescent="0.2">
      <c r="BH15801" s="25"/>
      <c r="BI15801" s="25"/>
      <c r="BJ15801" s="25"/>
      <c r="BK15801" s="25"/>
    </row>
    <row r="15802" spans="60:63" ht="14.25" x14ac:dyDescent="0.2">
      <c r="BH15802" s="25"/>
      <c r="BI15802" s="25"/>
      <c r="BJ15802" s="25"/>
      <c r="BK15802" s="25"/>
    </row>
    <row r="15803" spans="60:63" ht="14.25" x14ac:dyDescent="0.2">
      <c r="BH15803" s="25"/>
      <c r="BI15803" s="25"/>
      <c r="BJ15803" s="25"/>
      <c r="BK15803" s="25"/>
    </row>
    <row r="15804" spans="60:63" ht="14.25" x14ac:dyDescent="0.2">
      <c r="BH15804" s="25"/>
      <c r="BI15804" s="25"/>
      <c r="BJ15804" s="25"/>
      <c r="BK15804" s="25"/>
    </row>
    <row r="15805" spans="60:63" ht="14.25" x14ac:dyDescent="0.2">
      <c r="BH15805" s="25"/>
      <c r="BI15805" s="25"/>
      <c r="BJ15805" s="25"/>
      <c r="BK15805" s="25"/>
    </row>
    <row r="15806" spans="60:63" ht="14.25" x14ac:dyDescent="0.2">
      <c r="BH15806" s="25"/>
      <c r="BI15806" s="25"/>
      <c r="BJ15806" s="25"/>
      <c r="BK15806" s="25"/>
    </row>
    <row r="15807" spans="60:63" ht="14.25" x14ac:dyDescent="0.2">
      <c r="BH15807" s="25"/>
      <c r="BI15807" s="25"/>
      <c r="BJ15807" s="25"/>
      <c r="BK15807" s="25"/>
    </row>
    <row r="15808" spans="60:63" ht="14.25" x14ac:dyDescent="0.2">
      <c r="BH15808" s="25"/>
      <c r="BI15808" s="25"/>
      <c r="BJ15808" s="25"/>
      <c r="BK15808" s="25"/>
    </row>
    <row r="15809" spans="60:63" ht="14.25" x14ac:dyDescent="0.2">
      <c r="BH15809" s="25"/>
      <c r="BI15809" s="25"/>
      <c r="BJ15809" s="25"/>
      <c r="BK15809" s="25"/>
    </row>
    <row r="15810" spans="60:63" ht="14.25" x14ac:dyDescent="0.2">
      <c r="BH15810" s="25"/>
      <c r="BI15810" s="25"/>
      <c r="BJ15810" s="25"/>
      <c r="BK15810" s="25"/>
    </row>
    <row r="15811" spans="60:63" ht="14.25" x14ac:dyDescent="0.2">
      <c r="BH15811" s="25"/>
      <c r="BI15811" s="25"/>
      <c r="BJ15811" s="25"/>
      <c r="BK15811" s="25"/>
    </row>
    <row r="15812" spans="60:63" ht="14.25" x14ac:dyDescent="0.2">
      <c r="BH15812" s="25"/>
      <c r="BI15812" s="25"/>
      <c r="BJ15812" s="25"/>
      <c r="BK15812" s="25"/>
    </row>
    <row r="15813" spans="60:63" ht="14.25" x14ac:dyDescent="0.2">
      <c r="BH15813" s="25"/>
      <c r="BI15813" s="25"/>
      <c r="BJ15813" s="25"/>
      <c r="BK15813" s="25"/>
    </row>
    <row r="15814" spans="60:63" ht="14.25" x14ac:dyDescent="0.2">
      <c r="BH15814" s="25"/>
      <c r="BI15814" s="25"/>
      <c r="BJ15814" s="25"/>
      <c r="BK15814" s="25"/>
    </row>
    <row r="15815" spans="60:63" ht="14.25" x14ac:dyDescent="0.2">
      <c r="BH15815" s="25"/>
      <c r="BI15815" s="25"/>
      <c r="BJ15815" s="25"/>
      <c r="BK15815" s="25"/>
    </row>
    <row r="15816" spans="60:63" ht="14.25" x14ac:dyDescent="0.2">
      <c r="BH15816" s="25"/>
      <c r="BI15816" s="25"/>
      <c r="BJ15816" s="25"/>
      <c r="BK15816" s="25"/>
    </row>
    <row r="15817" spans="60:63" ht="14.25" x14ac:dyDescent="0.2">
      <c r="BH15817" s="25"/>
      <c r="BI15817" s="25"/>
      <c r="BJ15817" s="25"/>
      <c r="BK15817" s="25"/>
    </row>
    <row r="15818" spans="60:63" ht="14.25" x14ac:dyDescent="0.2">
      <c r="BH15818" s="25"/>
      <c r="BI15818" s="25"/>
      <c r="BJ15818" s="25"/>
      <c r="BK15818" s="25"/>
    </row>
    <row r="15819" spans="60:63" ht="14.25" x14ac:dyDescent="0.2">
      <c r="BH15819" s="25"/>
      <c r="BI15819" s="25"/>
      <c r="BJ15819" s="25"/>
      <c r="BK15819" s="25"/>
    </row>
    <row r="15820" spans="60:63" ht="14.25" x14ac:dyDescent="0.2">
      <c r="BH15820" s="25"/>
      <c r="BI15820" s="25"/>
      <c r="BJ15820" s="25"/>
      <c r="BK15820" s="25"/>
    </row>
    <row r="15821" spans="60:63" ht="14.25" x14ac:dyDescent="0.2">
      <c r="BH15821" s="25"/>
      <c r="BI15821" s="25"/>
      <c r="BJ15821" s="25"/>
      <c r="BK15821" s="25"/>
    </row>
    <row r="15822" spans="60:63" ht="14.25" x14ac:dyDescent="0.2">
      <c r="BH15822" s="25"/>
      <c r="BI15822" s="25"/>
      <c r="BJ15822" s="25"/>
      <c r="BK15822" s="25"/>
    </row>
    <row r="15823" spans="60:63" ht="14.25" x14ac:dyDescent="0.2">
      <c r="BH15823" s="25"/>
      <c r="BI15823" s="25"/>
      <c r="BJ15823" s="25"/>
      <c r="BK15823" s="25"/>
    </row>
    <row r="15824" spans="60:63" ht="14.25" x14ac:dyDescent="0.2">
      <c r="BH15824" s="25"/>
      <c r="BI15824" s="25"/>
      <c r="BJ15824" s="25"/>
      <c r="BK15824" s="25"/>
    </row>
    <row r="15825" spans="60:63" ht="14.25" x14ac:dyDescent="0.2">
      <c r="BH15825" s="25"/>
      <c r="BI15825" s="25"/>
      <c r="BJ15825" s="25"/>
      <c r="BK15825" s="25"/>
    </row>
    <row r="15826" spans="60:63" ht="14.25" x14ac:dyDescent="0.2">
      <c r="BH15826" s="25"/>
      <c r="BI15826" s="25"/>
      <c r="BJ15826" s="25"/>
      <c r="BK15826" s="25"/>
    </row>
    <row r="15827" spans="60:63" ht="14.25" x14ac:dyDescent="0.2">
      <c r="BH15827" s="25"/>
      <c r="BI15827" s="25"/>
      <c r="BJ15827" s="25"/>
      <c r="BK15827" s="25"/>
    </row>
    <row r="15828" spans="60:63" ht="14.25" x14ac:dyDescent="0.2">
      <c r="BH15828" s="25"/>
      <c r="BI15828" s="25"/>
      <c r="BJ15828" s="25"/>
      <c r="BK15828" s="25"/>
    </row>
    <row r="15829" spans="60:63" ht="14.25" x14ac:dyDescent="0.2">
      <c r="BH15829" s="25"/>
      <c r="BI15829" s="25"/>
      <c r="BJ15829" s="25"/>
      <c r="BK15829" s="25"/>
    </row>
    <row r="15830" spans="60:63" ht="14.25" x14ac:dyDescent="0.2">
      <c r="BH15830" s="25"/>
      <c r="BI15830" s="25"/>
      <c r="BJ15830" s="25"/>
      <c r="BK15830" s="25"/>
    </row>
    <row r="15831" spans="60:63" ht="14.25" x14ac:dyDescent="0.2">
      <c r="BH15831" s="25"/>
      <c r="BI15831" s="25"/>
      <c r="BJ15831" s="25"/>
      <c r="BK15831" s="25"/>
    </row>
    <row r="15832" spans="60:63" ht="14.25" x14ac:dyDescent="0.2">
      <c r="BH15832" s="25"/>
      <c r="BI15832" s="25"/>
      <c r="BJ15832" s="25"/>
      <c r="BK15832" s="25"/>
    </row>
    <row r="15833" spans="60:63" ht="14.25" x14ac:dyDescent="0.2">
      <c r="BH15833" s="25"/>
      <c r="BI15833" s="25"/>
      <c r="BJ15833" s="25"/>
      <c r="BK15833" s="25"/>
    </row>
    <row r="15834" spans="60:63" ht="14.25" x14ac:dyDescent="0.2">
      <c r="BH15834" s="25"/>
      <c r="BI15834" s="25"/>
      <c r="BJ15834" s="25"/>
      <c r="BK15834" s="25"/>
    </row>
    <row r="15835" spans="60:63" ht="14.25" x14ac:dyDescent="0.2">
      <c r="BH15835" s="25"/>
      <c r="BI15835" s="25"/>
      <c r="BJ15835" s="25"/>
      <c r="BK15835" s="25"/>
    </row>
    <row r="15836" spans="60:63" ht="14.25" x14ac:dyDescent="0.2">
      <c r="BH15836" s="25"/>
      <c r="BI15836" s="25"/>
      <c r="BJ15836" s="25"/>
      <c r="BK15836" s="25"/>
    </row>
    <row r="15837" spans="60:63" ht="14.25" x14ac:dyDescent="0.2">
      <c r="BH15837" s="25"/>
      <c r="BI15837" s="25"/>
      <c r="BJ15837" s="25"/>
      <c r="BK15837" s="25"/>
    </row>
    <row r="15838" spans="60:63" ht="14.25" x14ac:dyDescent="0.2">
      <c r="BH15838" s="25"/>
      <c r="BI15838" s="25"/>
      <c r="BJ15838" s="25"/>
      <c r="BK15838" s="25"/>
    </row>
    <row r="15839" spans="60:63" ht="14.25" x14ac:dyDescent="0.2">
      <c r="BH15839" s="25"/>
      <c r="BI15839" s="25"/>
      <c r="BJ15839" s="25"/>
      <c r="BK15839" s="25"/>
    </row>
    <row r="15840" spans="60:63" ht="14.25" x14ac:dyDescent="0.2">
      <c r="BH15840" s="25"/>
      <c r="BI15840" s="25"/>
      <c r="BJ15840" s="25"/>
      <c r="BK15840" s="25"/>
    </row>
    <row r="15841" spans="60:63" ht="14.25" x14ac:dyDescent="0.2">
      <c r="BH15841" s="25"/>
      <c r="BI15841" s="25"/>
      <c r="BJ15841" s="25"/>
      <c r="BK15841" s="25"/>
    </row>
    <row r="15842" spans="60:63" ht="14.25" x14ac:dyDescent="0.2">
      <c r="BH15842" s="25"/>
      <c r="BI15842" s="25"/>
      <c r="BJ15842" s="25"/>
      <c r="BK15842" s="25"/>
    </row>
    <row r="15843" spans="60:63" ht="14.25" x14ac:dyDescent="0.2">
      <c r="BH15843" s="25"/>
      <c r="BI15843" s="25"/>
      <c r="BJ15843" s="25"/>
      <c r="BK15843" s="25"/>
    </row>
    <row r="15844" spans="60:63" ht="14.25" x14ac:dyDescent="0.2">
      <c r="BH15844" s="25"/>
      <c r="BI15844" s="25"/>
      <c r="BJ15844" s="25"/>
      <c r="BK15844" s="25"/>
    </row>
    <row r="15845" spans="60:63" ht="14.25" x14ac:dyDescent="0.2">
      <c r="BH15845" s="25"/>
      <c r="BI15845" s="25"/>
      <c r="BJ15845" s="25"/>
      <c r="BK15845" s="25"/>
    </row>
    <row r="15846" spans="60:63" ht="14.25" x14ac:dyDescent="0.2">
      <c r="BH15846" s="25"/>
      <c r="BI15846" s="25"/>
      <c r="BJ15846" s="25"/>
      <c r="BK15846" s="25"/>
    </row>
    <row r="15847" spans="60:63" ht="14.25" x14ac:dyDescent="0.2">
      <c r="BH15847" s="25"/>
      <c r="BI15847" s="25"/>
      <c r="BJ15847" s="25"/>
      <c r="BK15847" s="25"/>
    </row>
    <row r="15848" spans="60:63" ht="14.25" x14ac:dyDescent="0.2">
      <c r="BH15848" s="25"/>
      <c r="BI15848" s="25"/>
      <c r="BJ15848" s="25"/>
      <c r="BK15848" s="25"/>
    </row>
    <row r="15849" spans="60:63" ht="14.25" x14ac:dyDescent="0.2">
      <c r="BH15849" s="25"/>
      <c r="BI15849" s="25"/>
      <c r="BJ15849" s="25"/>
      <c r="BK15849" s="25"/>
    </row>
    <row r="15850" spans="60:63" ht="14.25" x14ac:dyDescent="0.2">
      <c r="BH15850" s="25"/>
      <c r="BI15850" s="25"/>
      <c r="BJ15850" s="25"/>
      <c r="BK15850" s="25"/>
    </row>
    <row r="15851" spans="60:63" ht="14.25" x14ac:dyDescent="0.2">
      <c r="BH15851" s="25"/>
      <c r="BI15851" s="25"/>
      <c r="BJ15851" s="25"/>
      <c r="BK15851" s="25"/>
    </row>
    <row r="15852" spans="60:63" ht="14.25" x14ac:dyDescent="0.2">
      <c r="BH15852" s="25"/>
      <c r="BI15852" s="25"/>
      <c r="BJ15852" s="25"/>
      <c r="BK15852" s="25"/>
    </row>
    <row r="15853" spans="60:63" ht="14.25" x14ac:dyDescent="0.2">
      <c r="BH15853" s="25"/>
      <c r="BI15853" s="25"/>
      <c r="BJ15853" s="25"/>
      <c r="BK15853" s="25"/>
    </row>
    <row r="15854" spans="60:63" ht="14.25" x14ac:dyDescent="0.2">
      <c r="BH15854" s="25"/>
      <c r="BI15854" s="25"/>
      <c r="BJ15854" s="25"/>
      <c r="BK15854" s="25"/>
    </row>
    <row r="15855" spans="60:63" ht="14.25" x14ac:dyDescent="0.2">
      <c r="BH15855" s="25"/>
      <c r="BI15855" s="25"/>
      <c r="BJ15855" s="25"/>
      <c r="BK15855" s="25"/>
    </row>
    <row r="15856" spans="60:63" ht="14.25" x14ac:dyDescent="0.2">
      <c r="BH15856" s="25"/>
      <c r="BI15856" s="25"/>
      <c r="BJ15856" s="25"/>
      <c r="BK15856" s="25"/>
    </row>
    <row r="15857" spans="60:63" ht="14.25" x14ac:dyDescent="0.2">
      <c r="BH15857" s="25"/>
      <c r="BI15857" s="25"/>
      <c r="BJ15857" s="25"/>
      <c r="BK15857" s="25"/>
    </row>
    <row r="15858" spans="60:63" ht="14.25" x14ac:dyDescent="0.2">
      <c r="BH15858" s="25"/>
      <c r="BI15858" s="25"/>
      <c r="BJ15858" s="25"/>
      <c r="BK15858" s="25"/>
    </row>
    <row r="15859" spans="60:63" ht="14.25" x14ac:dyDescent="0.2">
      <c r="BH15859" s="25"/>
      <c r="BI15859" s="25"/>
      <c r="BJ15859" s="25"/>
      <c r="BK15859" s="25"/>
    </row>
    <row r="15860" spans="60:63" ht="14.25" x14ac:dyDescent="0.2">
      <c r="BH15860" s="25"/>
      <c r="BI15860" s="25"/>
      <c r="BJ15860" s="25"/>
      <c r="BK15860" s="25"/>
    </row>
    <row r="15861" spans="60:63" ht="14.25" x14ac:dyDescent="0.2">
      <c r="BH15861" s="25"/>
      <c r="BI15861" s="25"/>
      <c r="BJ15861" s="25"/>
      <c r="BK15861" s="25"/>
    </row>
    <row r="15862" spans="60:63" ht="14.25" x14ac:dyDescent="0.2">
      <c r="BH15862" s="25"/>
      <c r="BI15862" s="25"/>
      <c r="BJ15862" s="25"/>
      <c r="BK15862" s="25"/>
    </row>
    <row r="15863" spans="60:63" ht="14.25" x14ac:dyDescent="0.2">
      <c r="BH15863" s="25"/>
      <c r="BI15863" s="25"/>
      <c r="BJ15863" s="25"/>
      <c r="BK15863" s="25"/>
    </row>
    <row r="15864" spans="60:63" ht="14.25" x14ac:dyDescent="0.2">
      <c r="BH15864" s="25"/>
      <c r="BI15864" s="25"/>
      <c r="BJ15864" s="25"/>
      <c r="BK15864" s="25"/>
    </row>
    <row r="15865" spans="60:63" ht="14.25" x14ac:dyDescent="0.2">
      <c r="BH15865" s="25"/>
      <c r="BI15865" s="25"/>
      <c r="BJ15865" s="25"/>
      <c r="BK15865" s="25"/>
    </row>
    <row r="15866" spans="60:63" ht="14.25" x14ac:dyDescent="0.2">
      <c r="BH15866" s="25"/>
      <c r="BI15866" s="25"/>
      <c r="BJ15866" s="25"/>
      <c r="BK15866" s="25"/>
    </row>
    <row r="15867" spans="60:63" ht="14.25" x14ac:dyDescent="0.2">
      <c r="BH15867" s="25"/>
      <c r="BI15867" s="25"/>
      <c r="BJ15867" s="25"/>
      <c r="BK15867" s="25"/>
    </row>
    <row r="15868" spans="60:63" ht="14.25" x14ac:dyDescent="0.2">
      <c r="BH15868" s="25"/>
      <c r="BI15868" s="25"/>
      <c r="BJ15868" s="25"/>
      <c r="BK15868" s="25"/>
    </row>
    <row r="15869" spans="60:63" ht="14.25" x14ac:dyDescent="0.2">
      <c r="BH15869" s="25"/>
      <c r="BI15869" s="25"/>
      <c r="BJ15869" s="25"/>
      <c r="BK15869" s="25"/>
    </row>
    <row r="15870" spans="60:63" ht="14.25" x14ac:dyDescent="0.2">
      <c r="BH15870" s="25"/>
      <c r="BI15870" s="25"/>
      <c r="BJ15870" s="25"/>
      <c r="BK15870" s="25"/>
    </row>
    <row r="15871" spans="60:63" ht="14.25" x14ac:dyDescent="0.2">
      <c r="BH15871" s="25"/>
      <c r="BI15871" s="25"/>
      <c r="BJ15871" s="25"/>
      <c r="BK15871" s="25"/>
    </row>
    <row r="15872" spans="60:63" ht="14.25" x14ac:dyDescent="0.2">
      <c r="BH15872" s="25"/>
      <c r="BI15872" s="25"/>
      <c r="BJ15872" s="25"/>
      <c r="BK15872" s="25"/>
    </row>
    <row r="15873" spans="60:63" ht="14.25" x14ac:dyDescent="0.2">
      <c r="BH15873" s="25"/>
      <c r="BI15873" s="25"/>
      <c r="BJ15873" s="25"/>
      <c r="BK15873" s="25"/>
    </row>
    <row r="15874" spans="60:63" ht="14.25" x14ac:dyDescent="0.2">
      <c r="BH15874" s="25"/>
      <c r="BI15874" s="25"/>
      <c r="BJ15874" s="25"/>
      <c r="BK15874" s="25"/>
    </row>
    <row r="15875" spans="60:63" ht="14.25" x14ac:dyDescent="0.2">
      <c r="BH15875" s="25"/>
      <c r="BI15875" s="25"/>
      <c r="BJ15875" s="25"/>
      <c r="BK15875" s="25"/>
    </row>
    <row r="15876" spans="60:63" ht="14.25" x14ac:dyDescent="0.2">
      <c r="BH15876" s="25"/>
      <c r="BI15876" s="25"/>
      <c r="BJ15876" s="25"/>
      <c r="BK15876" s="25"/>
    </row>
    <row r="15877" spans="60:63" ht="14.25" x14ac:dyDescent="0.2">
      <c r="BH15877" s="25"/>
      <c r="BI15877" s="25"/>
      <c r="BJ15877" s="25"/>
      <c r="BK15877" s="25"/>
    </row>
    <row r="15878" spans="60:63" ht="14.25" x14ac:dyDescent="0.2">
      <c r="BH15878" s="25"/>
      <c r="BI15878" s="25"/>
      <c r="BJ15878" s="25"/>
      <c r="BK15878" s="25"/>
    </row>
    <row r="15879" spans="60:63" ht="14.25" x14ac:dyDescent="0.2">
      <c r="BH15879" s="25"/>
      <c r="BI15879" s="25"/>
      <c r="BJ15879" s="25"/>
      <c r="BK15879" s="25"/>
    </row>
    <row r="15880" spans="60:63" ht="14.25" x14ac:dyDescent="0.2">
      <c r="BH15880" s="25"/>
      <c r="BI15880" s="25"/>
      <c r="BJ15880" s="25"/>
      <c r="BK15880" s="25"/>
    </row>
    <row r="15881" spans="60:63" ht="14.25" x14ac:dyDescent="0.2">
      <c r="BH15881" s="25"/>
      <c r="BI15881" s="25"/>
      <c r="BJ15881" s="25"/>
      <c r="BK15881" s="25"/>
    </row>
    <row r="15882" spans="60:63" ht="14.25" x14ac:dyDescent="0.2">
      <c r="BH15882" s="25"/>
      <c r="BI15882" s="25"/>
      <c r="BJ15882" s="25"/>
      <c r="BK15882" s="25"/>
    </row>
    <row r="15883" spans="60:63" ht="14.25" x14ac:dyDescent="0.2">
      <c r="BH15883" s="25"/>
      <c r="BI15883" s="25"/>
      <c r="BJ15883" s="25"/>
      <c r="BK15883" s="25"/>
    </row>
    <row r="15884" spans="60:63" ht="14.25" x14ac:dyDescent="0.2">
      <c r="BH15884" s="25"/>
      <c r="BI15884" s="25"/>
      <c r="BJ15884" s="25"/>
      <c r="BK15884" s="25"/>
    </row>
    <row r="15885" spans="60:63" ht="14.25" x14ac:dyDescent="0.2">
      <c r="BH15885" s="25"/>
      <c r="BI15885" s="25"/>
      <c r="BJ15885" s="25"/>
      <c r="BK15885" s="25"/>
    </row>
    <row r="15886" spans="60:63" ht="14.25" x14ac:dyDescent="0.2">
      <c r="BH15886" s="25"/>
      <c r="BI15886" s="25"/>
      <c r="BJ15886" s="25"/>
      <c r="BK15886" s="25"/>
    </row>
    <row r="15887" spans="60:63" ht="14.25" x14ac:dyDescent="0.2">
      <c r="BH15887" s="25"/>
      <c r="BI15887" s="25"/>
      <c r="BJ15887" s="25"/>
      <c r="BK15887" s="25"/>
    </row>
    <row r="15888" spans="60:63" ht="14.25" x14ac:dyDescent="0.2">
      <c r="BH15888" s="25"/>
      <c r="BI15888" s="25"/>
      <c r="BJ15888" s="25"/>
      <c r="BK15888" s="25"/>
    </row>
    <row r="15889" spans="60:63" ht="14.25" x14ac:dyDescent="0.2">
      <c r="BH15889" s="25"/>
      <c r="BI15889" s="25"/>
      <c r="BJ15889" s="25"/>
      <c r="BK15889" s="25"/>
    </row>
    <row r="15890" spans="60:63" ht="14.25" x14ac:dyDescent="0.2">
      <c r="BH15890" s="25"/>
      <c r="BI15890" s="25"/>
      <c r="BJ15890" s="25"/>
      <c r="BK15890" s="25"/>
    </row>
    <row r="15891" spans="60:63" ht="14.25" x14ac:dyDescent="0.2">
      <c r="BH15891" s="25"/>
      <c r="BI15891" s="25"/>
      <c r="BJ15891" s="25"/>
      <c r="BK15891" s="25"/>
    </row>
    <row r="15892" spans="60:63" ht="14.25" x14ac:dyDescent="0.2">
      <c r="BH15892" s="25"/>
      <c r="BI15892" s="25"/>
      <c r="BJ15892" s="25"/>
      <c r="BK15892" s="25"/>
    </row>
    <row r="15893" spans="60:63" ht="14.25" x14ac:dyDescent="0.2">
      <c r="BH15893" s="25"/>
      <c r="BI15893" s="25"/>
      <c r="BJ15893" s="25"/>
      <c r="BK15893" s="25"/>
    </row>
    <row r="15894" spans="60:63" ht="14.25" x14ac:dyDescent="0.2">
      <c r="BH15894" s="25"/>
      <c r="BI15894" s="25"/>
      <c r="BJ15894" s="25"/>
      <c r="BK15894" s="25"/>
    </row>
    <row r="15895" spans="60:63" ht="14.25" x14ac:dyDescent="0.2">
      <c r="BH15895" s="25"/>
      <c r="BI15895" s="25"/>
      <c r="BJ15895" s="25"/>
      <c r="BK15895" s="25"/>
    </row>
    <row r="15896" spans="60:63" ht="14.25" x14ac:dyDescent="0.2">
      <c r="BH15896" s="25"/>
      <c r="BI15896" s="25"/>
      <c r="BJ15896" s="25"/>
      <c r="BK15896" s="25"/>
    </row>
    <row r="15897" spans="60:63" ht="14.25" x14ac:dyDescent="0.2">
      <c r="BH15897" s="25"/>
      <c r="BI15897" s="25"/>
      <c r="BJ15897" s="25"/>
      <c r="BK15897" s="25"/>
    </row>
    <row r="15898" spans="60:63" ht="14.25" x14ac:dyDescent="0.2">
      <c r="BH15898" s="25"/>
      <c r="BI15898" s="25"/>
      <c r="BJ15898" s="25"/>
      <c r="BK15898" s="25"/>
    </row>
    <row r="15899" spans="60:63" ht="14.25" x14ac:dyDescent="0.2">
      <c r="BH15899" s="25"/>
      <c r="BI15899" s="25"/>
      <c r="BJ15899" s="25"/>
      <c r="BK15899" s="25"/>
    </row>
    <row r="15900" spans="60:63" ht="14.25" x14ac:dyDescent="0.2">
      <c r="BH15900" s="25"/>
      <c r="BI15900" s="25"/>
      <c r="BJ15900" s="25"/>
      <c r="BK15900" s="25"/>
    </row>
    <row r="15901" spans="60:63" ht="14.25" x14ac:dyDescent="0.2">
      <c r="BH15901" s="25"/>
      <c r="BI15901" s="25"/>
      <c r="BJ15901" s="25"/>
      <c r="BK15901" s="25"/>
    </row>
    <row r="15902" spans="60:63" ht="14.25" x14ac:dyDescent="0.2">
      <c r="BH15902" s="25"/>
      <c r="BI15902" s="25"/>
      <c r="BJ15902" s="25"/>
      <c r="BK15902" s="25"/>
    </row>
    <row r="15903" spans="60:63" ht="14.25" x14ac:dyDescent="0.2">
      <c r="BH15903" s="25"/>
      <c r="BI15903" s="25"/>
      <c r="BJ15903" s="25"/>
      <c r="BK15903" s="25"/>
    </row>
    <row r="15904" spans="60:63" ht="14.25" x14ac:dyDescent="0.2">
      <c r="BH15904" s="25"/>
      <c r="BI15904" s="25"/>
      <c r="BJ15904" s="25"/>
      <c r="BK15904" s="25"/>
    </row>
    <row r="15905" spans="60:63" ht="14.25" x14ac:dyDescent="0.2">
      <c r="BH15905" s="25"/>
      <c r="BI15905" s="25"/>
      <c r="BJ15905" s="25"/>
      <c r="BK15905" s="25"/>
    </row>
    <row r="15906" spans="60:63" ht="14.25" x14ac:dyDescent="0.2">
      <c r="BH15906" s="25"/>
      <c r="BI15906" s="25"/>
      <c r="BJ15906" s="25"/>
      <c r="BK15906" s="25"/>
    </row>
    <row r="15907" spans="60:63" ht="14.25" x14ac:dyDescent="0.2">
      <c r="BH15907" s="25"/>
      <c r="BI15907" s="25"/>
      <c r="BJ15907" s="25"/>
      <c r="BK15907" s="25"/>
    </row>
    <row r="15908" spans="60:63" ht="14.25" x14ac:dyDescent="0.2">
      <c r="BH15908" s="25"/>
      <c r="BI15908" s="25"/>
      <c r="BJ15908" s="25"/>
      <c r="BK15908" s="25"/>
    </row>
    <row r="15909" spans="60:63" ht="14.25" x14ac:dyDescent="0.2">
      <c r="BH15909" s="25"/>
      <c r="BI15909" s="25"/>
      <c r="BJ15909" s="25"/>
      <c r="BK15909" s="25"/>
    </row>
    <row r="15910" spans="60:63" ht="14.25" x14ac:dyDescent="0.2">
      <c r="BH15910" s="25"/>
      <c r="BI15910" s="25"/>
      <c r="BJ15910" s="25"/>
      <c r="BK15910" s="25"/>
    </row>
    <row r="15911" spans="60:63" ht="14.25" x14ac:dyDescent="0.2">
      <c r="BH15911" s="25"/>
      <c r="BI15911" s="25"/>
      <c r="BJ15911" s="25"/>
      <c r="BK15911" s="25"/>
    </row>
    <row r="15912" spans="60:63" ht="14.25" x14ac:dyDescent="0.2">
      <c r="BH15912" s="25"/>
      <c r="BI15912" s="25"/>
      <c r="BJ15912" s="25"/>
      <c r="BK15912" s="25"/>
    </row>
    <row r="15913" spans="60:63" ht="14.25" x14ac:dyDescent="0.2">
      <c r="BH15913" s="25"/>
      <c r="BI15913" s="25"/>
      <c r="BJ15913" s="25"/>
      <c r="BK15913" s="25"/>
    </row>
    <row r="15914" spans="60:63" ht="14.25" x14ac:dyDescent="0.2">
      <c r="BH15914" s="25"/>
      <c r="BI15914" s="25"/>
      <c r="BJ15914" s="25"/>
      <c r="BK15914" s="25"/>
    </row>
    <row r="15915" spans="60:63" ht="14.25" x14ac:dyDescent="0.2">
      <c r="BH15915" s="25"/>
      <c r="BI15915" s="25"/>
      <c r="BJ15915" s="25"/>
      <c r="BK15915" s="25"/>
    </row>
    <row r="15916" spans="60:63" ht="14.25" x14ac:dyDescent="0.2">
      <c r="BH15916" s="25"/>
      <c r="BI15916" s="25"/>
      <c r="BJ15916" s="25"/>
      <c r="BK15916" s="25"/>
    </row>
    <row r="15917" spans="60:63" ht="14.25" x14ac:dyDescent="0.2">
      <c r="BH15917" s="25"/>
      <c r="BI15917" s="25"/>
      <c r="BJ15917" s="25"/>
      <c r="BK15917" s="25"/>
    </row>
    <row r="15918" spans="60:63" ht="14.25" x14ac:dyDescent="0.2">
      <c r="BH15918" s="25"/>
      <c r="BI15918" s="25"/>
      <c r="BJ15918" s="25"/>
      <c r="BK15918" s="25"/>
    </row>
    <row r="15919" spans="60:63" ht="14.25" x14ac:dyDescent="0.2">
      <c r="BH15919" s="25"/>
      <c r="BI15919" s="25"/>
      <c r="BJ15919" s="25"/>
      <c r="BK15919" s="25"/>
    </row>
    <row r="15920" spans="60:63" ht="14.25" x14ac:dyDescent="0.2">
      <c r="BH15920" s="25"/>
      <c r="BI15920" s="25"/>
      <c r="BJ15920" s="25"/>
      <c r="BK15920" s="25"/>
    </row>
    <row r="15921" spans="60:63" ht="14.25" x14ac:dyDescent="0.2">
      <c r="BH15921" s="25"/>
      <c r="BI15921" s="25"/>
      <c r="BJ15921" s="25"/>
      <c r="BK15921" s="25"/>
    </row>
    <row r="15922" spans="60:63" ht="14.25" x14ac:dyDescent="0.2">
      <c r="BH15922" s="25"/>
      <c r="BI15922" s="25"/>
      <c r="BJ15922" s="25"/>
      <c r="BK15922" s="25"/>
    </row>
    <row r="15923" spans="60:63" ht="14.25" x14ac:dyDescent="0.2">
      <c r="BH15923" s="25"/>
      <c r="BI15923" s="25"/>
      <c r="BJ15923" s="25"/>
      <c r="BK15923" s="25"/>
    </row>
    <row r="15924" spans="60:63" ht="14.25" x14ac:dyDescent="0.2">
      <c r="BH15924" s="25"/>
      <c r="BI15924" s="25"/>
      <c r="BJ15924" s="25"/>
      <c r="BK15924" s="25"/>
    </row>
    <row r="15925" spans="60:63" ht="14.25" x14ac:dyDescent="0.2">
      <c r="BH15925" s="25"/>
      <c r="BI15925" s="25"/>
      <c r="BJ15925" s="25"/>
      <c r="BK15925" s="25"/>
    </row>
    <row r="15926" spans="60:63" ht="14.25" x14ac:dyDescent="0.2">
      <c r="BH15926" s="25"/>
      <c r="BI15926" s="25"/>
      <c r="BJ15926" s="25"/>
      <c r="BK15926" s="25"/>
    </row>
    <row r="15927" spans="60:63" ht="14.25" x14ac:dyDescent="0.2">
      <c r="BH15927" s="25"/>
      <c r="BI15927" s="25"/>
      <c r="BJ15927" s="25"/>
      <c r="BK15927" s="25"/>
    </row>
    <row r="15928" spans="60:63" ht="14.25" x14ac:dyDescent="0.2">
      <c r="BH15928" s="25"/>
      <c r="BI15928" s="25"/>
      <c r="BJ15928" s="25"/>
      <c r="BK15928" s="25"/>
    </row>
    <row r="15929" spans="60:63" ht="14.25" x14ac:dyDescent="0.2">
      <c r="BH15929" s="25"/>
      <c r="BI15929" s="25"/>
      <c r="BJ15929" s="25"/>
      <c r="BK15929" s="25"/>
    </row>
    <row r="15930" spans="60:63" ht="14.25" x14ac:dyDescent="0.2">
      <c r="BH15930" s="25"/>
      <c r="BI15930" s="25"/>
      <c r="BJ15930" s="25"/>
      <c r="BK15930" s="25"/>
    </row>
    <row r="15931" spans="60:63" ht="14.25" x14ac:dyDescent="0.2">
      <c r="BH15931" s="25"/>
      <c r="BI15931" s="25"/>
      <c r="BJ15931" s="25"/>
      <c r="BK15931" s="25"/>
    </row>
    <row r="15932" spans="60:63" ht="14.25" x14ac:dyDescent="0.2">
      <c r="BH15932" s="25"/>
      <c r="BI15932" s="25"/>
      <c r="BJ15932" s="25"/>
      <c r="BK15932" s="25"/>
    </row>
    <row r="15933" spans="60:63" ht="14.25" x14ac:dyDescent="0.2">
      <c r="BH15933" s="25"/>
      <c r="BI15933" s="25"/>
      <c r="BJ15933" s="25"/>
      <c r="BK15933" s="25"/>
    </row>
    <row r="15934" spans="60:63" ht="14.25" x14ac:dyDescent="0.2">
      <c r="BH15934" s="25"/>
      <c r="BI15934" s="25"/>
      <c r="BJ15934" s="25"/>
      <c r="BK15934" s="25"/>
    </row>
    <row r="15935" spans="60:63" ht="14.25" x14ac:dyDescent="0.2">
      <c r="BH15935" s="25"/>
      <c r="BI15935" s="25"/>
      <c r="BJ15935" s="25"/>
      <c r="BK15935" s="25"/>
    </row>
    <row r="15936" spans="60:63" ht="14.25" x14ac:dyDescent="0.2">
      <c r="BH15936" s="25"/>
      <c r="BI15936" s="25"/>
      <c r="BJ15936" s="25"/>
      <c r="BK15936" s="25"/>
    </row>
    <row r="15937" spans="60:63" ht="14.25" x14ac:dyDescent="0.2">
      <c r="BH15937" s="25"/>
      <c r="BI15937" s="25"/>
      <c r="BJ15937" s="25"/>
      <c r="BK15937" s="25"/>
    </row>
    <row r="15938" spans="60:63" ht="14.25" x14ac:dyDescent="0.2">
      <c r="BH15938" s="25"/>
      <c r="BI15938" s="25"/>
      <c r="BJ15938" s="25"/>
      <c r="BK15938" s="25"/>
    </row>
    <row r="15939" spans="60:63" ht="14.25" x14ac:dyDescent="0.2">
      <c r="BH15939" s="25"/>
      <c r="BI15939" s="25"/>
      <c r="BJ15939" s="25"/>
      <c r="BK15939" s="25"/>
    </row>
    <row r="15940" spans="60:63" ht="14.25" x14ac:dyDescent="0.2">
      <c r="BH15940" s="25"/>
      <c r="BI15940" s="25"/>
      <c r="BJ15940" s="25"/>
      <c r="BK15940" s="25"/>
    </row>
    <row r="15941" spans="60:63" ht="14.25" x14ac:dyDescent="0.2">
      <c r="BH15941" s="25"/>
      <c r="BI15941" s="25"/>
      <c r="BJ15941" s="25"/>
      <c r="BK15941" s="25"/>
    </row>
    <row r="15942" spans="60:63" ht="14.25" x14ac:dyDescent="0.2">
      <c r="BH15942" s="25"/>
      <c r="BI15942" s="25"/>
      <c r="BJ15942" s="25"/>
      <c r="BK15942" s="25"/>
    </row>
    <row r="15943" spans="60:63" ht="14.25" x14ac:dyDescent="0.2">
      <c r="BH15943" s="25"/>
      <c r="BI15943" s="25"/>
      <c r="BJ15943" s="25"/>
      <c r="BK15943" s="25"/>
    </row>
    <row r="15944" spans="60:63" ht="14.25" x14ac:dyDescent="0.2">
      <c r="BH15944" s="25"/>
      <c r="BI15944" s="25"/>
      <c r="BJ15944" s="25"/>
      <c r="BK15944" s="25"/>
    </row>
    <row r="15945" spans="60:63" ht="14.25" x14ac:dyDescent="0.2">
      <c r="BH15945" s="25"/>
      <c r="BI15945" s="25"/>
      <c r="BJ15945" s="25"/>
      <c r="BK15945" s="25"/>
    </row>
    <row r="15946" spans="60:63" ht="14.25" x14ac:dyDescent="0.2">
      <c r="BH15946" s="25"/>
      <c r="BI15946" s="25"/>
      <c r="BJ15946" s="25"/>
      <c r="BK15946" s="25"/>
    </row>
    <row r="15947" spans="60:63" ht="14.25" x14ac:dyDescent="0.2">
      <c r="BH15947" s="25"/>
      <c r="BI15947" s="25"/>
      <c r="BJ15947" s="25"/>
      <c r="BK15947" s="25"/>
    </row>
    <row r="15948" spans="60:63" ht="14.25" x14ac:dyDescent="0.2">
      <c r="BH15948" s="25"/>
      <c r="BI15948" s="25"/>
      <c r="BJ15948" s="25"/>
      <c r="BK15948" s="25"/>
    </row>
    <row r="15949" spans="60:63" ht="14.25" x14ac:dyDescent="0.2">
      <c r="BH15949" s="25"/>
      <c r="BI15949" s="25"/>
      <c r="BJ15949" s="25"/>
      <c r="BK15949" s="25"/>
    </row>
    <row r="15950" spans="60:63" ht="14.25" x14ac:dyDescent="0.2">
      <c r="BH15950" s="25"/>
      <c r="BI15950" s="25"/>
      <c r="BJ15950" s="25"/>
      <c r="BK15950" s="25"/>
    </row>
    <row r="15951" spans="60:63" ht="14.25" x14ac:dyDescent="0.2">
      <c r="BH15951" s="25"/>
      <c r="BI15951" s="25"/>
      <c r="BJ15951" s="25"/>
      <c r="BK15951" s="25"/>
    </row>
    <row r="15952" spans="60:63" ht="14.25" x14ac:dyDescent="0.2">
      <c r="BH15952" s="25"/>
      <c r="BI15952" s="25"/>
      <c r="BJ15952" s="25"/>
      <c r="BK15952" s="25"/>
    </row>
    <row r="15953" spans="60:63" ht="14.25" x14ac:dyDescent="0.2">
      <c r="BH15953" s="25"/>
      <c r="BI15953" s="25"/>
      <c r="BJ15953" s="25"/>
      <c r="BK15953" s="25"/>
    </row>
    <row r="15954" spans="60:63" ht="14.25" x14ac:dyDescent="0.2">
      <c r="BH15954" s="25"/>
      <c r="BI15954" s="25"/>
      <c r="BJ15954" s="25"/>
      <c r="BK15954" s="25"/>
    </row>
    <row r="15955" spans="60:63" ht="14.25" x14ac:dyDescent="0.2">
      <c r="BH15955" s="25"/>
      <c r="BI15955" s="25"/>
      <c r="BJ15955" s="25"/>
      <c r="BK15955" s="25"/>
    </row>
    <row r="15956" spans="60:63" ht="14.25" x14ac:dyDescent="0.2">
      <c r="BH15956" s="25"/>
      <c r="BI15956" s="25"/>
      <c r="BJ15956" s="25"/>
      <c r="BK15956" s="25"/>
    </row>
    <row r="15957" spans="60:63" ht="14.25" x14ac:dyDescent="0.2">
      <c r="BH15957" s="25"/>
      <c r="BI15957" s="25"/>
      <c r="BJ15957" s="25"/>
      <c r="BK15957" s="25"/>
    </row>
    <row r="15958" spans="60:63" ht="14.25" x14ac:dyDescent="0.2">
      <c r="BH15958" s="25"/>
      <c r="BI15958" s="25"/>
      <c r="BJ15958" s="25"/>
      <c r="BK15958" s="25"/>
    </row>
    <row r="15959" spans="60:63" ht="14.25" x14ac:dyDescent="0.2">
      <c r="BH15959" s="25"/>
      <c r="BI15959" s="25"/>
      <c r="BJ15959" s="25"/>
      <c r="BK15959" s="25"/>
    </row>
    <row r="15960" spans="60:63" ht="14.25" x14ac:dyDescent="0.2">
      <c r="BH15960" s="25"/>
      <c r="BI15960" s="25"/>
      <c r="BJ15960" s="25"/>
      <c r="BK15960" s="25"/>
    </row>
    <row r="15961" spans="60:63" ht="14.25" x14ac:dyDescent="0.2">
      <c r="BH15961" s="25"/>
      <c r="BI15961" s="25"/>
      <c r="BJ15961" s="25"/>
      <c r="BK15961" s="25"/>
    </row>
    <row r="15962" spans="60:63" ht="14.25" x14ac:dyDescent="0.2">
      <c r="BH15962" s="25"/>
      <c r="BI15962" s="25"/>
      <c r="BJ15962" s="25"/>
      <c r="BK15962" s="25"/>
    </row>
    <row r="15963" spans="60:63" ht="14.25" x14ac:dyDescent="0.2">
      <c r="BH15963" s="25"/>
      <c r="BI15963" s="25"/>
      <c r="BJ15963" s="25"/>
      <c r="BK15963" s="25"/>
    </row>
    <row r="15964" spans="60:63" ht="14.25" x14ac:dyDescent="0.2">
      <c r="BH15964" s="25"/>
      <c r="BI15964" s="25"/>
      <c r="BJ15964" s="25"/>
      <c r="BK15964" s="25"/>
    </row>
    <row r="15965" spans="60:63" ht="14.25" x14ac:dyDescent="0.2">
      <c r="BH15965" s="25"/>
      <c r="BI15965" s="25"/>
      <c r="BJ15965" s="25"/>
      <c r="BK15965" s="25"/>
    </row>
    <row r="15966" spans="60:63" ht="14.25" x14ac:dyDescent="0.2">
      <c r="BH15966" s="25"/>
      <c r="BI15966" s="25"/>
      <c r="BJ15966" s="25"/>
      <c r="BK15966" s="25"/>
    </row>
    <row r="15967" spans="60:63" ht="14.25" x14ac:dyDescent="0.2">
      <c r="BH15967" s="25"/>
      <c r="BI15967" s="25"/>
      <c r="BJ15967" s="25"/>
      <c r="BK15967" s="25"/>
    </row>
    <row r="15968" spans="60:63" ht="14.25" x14ac:dyDescent="0.2">
      <c r="BH15968" s="25"/>
      <c r="BI15968" s="25"/>
      <c r="BJ15968" s="25"/>
      <c r="BK15968" s="25"/>
    </row>
    <row r="15969" spans="60:63" ht="14.25" x14ac:dyDescent="0.2">
      <c r="BH15969" s="25"/>
      <c r="BI15969" s="25"/>
      <c r="BJ15969" s="25"/>
      <c r="BK15969" s="25"/>
    </row>
    <row r="15970" spans="60:63" ht="14.25" x14ac:dyDescent="0.2">
      <c r="BH15970" s="25"/>
      <c r="BI15970" s="25"/>
      <c r="BJ15970" s="25"/>
      <c r="BK15970" s="25"/>
    </row>
    <row r="15971" spans="60:63" ht="14.25" x14ac:dyDescent="0.2">
      <c r="BH15971" s="25"/>
      <c r="BI15971" s="25"/>
      <c r="BJ15971" s="25"/>
      <c r="BK15971" s="25"/>
    </row>
    <row r="15972" spans="60:63" ht="14.25" x14ac:dyDescent="0.2">
      <c r="BH15972" s="25"/>
      <c r="BI15972" s="25"/>
      <c r="BJ15972" s="25"/>
      <c r="BK15972" s="25"/>
    </row>
    <row r="15973" spans="60:63" ht="14.25" x14ac:dyDescent="0.2">
      <c r="BH15973" s="25"/>
      <c r="BI15973" s="25"/>
      <c r="BJ15973" s="25"/>
      <c r="BK15973" s="25"/>
    </row>
    <row r="15974" spans="60:63" ht="14.25" x14ac:dyDescent="0.2">
      <c r="BH15974" s="25"/>
      <c r="BI15974" s="25"/>
      <c r="BJ15974" s="25"/>
      <c r="BK15974" s="25"/>
    </row>
    <row r="15975" spans="60:63" ht="14.25" x14ac:dyDescent="0.2">
      <c r="BH15975" s="25"/>
      <c r="BI15975" s="25"/>
      <c r="BJ15975" s="25"/>
      <c r="BK15975" s="25"/>
    </row>
    <row r="15976" spans="60:63" ht="14.25" x14ac:dyDescent="0.2">
      <c r="BH15976" s="25"/>
      <c r="BI15976" s="25"/>
      <c r="BJ15976" s="25"/>
      <c r="BK15976" s="25"/>
    </row>
    <row r="15977" spans="60:63" ht="14.25" x14ac:dyDescent="0.2">
      <c r="BH15977" s="25"/>
      <c r="BI15977" s="25"/>
      <c r="BJ15977" s="25"/>
      <c r="BK15977" s="25"/>
    </row>
    <row r="15978" spans="60:63" ht="14.25" x14ac:dyDescent="0.2">
      <c r="BH15978" s="25"/>
      <c r="BI15978" s="25"/>
      <c r="BJ15978" s="25"/>
      <c r="BK15978" s="25"/>
    </row>
    <row r="15979" spans="60:63" ht="14.25" x14ac:dyDescent="0.2">
      <c r="BH15979" s="25"/>
      <c r="BI15979" s="25"/>
      <c r="BJ15979" s="25"/>
      <c r="BK15979" s="25"/>
    </row>
    <row r="15980" spans="60:63" ht="14.25" x14ac:dyDescent="0.2">
      <c r="BH15980" s="25"/>
      <c r="BI15980" s="25"/>
      <c r="BJ15980" s="25"/>
      <c r="BK15980" s="25"/>
    </row>
    <row r="15981" spans="60:63" ht="14.25" x14ac:dyDescent="0.2">
      <c r="BH15981" s="25"/>
      <c r="BI15981" s="25"/>
      <c r="BJ15981" s="25"/>
      <c r="BK15981" s="25"/>
    </row>
    <row r="15982" spans="60:63" ht="14.25" x14ac:dyDescent="0.2">
      <c r="BH15982" s="25"/>
      <c r="BI15982" s="25"/>
      <c r="BJ15982" s="25"/>
      <c r="BK15982" s="25"/>
    </row>
    <row r="15983" spans="60:63" ht="14.25" x14ac:dyDescent="0.2">
      <c r="BH15983" s="25"/>
      <c r="BI15983" s="25"/>
      <c r="BJ15983" s="25"/>
      <c r="BK15983" s="25"/>
    </row>
    <row r="15984" spans="60:63" ht="14.25" x14ac:dyDescent="0.2">
      <c r="BH15984" s="25"/>
      <c r="BI15984" s="25"/>
      <c r="BJ15984" s="25"/>
      <c r="BK15984" s="25"/>
    </row>
    <row r="15985" spans="60:63" ht="14.25" x14ac:dyDescent="0.2">
      <c r="BH15985" s="25"/>
      <c r="BI15985" s="25"/>
      <c r="BJ15985" s="25"/>
      <c r="BK15985" s="25"/>
    </row>
    <row r="15986" spans="60:63" ht="14.25" x14ac:dyDescent="0.2">
      <c r="BH15986" s="25"/>
      <c r="BI15986" s="25"/>
      <c r="BJ15986" s="25"/>
      <c r="BK15986" s="25"/>
    </row>
    <row r="15987" spans="60:63" ht="14.25" x14ac:dyDescent="0.2">
      <c r="BH15987" s="25"/>
      <c r="BI15987" s="25"/>
      <c r="BJ15987" s="25"/>
      <c r="BK15987" s="25"/>
    </row>
    <row r="15988" spans="60:63" ht="14.25" x14ac:dyDescent="0.2">
      <c r="BH15988" s="25"/>
      <c r="BI15988" s="25"/>
      <c r="BJ15988" s="25"/>
      <c r="BK15988" s="25"/>
    </row>
    <row r="15989" spans="60:63" ht="14.25" x14ac:dyDescent="0.2">
      <c r="BH15989" s="25"/>
      <c r="BI15989" s="25"/>
      <c r="BJ15989" s="25"/>
      <c r="BK15989" s="25"/>
    </row>
    <row r="15990" spans="60:63" ht="14.25" x14ac:dyDescent="0.2">
      <c r="BH15990" s="25"/>
      <c r="BI15990" s="25"/>
      <c r="BJ15990" s="25"/>
      <c r="BK15990" s="25"/>
    </row>
    <row r="15991" spans="60:63" ht="14.25" x14ac:dyDescent="0.2">
      <c r="BH15991" s="25"/>
      <c r="BI15991" s="25"/>
      <c r="BJ15991" s="25"/>
      <c r="BK15991" s="25"/>
    </row>
    <row r="15992" spans="60:63" ht="14.25" x14ac:dyDescent="0.2">
      <c r="BH15992" s="25"/>
      <c r="BI15992" s="25"/>
      <c r="BJ15992" s="25"/>
      <c r="BK15992" s="25"/>
    </row>
    <row r="15993" spans="60:63" ht="14.25" x14ac:dyDescent="0.2">
      <c r="BH15993" s="25"/>
      <c r="BI15993" s="25"/>
      <c r="BJ15993" s="25"/>
      <c r="BK15993" s="25"/>
    </row>
    <row r="15994" spans="60:63" ht="14.25" x14ac:dyDescent="0.2">
      <c r="BH15994" s="25"/>
      <c r="BI15994" s="25"/>
      <c r="BJ15994" s="25"/>
      <c r="BK15994" s="25"/>
    </row>
    <row r="15995" spans="60:63" ht="14.25" x14ac:dyDescent="0.2">
      <c r="BH15995" s="25"/>
      <c r="BI15995" s="25"/>
      <c r="BJ15995" s="25"/>
      <c r="BK15995" s="25"/>
    </row>
    <row r="15996" spans="60:63" ht="14.25" x14ac:dyDescent="0.2">
      <c r="BH15996" s="25"/>
      <c r="BI15996" s="25"/>
      <c r="BJ15996" s="25"/>
      <c r="BK15996" s="25"/>
    </row>
    <row r="15997" spans="60:63" ht="14.25" x14ac:dyDescent="0.2">
      <c r="BH15997" s="25"/>
      <c r="BI15997" s="25"/>
      <c r="BJ15997" s="25"/>
      <c r="BK15997" s="25"/>
    </row>
    <row r="15998" spans="60:63" ht="14.25" x14ac:dyDescent="0.2">
      <c r="BH15998" s="25"/>
      <c r="BI15998" s="25"/>
      <c r="BJ15998" s="25"/>
      <c r="BK15998" s="25"/>
    </row>
    <row r="15999" spans="60:63" ht="14.25" x14ac:dyDescent="0.2">
      <c r="BH15999" s="25"/>
      <c r="BI15999" s="25"/>
      <c r="BJ15999" s="25"/>
      <c r="BK15999" s="25"/>
    </row>
    <row r="16000" spans="60:63" ht="14.25" x14ac:dyDescent="0.2">
      <c r="BH16000" s="25"/>
      <c r="BI16000" s="25"/>
      <c r="BJ16000" s="25"/>
      <c r="BK16000" s="25"/>
    </row>
    <row r="16001" spans="60:63" ht="14.25" x14ac:dyDescent="0.2">
      <c r="BH16001" s="25"/>
      <c r="BI16001" s="25"/>
      <c r="BJ16001" s="25"/>
      <c r="BK16001" s="25"/>
    </row>
    <row r="16002" spans="60:63" ht="14.25" x14ac:dyDescent="0.2">
      <c r="BH16002" s="25"/>
      <c r="BI16002" s="25"/>
      <c r="BJ16002" s="25"/>
      <c r="BK16002" s="25"/>
    </row>
    <row r="16003" spans="60:63" ht="14.25" x14ac:dyDescent="0.2">
      <c r="BH16003" s="25"/>
      <c r="BI16003" s="25"/>
      <c r="BJ16003" s="25"/>
      <c r="BK16003" s="25"/>
    </row>
    <row r="16004" spans="60:63" ht="14.25" x14ac:dyDescent="0.2">
      <c r="BH16004" s="25"/>
      <c r="BI16004" s="25"/>
      <c r="BJ16004" s="25"/>
      <c r="BK16004" s="25"/>
    </row>
    <row r="16005" spans="60:63" ht="14.25" x14ac:dyDescent="0.2">
      <c r="BH16005" s="25"/>
      <c r="BI16005" s="25"/>
      <c r="BJ16005" s="25"/>
      <c r="BK16005" s="25"/>
    </row>
    <row r="16006" spans="60:63" ht="14.25" x14ac:dyDescent="0.2">
      <c r="BH16006" s="25"/>
      <c r="BI16006" s="25"/>
      <c r="BJ16006" s="25"/>
      <c r="BK16006" s="25"/>
    </row>
    <row r="16007" spans="60:63" ht="14.25" x14ac:dyDescent="0.2">
      <c r="BH16007" s="25"/>
      <c r="BI16007" s="25"/>
      <c r="BJ16007" s="25"/>
      <c r="BK16007" s="25"/>
    </row>
    <row r="16008" spans="60:63" ht="14.25" x14ac:dyDescent="0.2">
      <c r="BH16008" s="25"/>
      <c r="BI16008" s="25"/>
      <c r="BJ16008" s="25"/>
      <c r="BK16008" s="25"/>
    </row>
    <row r="16009" spans="60:63" ht="14.25" x14ac:dyDescent="0.2">
      <c r="BH16009" s="25"/>
      <c r="BI16009" s="25"/>
      <c r="BJ16009" s="25"/>
      <c r="BK16009" s="25"/>
    </row>
    <row r="16010" spans="60:63" ht="14.25" x14ac:dyDescent="0.2">
      <c r="BH16010" s="25"/>
      <c r="BI16010" s="25"/>
      <c r="BJ16010" s="25"/>
      <c r="BK16010" s="25"/>
    </row>
    <row r="16011" spans="60:63" ht="14.25" x14ac:dyDescent="0.2">
      <c r="BH16011" s="25"/>
      <c r="BI16011" s="25"/>
      <c r="BJ16011" s="25"/>
      <c r="BK16011" s="25"/>
    </row>
    <row r="16012" spans="60:63" ht="14.25" x14ac:dyDescent="0.2">
      <c r="BH16012" s="25"/>
      <c r="BI16012" s="25"/>
      <c r="BJ16012" s="25"/>
      <c r="BK16012" s="25"/>
    </row>
    <row r="16013" spans="60:63" ht="14.25" x14ac:dyDescent="0.2">
      <c r="BH16013" s="25"/>
      <c r="BI16013" s="25"/>
      <c r="BJ16013" s="25"/>
      <c r="BK16013" s="25"/>
    </row>
    <row r="16014" spans="60:63" ht="14.25" x14ac:dyDescent="0.2">
      <c r="BH16014" s="25"/>
      <c r="BI16014" s="25"/>
      <c r="BJ16014" s="25"/>
      <c r="BK16014" s="25"/>
    </row>
    <row r="16015" spans="60:63" ht="14.25" x14ac:dyDescent="0.2">
      <c r="BH16015" s="25"/>
      <c r="BI16015" s="25"/>
      <c r="BJ16015" s="25"/>
      <c r="BK16015" s="25"/>
    </row>
    <row r="16016" spans="60:63" ht="14.25" x14ac:dyDescent="0.2">
      <c r="BH16016" s="25"/>
      <c r="BI16016" s="25"/>
      <c r="BJ16016" s="25"/>
      <c r="BK16016" s="25"/>
    </row>
    <row r="16017" spans="60:63" ht="14.25" x14ac:dyDescent="0.2">
      <c r="BH16017" s="25"/>
      <c r="BI16017" s="25"/>
      <c r="BJ16017" s="25"/>
      <c r="BK16017" s="25"/>
    </row>
    <row r="16018" spans="60:63" ht="14.25" x14ac:dyDescent="0.2">
      <c r="BH16018" s="25"/>
      <c r="BI16018" s="25"/>
      <c r="BJ16018" s="25"/>
      <c r="BK16018" s="25"/>
    </row>
    <row r="16019" spans="60:63" ht="14.25" x14ac:dyDescent="0.2">
      <c r="BH16019" s="25"/>
      <c r="BI16019" s="25"/>
      <c r="BJ16019" s="25"/>
      <c r="BK16019" s="25"/>
    </row>
    <row r="16020" spans="60:63" ht="14.25" x14ac:dyDescent="0.2">
      <c r="BH16020" s="25"/>
      <c r="BI16020" s="25"/>
      <c r="BJ16020" s="25"/>
      <c r="BK16020" s="25"/>
    </row>
    <row r="16021" spans="60:63" ht="14.25" x14ac:dyDescent="0.2">
      <c r="BH16021" s="25"/>
      <c r="BI16021" s="25"/>
      <c r="BJ16021" s="25"/>
      <c r="BK16021" s="25"/>
    </row>
    <row r="16022" spans="60:63" ht="14.25" x14ac:dyDescent="0.2">
      <c r="BH16022" s="25"/>
      <c r="BI16022" s="25"/>
      <c r="BJ16022" s="25"/>
      <c r="BK16022" s="25"/>
    </row>
    <row r="16023" spans="60:63" ht="14.25" x14ac:dyDescent="0.2">
      <c r="BH16023" s="25"/>
      <c r="BI16023" s="25"/>
      <c r="BJ16023" s="25"/>
      <c r="BK16023" s="25"/>
    </row>
    <row r="16024" spans="60:63" ht="14.25" x14ac:dyDescent="0.2">
      <c r="BH16024" s="25"/>
      <c r="BI16024" s="25"/>
      <c r="BJ16024" s="25"/>
      <c r="BK16024" s="25"/>
    </row>
    <row r="16025" spans="60:63" ht="14.25" x14ac:dyDescent="0.2">
      <c r="BH16025" s="25"/>
      <c r="BI16025" s="25"/>
      <c r="BJ16025" s="25"/>
      <c r="BK16025" s="25"/>
    </row>
    <row r="16026" spans="60:63" ht="14.25" x14ac:dyDescent="0.2">
      <c r="BH16026" s="25"/>
      <c r="BI16026" s="25"/>
      <c r="BJ16026" s="25"/>
      <c r="BK16026" s="25"/>
    </row>
    <row r="16027" spans="60:63" ht="14.25" x14ac:dyDescent="0.2">
      <c r="BH16027" s="25"/>
      <c r="BI16027" s="25"/>
      <c r="BJ16027" s="25"/>
      <c r="BK16027" s="25"/>
    </row>
    <row r="16028" spans="60:63" ht="14.25" x14ac:dyDescent="0.2">
      <c r="BH16028" s="25"/>
      <c r="BI16028" s="25"/>
      <c r="BJ16028" s="25"/>
      <c r="BK16028" s="25"/>
    </row>
    <row r="16029" spans="60:63" ht="14.25" x14ac:dyDescent="0.2">
      <c r="BH16029" s="25"/>
      <c r="BI16029" s="25"/>
      <c r="BJ16029" s="25"/>
      <c r="BK16029" s="25"/>
    </row>
    <row r="16030" spans="60:63" ht="14.25" x14ac:dyDescent="0.2">
      <c r="BH16030" s="25"/>
      <c r="BI16030" s="25"/>
      <c r="BJ16030" s="25"/>
      <c r="BK16030" s="25"/>
    </row>
    <row r="16031" spans="60:63" ht="14.25" x14ac:dyDescent="0.2">
      <c r="BH16031" s="25"/>
      <c r="BI16031" s="25"/>
      <c r="BJ16031" s="25"/>
      <c r="BK16031" s="25"/>
    </row>
    <row r="16032" spans="60:63" ht="14.25" x14ac:dyDescent="0.2">
      <c r="BH16032" s="25"/>
      <c r="BI16032" s="25"/>
      <c r="BJ16032" s="25"/>
      <c r="BK16032" s="25"/>
    </row>
    <row r="16033" spans="60:63" ht="14.25" x14ac:dyDescent="0.2">
      <c r="BH16033" s="25"/>
      <c r="BI16033" s="25"/>
      <c r="BJ16033" s="25"/>
      <c r="BK16033" s="25"/>
    </row>
    <row r="16034" spans="60:63" ht="14.25" x14ac:dyDescent="0.2">
      <c r="BH16034" s="25"/>
      <c r="BI16034" s="25"/>
      <c r="BJ16034" s="25"/>
      <c r="BK16034" s="25"/>
    </row>
    <row r="16035" spans="60:63" ht="14.25" x14ac:dyDescent="0.2">
      <c r="BH16035" s="25"/>
      <c r="BI16035" s="25"/>
      <c r="BJ16035" s="25"/>
      <c r="BK16035" s="25"/>
    </row>
    <row r="16036" spans="60:63" ht="14.25" x14ac:dyDescent="0.2">
      <c r="BH16036" s="25"/>
      <c r="BI16036" s="25"/>
      <c r="BJ16036" s="25"/>
      <c r="BK16036" s="25"/>
    </row>
    <row r="16037" spans="60:63" ht="14.25" x14ac:dyDescent="0.2">
      <c r="BH16037" s="25"/>
      <c r="BI16037" s="25"/>
      <c r="BJ16037" s="25"/>
      <c r="BK16037" s="25"/>
    </row>
    <row r="16038" spans="60:63" ht="14.25" x14ac:dyDescent="0.2">
      <c r="BH16038" s="25"/>
      <c r="BI16038" s="25"/>
      <c r="BJ16038" s="25"/>
      <c r="BK16038" s="25"/>
    </row>
    <row r="16039" spans="60:63" ht="14.25" x14ac:dyDescent="0.2">
      <c r="BH16039" s="25"/>
      <c r="BI16039" s="25"/>
      <c r="BJ16039" s="25"/>
      <c r="BK16039" s="25"/>
    </row>
    <row r="16040" spans="60:63" ht="14.25" x14ac:dyDescent="0.2">
      <c r="BH16040" s="25"/>
      <c r="BI16040" s="25"/>
      <c r="BJ16040" s="25"/>
      <c r="BK16040" s="25"/>
    </row>
    <row r="16041" spans="60:63" ht="14.25" x14ac:dyDescent="0.2">
      <c r="BH16041" s="25"/>
      <c r="BI16041" s="25"/>
      <c r="BJ16041" s="25"/>
      <c r="BK16041" s="25"/>
    </row>
    <row r="16042" spans="60:63" ht="14.25" x14ac:dyDescent="0.2">
      <c r="BH16042" s="25"/>
      <c r="BI16042" s="25"/>
      <c r="BJ16042" s="25"/>
      <c r="BK16042" s="25"/>
    </row>
    <row r="16043" spans="60:63" ht="14.25" x14ac:dyDescent="0.2">
      <c r="BH16043" s="25"/>
      <c r="BI16043" s="25"/>
      <c r="BJ16043" s="25"/>
      <c r="BK16043" s="25"/>
    </row>
    <row r="16044" spans="60:63" ht="14.25" x14ac:dyDescent="0.2">
      <c r="BH16044" s="25"/>
      <c r="BI16044" s="25"/>
      <c r="BJ16044" s="25"/>
      <c r="BK16044" s="25"/>
    </row>
    <row r="16045" spans="60:63" ht="14.25" x14ac:dyDescent="0.2">
      <c r="BH16045" s="25"/>
      <c r="BI16045" s="25"/>
      <c r="BJ16045" s="25"/>
      <c r="BK16045" s="25"/>
    </row>
    <row r="16046" spans="60:63" ht="14.25" x14ac:dyDescent="0.2">
      <c r="BH16046" s="25"/>
      <c r="BI16046" s="25"/>
      <c r="BJ16046" s="25"/>
      <c r="BK16046" s="25"/>
    </row>
    <row r="16047" spans="60:63" ht="14.25" x14ac:dyDescent="0.2">
      <c r="BH16047" s="25"/>
      <c r="BI16047" s="25"/>
      <c r="BJ16047" s="25"/>
      <c r="BK16047" s="25"/>
    </row>
    <row r="16048" spans="60:63" ht="14.25" x14ac:dyDescent="0.2">
      <c r="BH16048" s="25"/>
      <c r="BI16048" s="25"/>
      <c r="BJ16048" s="25"/>
      <c r="BK16048" s="25"/>
    </row>
    <row r="16049" spans="60:63" ht="14.25" x14ac:dyDescent="0.2">
      <c r="BH16049" s="25"/>
      <c r="BI16049" s="25"/>
      <c r="BJ16049" s="25"/>
      <c r="BK16049" s="25"/>
    </row>
    <row r="16050" spans="60:63" ht="14.25" x14ac:dyDescent="0.2">
      <c r="BH16050" s="25"/>
      <c r="BI16050" s="25"/>
      <c r="BJ16050" s="25"/>
      <c r="BK16050" s="25"/>
    </row>
    <row r="16051" spans="60:63" ht="14.25" x14ac:dyDescent="0.2">
      <c r="BH16051" s="25"/>
      <c r="BI16051" s="25"/>
      <c r="BJ16051" s="25"/>
      <c r="BK16051" s="25"/>
    </row>
    <row r="16052" spans="60:63" ht="14.25" x14ac:dyDescent="0.2">
      <c r="BH16052" s="25"/>
      <c r="BI16052" s="25"/>
      <c r="BJ16052" s="25"/>
      <c r="BK16052" s="25"/>
    </row>
    <row r="16053" spans="60:63" ht="14.25" x14ac:dyDescent="0.2">
      <c r="BH16053" s="25"/>
      <c r="BI16053" s="25"/>
      <c r="BJ16053" s="25"/>
      <c r="BK16053" s="25"/>
    </row>
    <row r="16054" spans="60:63" ht="14.25" x14ac:dyDescent="0.2">
      <c r="BH16054" s="25"/>
      <c r="BI16054" s="25"/>
      <c r="BJ16054" s="25"/>
      <c r="BK16054" s="25"/>
    </row>
    <row r="16055" spans="60:63" ht="14.25" x14ac:dyDescent="0.2">
      <c r="BH16055" s="25"/>
      <c r="BI16055" s="25"/>
      <c r="BJ16055" s="25"/>
      <c r="BK16055" s="25"/>
    </row>
    <row r="16056" spans="60:63" ht="14.25" x14ac:dyDescent="0.2">
      <c r="BH16056" s="25"/>
      <c r="BI16056" s="25"/>
      <c r="BJ16056" s="25"/>
      <c r="BK16056" s="25"/>
    </row>
    <row r="16057" spans="60:63" ht="14.25" x14ac:dyDescent="0.2">
      <c r="BH16057" s="25"/>
      <c r="BI16057" s="25"/>
      <c r="BJ16057" s="25"/>
      <c r="BK16057" s="25"/>
    </row>
    <row r="16058" spans="60:63" ht="14.25" x14ac:dyDescent="0.2">
      <c r="BH16058" s="25"/>
      <c r="BI16058" s="25"/>
      <c r="BJ16058" s="25"/>
      <c r="BK16058" s="25"/>
    </row>
    <row r="16059" spans="60:63" ht="14.25" x14ac:dyDescent="0.2">
      <c r="BH16059" s="25"/>
      <c r="BI16059" s="25"/>
      <c r="BJ16059" s="25"/>
      <c r="BK16059" s="25"/>
    </row>
    <row r="16060" spans="60:63" ht="14.25" x14ac:dyDescent="0.2">
      <c r="BH16060" s="25"/>
      <c r="BI16060" s="25"/>
      <c r="BJ16060" s="25"/>
      <c r="BK16060" s="25"/>
    </row>
    <row r="16061" spans="60:63" ht="14.25" x14ac:dyDescent="0.2">
      <c r="BH16061" s="25"/>
      <c r="BI16061" s="25"/>
      <c r="BJ16061" s="25"/>
      <c r="BK16061" s="25"/>
    </row>
    <row r="16062" spans="60:63" ht="14.25" x14ac:dyDescent="0.2">
      <c r="BH16062" s="25"/>
      <c r="BI16062" s="25"/>
      <c r="BJ16062" s="25"/>
      <c r="BK16062" s="25"/>
    </row>
    <row r="16063" spans="60:63" ht="14.25" x14ac:dyDescent="0.2">
      <c r="BH16063" s="25"/>
      <c r="BI16063" s="25"/>
      <c r="BJ16063" s="25"/>
      <c r="BK16063" s="25"/>
    </row>
    <row r="16064" spans="60:63" ht="14.25" x14ac:dyDescent="0.2">
      <c r="BH16064" s="25"/>
      <c r="BI16064" s="25"/>
      <c r="BJ16064" s="25"/>
      <c r="BK16064" s="25"/>
    </row>
    <row r="16065" spans="60:63" ht="14.25" x14ac:dyDescent="0.2">
      <c r="BH16065" s="25"/>
      <c r="BI16065" s="25"/>
      <c r="BJ16065" s="25"/>
      <c r="BK16065" s="25"/>
    </row>
    <row r="16066" spans="60:63" ht="14.25" x14ac:dyDescent="0.2">
      <c r="BH16066" s="25"/>
      <c r="BI16066" s="25"/>
      <c r="BJ16066" s="25"/>
      <c r="BK16066" s="25"/>
    </row>
    <row r="16067" spans="60:63" ht="14.25" x14ac:dyDescent="0.2">
      <c r="BH16067" s="25"/>
      <c r="BI16067" s="25"/>
      <c r="BJ16067" s="25"/>
      <c r="BK16067" s="25"/>
    </row>
    <row r="16068" spans="60:63" ht="14.25" x14ac:dyDescent="0.2">
      <c r="BH16068" s="25"/>
      <c r="BI16068" s="25"/>
      <c r="BJ16068" s="25"/>
      <c r="BK16068" s="25"/>
    </row>
    <row r="16069" spans="60:63" ht="14.25" x14ac:dyDescent="0.2">
      <c r="BH16069" s="25"/>
      <c r="BI16069" s="25"/>
      <c r="BJ16069" s="25"/>
      <c r="BK16069" s="25"/>
    </row>
    <row r="16070" spans="60:63" ht="14.25" x14ac:dyDescent="0.2">
      <c r="BH16070" s="25"/>
      <c r="BI16070" s="25"/>
      <c r="BJ16070" s="25"/>
      <c r="BK16070" s="25"/>
    </row>
    <row r="16071" spans="60:63" ht="14.25" x14ac:dyDescent="0.2">
      <c r="BH16071" s="25"/>
      <c r="BI16071" s="25"/>
      <c r="BJ16071" s="25"/>
      <c r="BK16071" s="25"/>
    </row>
    <row r="16072" spans="60:63" ht="14.25" x14ac:dyDescent="0.2">
      <c r="BH16072" s="25"/>
      <c r="BI16072" s="25"/>
      <c r="BJ16072" s="25"/>
      <c r="BK16072" s="25"/>
    </row>
    <row r="16073" spans="60:63" ht="14.25" x14ac:dyDescent="0.2">
      <c r="BH16073" s="25"/>
      <c r="BI16073" s="25"/>
      <c r="BJ16073" s="25"/>
      <c r="BK16073" s="25"/>
    </row>
    <row r="16074" spans="60:63" ht="14.25" x14ac:dyDescent="0.2">
      <c r="BH16074" s="25"/>
      <c r="BI16074" s="25"/>
      <c r="BJ16074" s="25"/>
      <c r="BK16074" s="25"/>
    </row>
    <row r="16075" spans="60:63" ht="14.25" x14ac:dyDescent="0.2">
      <c r="BH16075" s="25"/>
      <c r="BI16075" s="25"/>
      <c r="BJ16075" s="25"/>
      <c r="BK16075" s="25"/>
    </row>
    <row r="16076" spans="60:63" ht="14.25" x14ac:dyDescent="0.2">
      <c r="BH16076" s="25"/>
      <c r="BI16076" s="25"/>
      <c r="BJ16076" s="25"/>
      <c r="BK16076" s="25"/>
    </row>
    <row r="16077" spans="60:63" ht="14.25" x14ac:dyDescent="0.2">
      <c r="BH16077" s="25"/>
      <c r="BI16077" s="25"/>
      <c r="BJ16077" s="25"/>
      <c r="BK16077" s="25"/>
    </row>
    <row r="16078" spans="60:63" ht="14.25" x14ac:dyDescent="0.2">
      <c r="BH16078" s="25"/>
      <c r="BI16078" s="25"/>
      <c r="BJ16078" s="25"/>
      <c r="BK16078" s="25"/>
    </row>
    <row r="16079" spans="60:63" ht="14.25" x14ac:dyDescent="0.2">
      <c r="BH16079" s="25"/>
      <c r="BI16079" s="25"/>
      <c r="BJ16079" s="25"/>
      <c r="BK16079" s="25"/>
    </row>
    <row r="16080" spans="60:63" ht="14.25" x14ac:dyDescent="0.2">
      <c r="BH16080" s="25"/>
      <c r="BI16080" s="25"/>
      <c r="BJ16080" s="25"/>
      <c r="BK16080" s="25"/>
    </row>
    <row r="16081" spans="60:63" ht="14.25" x14ac:dyDescent="0.2">
      <c r="BH16081" s="25"/>
      <c r="BI16081" s="25"/>
      <c r="BJ16081" s="25"/>
      <c r="BK16081" s="25"/>
    </row>
    <row r="16082" spans="60:63" ht="14.25" x14ac:dyDescent="0.2">
      <c r="BH16082" s="25"/>
      <c r="BI16082" s="25"/>
      <c r="BJ16082" s="25"/>
      <c r="BK16082" s="25"/>
    </row>
    <row r="16083" spans="60:63" ht="14.25" x14ac:dyDescent="0.2">
      <c r="BH16083" s="25"/>
      <c r="BI16083" s="25"/>
      <c r="BJ16083" s="25"/>
      <c r="BK16083" s="25"/>
    </row>
    <row r="16084" spans="60:63" ht="14.25" x14ac:dyDescent="0.2">
      <c r="BH16084" s="25"/>
      <c r="BI16084" s="25"/>
      <c r="BJ16084" s="25"/>
      <c r="BK16084" s="25"/>
    </row>
    <row r="16085" spans="60:63" ht="14.25" x14ac:dyDescent="0.2">
      <c r="BH16085" s="25"/>
      <c r="BI16085" s="25"/>
      <c r="BJ16085" s="25"/>
      <c r="BK16085" s="25"/>
    </row>
    <row r="16086" spans="60:63" ht="14.25" x14ac:dyDescent="0.2">
      <c r="BH16086" s="25"/>
      <c r="BI16086" s="25"/>
      <c r="BJ16086" s="25"/>
      <c r="BK16086" s="25"/>
    </row>
    <row r="16087" spans="60:63" ht="14.25" x14ac:dyDescent="0.2">
      <c r="BH16087" s="25"/>
      <c r="BI16087" s="25"/>
      <c r="BJ16087" s="25"/>
      <c r="BK16087" s="25"/>
    </row>
    <row r="16088" spans="60:63" ht="14.25" x14ac:dyDescent="0.2">
      <c r="BH16088" s="25"/>
      <c r="BI16088" s="25"/>
      <c r="BJ16088" s="25"/>
      <c r="BK16088" s="25"/>
    </row>
    <row r="16089" spans="60:63" ht="14.25" x14ac:dyDescent="0.2">
      <c r="BH16089" s="25"/>
      <c r="BI16089" s="25"/>
      <c r="BJ16089" s="25"/>
      <c r="BK16089" s="25"/>
    </row>
    <row r="16090" spans="60:63" ht="14.25" x14ac:dyDescent="0.2">
      <c r="BH16090" s="25"/>
      <c r="BI16090" s="25"/>
      <c r="BJ16090" s="25"/>
      <c r="BK16090" s="25"/>
    </row>
    <row r="16091" spans="60:63" ht="14.25" x14ac:dyDescent="0.2">
      <c r="BH16091" s="25"/>
      <c r="BI16091" s="25"/>
      <c r="BJ16091" s="25"/>
      <c r="BK16091" s="25"/>
    </row>
    <row r="16092" spans="60:63" ht="14.25" x14ac:dyDescent="0.2">
      <c r="BH16092" s="25"/>
      <c r="BI16092" s="25"/>
      <c r="BJ16092" s="25"/>
      <c r="BK16092" s="25"/>
    </row>
    <row r="16093" spans="60:63" ht="14.25" x14ac:dyDescent="0.2">
      <c r="BH16093" s="25"/>
      <c r="BI16093" s="25"/>
      <c r="BJ16093" s="25"/>
      <c r="BK16093" s="25"/>
    </row>
    <row r="16094" spans="60:63" ht="14.25" x14ac:dyDescent="0.2">
      <c r="BH16094" s="25"/>
      <c r="BI16094" s="25"/>
      <c r="BJ16094" s="25"/>
      <c r="BK16094" s="25"/>
    </row>
    <row r="16095" spans="60:63" ht="14.25" x14ac:dyDescent="0.2">
      <c r="BH16095" s="25"/>
      <c r="BI16095" s="25"/>
      <c r="BJ16095" s="25"/>
      <c r="BK16095" s="25"/>
    </row>
    <row r="16096" spans="60:63" ht="14.25" x14ac:dyDescent="0.2">
      <c r="BH16096" s="25"/>
      <c r="BI16096" s="25"/>
      <c r="BJ16096" s="25"/>
      <c r="BK16096" s="25"/>
    </row>
    <row r="16097" spans="60:63" ht="14.25" x14ac:dyDescent="0.2">
      <c r="BH16097" s="25"/>
      <c r="BI16097" s="25"/>
      <c r="BJ16097" s="25"/>
      <c r="BK16097" s="25"/>
    </row>
    <row r="16098" spans="60:63" ht="14.25" x14ac:dyDescent="0.2">
      <c r="BH16098" s="25"/>
      <c r="BI16098" s="25"/>
      <c r="BJ16098" s="25"/>
      <c r="BK16098" s="25"/>
    </row>
    <row r="16099" spans="60:63" ht="14.25" x14ac:dyDescent="0.2">
      <c r="BH16099" s="25"/>
      <c r="BI16099" s="25"/>
      <c r="BJ16099" s="25"/>
      <c r="BK16099" s="25"/>
    </row>
    <row r="16100" spans="60:63" ht="14.25" x14ac:dyDescent="0.2">
      <c r="BH16100" s="25"/>
      <c r="BI16100" s="25"/>
      <c r="BJ16100" s="25"/>
      <c r="BK16100" s="25"/>
    </row>
    <row r="16101" spans="60:63" ht="14.25" x14ac:dyDescent="0.2">
      <c r="BH16101" s="25"/>
      <c r="BI16101" s="25"/>
      <c r="BJ16101" s="25"/>
      <c r="BK16101" s="25"/>
    </row>
    <row r="16102" spans="60:63" ht="14.25" x14ac:dyDescent="0.2">
      <c r="BH16102" s="25"/>
      <c r="BI16102" s="25"/>
      <c r="BJ16102" s="25"/>
      <c r="BK16102" s="25"/>
    </row>
    <row r="16103" spans="60:63" ht="14.25" x14ac:dyDescent="0.2">
      <c r="BH16103" s="25"/>
      <c r="BI16103" s="25"/>
      <c r="BJ16103" s="25"/>
      <c r="BK16103" s="25"/>
    </row>
    <row r="16104" spans="60:63" ht="14.25" x14ac:dyDescent="0.2">
      <c r="BH16104" s="25"/>
      <c r="BI16104" s="25"/>
      <c r="BJ16104" s="25"/>
      <c r="BK16104" s="25"/>
    </row>
    <row r="16105" spans="60:63" ht="14.25" x14ac:dyDescent="0.2">
      <c r="BH16105" s="25"/>
      <c r="BI16105" s="25"/>
      <c r="BJ16105" s="25"/>
      <c r="BK16105" s="25"/>
    </row>
    <row r="16106" spans="60:63" ht="14.25" x14ac:dyDescent="0.2">
      <c r="BH16106" s="25"/>
      <c r="BI16106" s="25"/>
      <c r="BJ16106" s="25"/>
      <c r="BK16106" s="25"/>
    </row>
    <row r="16107" spans="60:63" ht="14.25" x14ac:dyDescent="0.2">
      <c r="BH16107" s="25"/>
      <c r="BI16107" s="25"/>
      <c r="BJ16107" s="25"/>
      <c r="BK16107" s="25"/>
    </row>
    <row r="16108" spans="60:63" ht="14.25" x14ac:dyDescent="0.2">
      <c r="BH16108" s="25"/>
      <c r="BI16108" s="25"/>
      <c r="BJ16108" s="25"/>
      <c r="BK16108" s="25"/>
    </row>
    <row r="16109" spans="60:63" ht="14.25" x14ac:dyDescent="0.2">
      <c r="BH16109" s="25"/>
      <c r="BI16109" s="25"/>
      <c r="BJ16109" s="25"/>
      <c r="BK16109" s="25"/>
    </row>
    <row r="16110" spans="60:63" ht="14.25" x14ac:dyDescent="0.2">
      <c r="BH16110" s="25"/>
      <c r="BI16110" s="25"/>
      <c r="BJ16110" s="25"/>
      <c r="BK16110" s="25"/>
    </row>
    <row r="16111" spans="60:63" ht="14.25" x14ac:dyDescent="0.2">
      <c r="BH16111" s="25"/>
      <c r="BI16111" s="25"/>
      <c r="BJ16111" s="25"/>
      <c r="BK16111" s="25"/>
    </row>
    <row r="16112" spans="60:63" ht="14.25" x14ac:dyDescent="0.2">
      <c r="BH16112" s="25"/>
      <c r="BI16112" s="25"/>
      <c r="BJ16112" s="25"/>
      <c r="BK16112" s="25"/>
    </row>
    <row r="16113" spans="60:63" ht="14.25" x14ac:dyDescent="0.2">
      <c r="BH16113" s="25"/>
      <c r="BI16113" s="25"/>
      <c r="BJ16113" s="25"/>
      <c r="BK16113" s="25"/>
    </row>
    <row r="16114" spans="60:63" ht="14.25" x14ac:dyDescent="0.2">
      <c r="BH16114" s="25"/>
      <c r="BI16114" s="25"/>
      <c r="BJ16114" s="25"/>
      <c r="BK16114" s="25"/>
    </row>
    <row r="16115" spans="60:63" ht="14.25" x14ac:dyDescent="0.2">
      <c r="BH16115" s="25"/>
      <c r="BI16115" s="25"/>
      <c r="BJ16115" s="25"/>
      <c r="BK16115" s="25"/>
    </row>
    <row r="16116" spans="60:63" ht="14.25" x14ac:dyDescent="0.2">
      <c r="BH16116" s="25"/>
      <c r="BI16116" s="25"/>
      <c r="BJ16116" s="25"/>
      <c r="BK16116" s="25"/>
    </row>
    <row r="16117" spans="60:63" ht="14.25" x14ac:dyDescent="0.2">
      <c r="BH16117" s="25"/>
      <c r="BI16117" s="25"/>
      <c r="BJ16117" s="25"/>
      <c r="BK16117" s="25"/>
    </row>
    <row r="16118" spans="60:63" ht="14.25" x14ac:dyDescent="0.2">
      <c r="BH16118" s="25"/>
      <c r="BI16118" s="25"/>
      <c r="BJ16118" s="25"/>
      <c r="BK16118" s="25"/>
    </row>
    <row r="16119" spans="60:63" ht="14.25" x14ac:dyDescent="0.2">
      <c r="BH16119" s="25"/>
      <c r="BI16119" s="25"/>
      <c r="BJ16119" s="25"/>
      <c r="BK16119" s="25"/>
    </row>
    <row r="16120" spans="60:63" ht="14.25" x14ac:dyDescent="0.2">
      <c r="BH16120" s="25"/>
      <c r="BI16120" s="25"/>
      <c r="BJ16120" s="25"/>
      <c r="BK16120" s="25"/>
    </row>
    <row r="16121" spans="60:63" ht="14.25" x14ac:dyDescent="0.2">
      <c r="BH16121" s="25"/>
      <c r="BI16121" s="25"/>
      <c r="BJ16121" s="25"/>
      <c r="BK16121" s="25"/>
    </row>
    <row r="16122" spans="60:63" ht="14.25" x14ac:dyDescent="0.2">
      <c r="BH16122" s="25"/>
      <c r="BI16122" s="25"/>
      <c r="BJ16122" s="25"/>
      <c r="BK16122" s="25"/>
    </row>
    <row r="16123" spans="60:63" ht="14.25" x14ac:dyDescent="0.2">
      <c r="BH16123" s="25"/>
      <c r="BI16123" s="25"/>
      <c r="BJ16123" s="25"/>
      <c r="BK16123" s="25"/>
    </row>
    <row r="16124" spans="60:63" ht="14.25" x14ac:dyDescent="0.2">
      <c r="BH16124" s="25"/>
      <c r="BI16124" s="25"/>
      <c r="BJ16124" s="25"/>
      <c r="BK16124" s="25"/>
    </row>
    <row r="16125" spans="60:63" ht="14.25" x14ac:dyDescent="0.2">
      <c r="BH16125" s="25"/>
      <c r="BI16125" s="25"/>
      <c r="BJ16125" s="25"/>
      <c r="BK16125" s="25"/>
    </row>
    <row r="16126" spans="60:63" ht="14.25" x14ac:dyDescent="0.2">
      <c r="BH16126" s="25"/>
      <c r="BI16126" s="25"/>
      <c r="BJ16126" s="25"/>
      <c r="BK16126" s="25"/>
    </row>
    <row r="16127" spans="60:63" ht="14.25" x14ac:dyDescent="0.2">
      <c r="BH16127" s="25"/>
      <c r="BI16127" s="25"/>
      <c r="BJ16127" s="25"/>
      <c r="BK16127" s="25"/>
    </row>
    <row r="16128" spans="60:63" ht="14.25" x14ac:dyDescent="0.2">
      <c r="BH16128" s="25"/>
      <c r="BI16128" s="25"/>
      <c r="BJ16128" s="25"/>
      <c r="BK16128" s="25"/>
    </row>
    <row r="16129" spans="60:63" ht="14.25" x14ac:dyDescent="0.2">
      <c r="BH16129" s="25"/>
      <c r="BI16129" s="25"/>
      <c r="BJ16129" s="25"/>
      <c r="BK16129" s="25"/>
    </row>
    <row r="16130" spans="60:63" ht="14.25" x14ac:dyDescent="0.2">
      <c r="BH16130" s="25"/>
      <c r="BI16130" s="25"/>
      <c r="BJ16130" s="25"/>
      <c r="BK16130" s="25"/>
    </row>
    <row r="16131" spans="60:63" ht="14.25" x14ac:dyDescent="0.2">
      <c r="BH16131" s="25"/>
      <c r="BI16131" s="25"/>
      <c r="BJ16131" s="25"/>
      <c r="BK16131" s="25"/>
    </row>
    <row r="16132" spans="60:63" ht="14.25" x14ac:dyDescent="0.2">
      <c r="BH16132" s="25"/>
      <c r="BI16132" s="25"/>
      <c r="BJ16132" s="25"/>
      <c r="BK16132" s="25"/>
    </row>
    <row r="16133" spans="60:63" ht="14.25" x14ac:dyDescent="0.2">
      <c r="BH16133" s="25"/>
      <c r="BI16133" s="25"/>
      <c r="BJ16133" s="25"/>
      <c r="BK16133" s="25"/>
    </row>
    <row r="16134" spans="60:63" ht="14.25" x14ac:dyDescent="0.2">
      <c r="BH16134" s="25"/>
      <c r="BI16134" s="25"/>
      <c r="BJ16134" s="25"/>
      <c r="BK16134" s="25"/>
    </row>
    <row r="16135" spans="60:63" ht="14.25" x14ac:dyDescent="0.2">
      <c r="BH16135" s="25"/>
      <c r="BI16135" s="25"/>
      <c r="BJ16135" s="25"/>
      <c r="BK16135" s="25"/>
    </row>
    <row r="16136" spans="60:63" ht="14.25" x14ac:dyDescent="0.2">
      <c r="BH16136" s="25"/>
      <c r="BI16136" s="25"/>
      <c r="BJ16136" s="25"/>
      <c r="BK16136" s="25"/>
    </row>
    <row r="16137" spans="60:63" ht="14.25" x14ac:dyDescent="0.2">
      <c r="BH16137" s="25"/>
      <c r="BI16137" s="25"/>
      <c r="BJ16137" s="25"/>
      <c r="BK16137" s="25"/>
    </row>
    <row r="16138" spans="60:63" ht="14.25" x14ac:dyDescent="0.2">
      <c r="BH16138" s="25"/>
      <c r="BI16138" s="25"/>
      <c r="BJ16138" s="25"/>
      <c r="BK16138" s="25"/>
    </row>
    <row r="16139" spans="60:63" ht="14.25" x14ac:dyDescent="0.2">
      <c r="BH16139" s="25"/>
      <c r="BI16139" s="25"/>
      <c r="BJ16139" s="25"/>
      <c r="BK16139" s="25"/>
    </row>
    <row r="16140" spans="60:63" ht="14.25" x14ac:dyDescent="0.2">
      <c r="BH16140" s="25"/>
      <c r="BI16140" s="25"/>
      <c r="BJ16140" s="25"/>
      <c r="BK16140" s="25"/>
    </row>
    <row r="16141" spans="60:63" ht="14.25" x14ac:dyDescent="0.2">
      <c r="BH16141" s="25"/>
      <c r="BI16141" s="25"/>
      <c r="BJ16141" s="25"/>
      <c r="BK16141" s="25"/>
    </row>
    <row r="16142" spans="60:63" ht="14.25" x14ac:dyDescent="0.2">
      <c r="BH16142" s="25"/>
      <c r="BI16142" s="25"/>
      <c r="BJ16142" s="25"/>
      <c r="BK16142" s="25"/>
    </row>
    <row r="16143" spans="60:63" ht="14.25" x14ac:dyDescent="0.2">
      <c r="BH16143" s="25"/>
      <c r="BI16143" s="25"/>
      <c r="BJ16143" s="25"/>
      <c r="BK16143" s="25"/>
    </row>
    <row r="16144" spans="60:63" ht="14.25" x14ac:dyDescent="0.2">
      <c r="BH16144" s="25"/>
      <c r="BI16144" s="25"/>
      <c r="BJ16144" s="25"/>
      <c r="BK16144" s="25"/>
    </row>
    <row r="16145" spans="60:63" ht="14.25" x14ac:dyDescent="0.2">
      <c r="BH16145" s="25"/>
      <c r="BI16145" s="25"/>
      <c r="BJ16145" s="25"/>
      <c r="BK16145" s="25"/>
    </row>
    <row r="16146" spans="60:63" ht="14.25" x14ac:dyDescent="0.2">
      <c r="BH16146" s="25"/>
      <c r="BI16146" s="25"/>
      <c r="BJ16146" s="25"/>
      <c r="BK16146" s="25"/>
    </row>
    <row r="16147" spans="60:63" ht="14.25" x14ac:dyDescent="0.2">
      <c r="BH16147" s="25"/>
      <c r="BI16147" s="25"/>
      <c r="BJ16147" s="25"/>
      <c r="BK16147" s="25"/>
    </row>
    <row r="16148" spans="60:63" ht="14.25" x14ac:dyDescent="0.2">
      <c r="BH16148" s="25"/>
      <c r="BI16148" s="25"/>
      <c r="BJ16148" s="25"/>
      <c r="BK16148" s="25"/>
    </row>
    <row r="16149" spans="60:63" ht="14.25" x14ac:dyDescent="0.2">
      <c r="BH16149" s="25"/>
      <c r="BI16149" s="25"/>
      <c r="BJ16149" s="25"/>
      <c r="BK16149" s="25"/>
    </row>
    <row r="16150" spans="60:63" ht="14.25" x14ac:dyDescent="0.2">
      <c r="BH16150" s="25"/>
      <c r="BI16150" s="25"/>
      <c r="BJ16150" s="25"/>
      <c r="BK16150" s="25"/>
    </row>
    <row r="16151" spans="60:63" ht="14.25" x14ac:dyDescent="0.2">
      <c r="BH16151" s="25"/>
      <c r="BI16151" s="25"/>
      <c r="BJ16151" s="25"/>
      <c r="BK16151" s="25"/>
    </row>
    <row r="16152" spans="60:63" ht="14.25" x14ac:dyDescent="0.2">
      <c r="BH16152" s="25"/>
      <c r="BI16152" s="25"/>
      <c r="BJ16152" s="25"/>
      <c r="BK16152" s="25"/>
    </row>
    <row r="16153" spans="60:63" ht="14.25" x14ac:dyDescent="0.2">
      <c r="BH16153" s="25"/>
      <c r="BI16153" s="25"/>
      <c r="BJ16153" s="25"/>
      <c r="BK16153" s="25"/>
    </row>
    <row r="16154" spans="60:63" ht="14.25" x14ac:dyDescent="0.2">
      <c r="BH16154" s="25"/>
      <c r="BI16154" s="25"/>
      <c r="BJ16154" s="25"/>
      <c r="BK16154" s="25"/>
    </row>
    <row r="16155" spans="60:63" ht="14.25" x14ac:dyDescent="0.2">
      <c r="BH16155" s="25"/>
      <c r="BI16155" s="25"/>
      <c r="BJ16155" s="25"/>
      <c r="BK16155" s="25"/>
    </row>
    <row r="16156" spans="60:63" ht="14.25" x14ac:dyDescent="0.2">
      <c r="BH16156" s="25"/>
      <c r="BI16156" s="25"/>
      <c r="BJ16156" s="25"/>
      <c r="BK16156" s="25"/>
    </row>
    <row r="16157" spans="60:63" ht="14.25" x14ac:dyDescent="0.2">
      <c r="BH16157" s="25"/>
      <c r="BI16157" s="25"/>
      <c r="BJ16157" s="25"/>
      <c r="BK16157" s="25"/>
    </row>
    <row r="16158" spans="60:63" ht="14.25" x14ac:dyDescent="0.2">
      <c r="BH16158" s="25"/>
      <c r="BI16158" s="25"/>
      <c r="BJ16158" s="25"/>
      <c r="BK16158" s="25"/>
    </row>
    <row r="16159" spans="60:63" ht="14.25" x14ac:dyDescent="0.2">
      <c r="BH16159" s="25"/>
      <c r="BI16159" s="25"/>
      <c r="BJ16159" s="25"/>
      <c r="BK16159" s="25"/>
    </row>
    <row r="16160" spans="60:63" ht="14.25" x14ac:dyDescent="0.2">
      <c r="BH16160" s="25"/>
      <c r="BI16160" s="25"/>
      <c r="BJ16160" s="25"/>
      <c r="BK16160" s="25"/>
    </row>
    <row r="16161" spans="60:63" ht="14.25" x14ac:dyDescent="0.2">
      <c r="BH16161" s="25"/>
      <c r="BI16161" s="25"/>
      <c r="BJ16161" s="25"/>
      <c r="BK16161" s="25"/>
    </row>
    <row r="16162" spans="60:63" ht="14.25" x14ac:dyDescent="0.2">
      <c r="BH16162" s="25"/>
      <c r="BI16162" s="25"/>
      <c r="BJ16162" s="25"/>
      <c r="BK16162" s="25"/>
    </row>
    <row r="16163" spans="60:63" ht="14.25" x14ac:dyDescent="0.2">
      <c r="BH16163" s="25"/>
      <c r="BI16163" s="25"/>
      <c r="BJ16163" s="25"/>
      <c r="BK16163" s="25"/>
    </row>
    <row r="16164" spans="60:63" ht="14.25" x14ac:dyDescent="0.2">
      <c r="BH16164" s="25"/>
      <c r="BI16164" s="25"/>
      <c r="BJ16164" s="25"/>
      <c r="BK16164" s="25"/>
    </row>
    <row r="16165" spans="60:63" ht="14.25" x14ac:dyDescent="0.2">
      <c r="BH16165" s="25"/>
      <c r="BI16165" s="25"/>
      <c r="BJ16165" s="25"/>
      <c r="BK16165" s="25"/>
    </row>
    <row r="16166" spans="60:63" ht="14.25" x14ac:dyDescent="0.2">
      <c r="BH16166" s="25"/>
      <c r="BI16166" s="25"/>
      <c r="BJ16166" s="25"/>
      <c r="BK16166" s="25"/>
    </row>
    <row r="16167" spans="60:63" ht="14.25" x14ac:dyDescent="0.2">
      <c r="BH16167" s="25"/>
      <c r="BI16167" s="25"/>
      <c r="BJ16167" s="25"/>
      <c r="BK16167" s="25"/>
    </row>
    <row r="16168" spans="60:63" ht="14.25" x14ac:dyDescent="0.2">
      <c r="BH16168" s="25"/>
      <c r="BI16168" s="25"/>
      <c r="BJ16168" s="25"/>
      <c r="BK16168" s="25"/>
    </row>
    <row r="16169" spans="60:63" ht="14.25" x14ac:dyDescent="0.2">
      <c r="BH16169" s="25"/>
      <c r="BI16169" s="25"/>
      <c r="BJ16169" s="25"/>
      <c r="BK16169" s="25"/>
    </row>
    <row r="16170" spans="60:63" ht="14.25" x14ac:dyDescent="0.2">
      <c r="BH16170" s="25"/>
      <c r="BI16170" s="25"/>
      <c r="BJ16170" s="25"/>
      <c r="BK16170" s="25"/>
    </row>
    <row r="16171" spans="60:63" ht="14.25" x14ac:dyDescent="0.2">
      <c r="BH16171" s="25"/>
      <c r="BI16171" s="25"/>
      <c r="BJ16171" s="25"/>
      <c r="BK16171" s="25"/>
    </row>
    <row r="16172" spans="60:63" ht="14.25" x14ac:dyDescent="0.2">
      <c r="BH16172" s="25"/>
      <c r="BI16172" s="25"/>
      <c r="BJ16172" s="25"/>
      <c r="BK16172" s="25"/>
    </row>
    <row r="16173" spans="60:63" ht="14.25" x14ac:dyDescent="0.2">
      <c r="BH16173" s="25"/>
      <c r="BI16173" s="25"/>
      <c r="BJ16173" s="25"/>
      <c r="BK16173" s="25"/>
    </row>
    <row r="16174" spans="60:63" ht="14.25" x14ac:dyDescent="0.2">
      <c r="BH16174" s="25"/>
      <c r="BI16174" s="25"/>
      <c r="BJ16174" s="25"/>
      <c r="BK16174" s="25"/>
    </row>
    <row r="16175" spans="60:63" ht="14.25" x14ac:dyDescent="0.2">
      <c r="BH16175" s="25"/>
      <c r="BI16175" s="25"/>
      <c r="BJ16175" s="25"/>
      <c r="BK16175" s="25"/>
    </row>
    <row r="16176" spans="60:63" ht="14.25" x14ac:dyDescent="0.2">
      <c r="BH16176" s="25"/>
      <c r="BI16176" s="25"/>
      <c r="BJ16176" s="25"/>
      <c r="BK16176" s="25"/>
    </row>
    <row r="16177" spans="60:63" ht="14.25" x14ac:dyDescent="0.2">
      <c r="BH16177" s="25"/>
      <c r="BI16177" s="25"/>
      <c r="BJ16177" s="25"/>
      <c r="BK16177" s="25"/>
    </row>
    <row r="16178" spans="60:63" ht="14.25" x14ac:dyDescent="0.2">
      <c r="BH16178" s="25"/>
      <c r="BI16178" s="25"/>
      <c r="BJ16178" s="25"/>
      <c r="BK16178" s="25"/>
    </row>
    <row r="16179" spans="60:63" ht="14.25" x14ac:dyDescent="0.2">
      <c r="BH16179" s="25"/>
      <c r="BI16179" s="25"/>
      <c r="BJ16179" s="25"/>
      <c r="BK16179" s="25"/>
    </row>
    <row r="16180" spans="60:63" ht="14.25" x14ac:dyDescent="0.2">
      <c r="BH16180" s="25"/>
      <c r="BI16180" s="25"/>
      <c r="BJ16180" s="25"/>
      <c r="BK16180" s="25"/>
    </row>
    <row r="16181" spans="60:63" ht="14.25" x14ac:dyDescent="0.2">
      <c r="BH16181" s="25"/>
      <c r="BI16181" s="25"/>
      <c r="BJ16181" s="25"/>
      <c r="BK16181" s="25"/>
    </row>
    <row r="16182" spans="60:63" ht="14.25" x14ac:dyDescent="0.2">
      <c r="BH16182" s="25"/>
      <c r="BI16182" s="25"/>
      <c r="BJ16182" s="25"/>
      <c r="BK16182" s="25"/>
    </row>
    <row r="16183" spans="60:63" ht="14.25" x14ac:dyDescent="0.2">
      <c r="BH16183" s="25"/>
      <c r="BI16183" s="25"/>
      <c r="BJ16183" s="25"/>
      <c r="BK16183" s="25"/>
    </row>
    <row r="16184" spans="60:63" ht="14.25" x14ac:dyDescent="0.2">
      <c r="BH16184" s="25"/>
      <c r="BI16184" s="25"/>
      <c r="BJ16184" s="25"/>
      <c r="BK16184" s="25"/>
    </row>
    <row r="16185" spans="60:63" ht="14.25" x14ac:dyDescent="0.2">
      <c r="BH16185" s="25"/>
      <c r="BI16185" s="25"/>
      <c r="BJ16185" s="25"/>
      <c r="BK16185" s="25"/>
    </row>
    <row r="16186" spans="60:63" ht="14.25" x14ac:dyDescent="0.2">
      <c r="BH16186" s="25"/>
      <c r="BI16186" s="25"/>
      <c r="BJ16186" s="25"/>
      <c r="BK16186" s="25"/>
    </row>
    <row r="16187" spans="60:63" ht="14.25" x14ac:dyDescent="0.2">
      <c r="BH16187" s="25"/>
      <c r="BI16187" s="25"/>
      <c r="BJ16187" s="25"/>
      <c r="BK16187" s="25"/>
    </row>
    <row r="16188" spans="60:63" ht="14.25" x14ac:dyDescent="0.2">
      <c r="BH16188" s="25"/>
      <c r="BI16188" s="25"/>
      <c r="BJ16188" s="25"/>
      <c r="BK16188" s="25"/>
    </row>
    <row r="16189" spans="60:63" ht="14.25" x14ac:dyDescent="0.2">
      <c r="BH16189" s="25"/>
      <c r="BI16189" s="25"/>
      <c r="BJ16189" s="25"/>
      <c r="BK16189" s="25"/>
    </row>
    <row r="16190" spans="60:63" ht="14.25" x14ac:dyDescent="0.2">
      <c r="BH16190" s="25"/>
      <c r="BI16190" s="25"/>
      <c r="BJ16190" s="25"/>
      <c r="BK16190" s="25"/>
    </row>
    <row r="16191" spans="60:63" ht="14.25" x14ac:dyDescent="0.2">
      <c r="BH16191" s="25"/>
      <c r="BI16191" s="25"/>
      <c r="BJ16191" s="25"/>
      <c r="BK16191" s="25"/>
    </row>
    <row r="16192" spans="60:63" ht="14.25" x14ac:dyDescent="0.2">
      <c r="BH16192" s="25"/>
      <c r="BI16192" s="25"/>
      <c r="BJ16192" s="25"/>
      <c r="BK16192" s="25"/>
    </row>
    <row r="16193" spans="60:63" ht="14.25" x14ac:dyDescent="0.2">
      <c r="BH16193" s="25"/>
      <c r="BI16193" s="25"/>
      <c r="BJ16193" s="25"/>
      <c r="BK16193" s="25"/>
    </row>
    <row r="16194" spans="60:63" ht="14.25" x14ac:dyDescent="0.2">
      <c r="BH16194" s="25"/>
      <c r="BI16194" s="25"/>
      <c r="BJ16194" s="25"/>
      <c r="BK16194" s="25"/>
    </row>
    <row r="16195" spans="60:63" ht="14.25" x14ac:dyDescent="0.2">
      <c r="BH16195" s="25"/>
      <c r="BI16195" s="25"/>
      <c r="BJ16195" s="25"/>
      <c r="BK16195" s="25"/>
    </row>
    <row r="16196" spans="60:63" ht="14.25" x14ac:dyDescent="0.2">
      <c r="BH16196" s="25"/>
      <c r="BI16196" s="25"/>
      <c r="BJ16196" s="25"/>
      <c r="BK16196" s="25"/>
    </row>
    <row r="16197" spans="60:63" ht="14.25" x14ac:dyDescent="0.2">
      <c r="BH16197" s="25"/>
      <c r="BI16197" s="25"/>
      <c r="BJ16197" s="25"/>
      <c r="BK16197" s="25"/>
    </row>
    <row r="16198" spans="60:63" ht="14.25" x14ac:dyDescent="0.2">
      <c r="BH16198" s="25"/>
      <c r="BI16198" s="25"/>
      <c r="BJ16198" s="25"/>
      <c r="BK16198" s="25"/>
    </row>
    <row r="16199" spans="60:63" ht="14.25" x14ac:dyDescent="0.2">
      <c r="BH16199" s="25"/>
      <c r="BI16199" s="25"/>
      <c r="BJ16199" s="25"/>
      <c r="BK16199" s="25"/>
    </row>
    <row r="16200" spans="60:63" ht="14.25" x14ac:dyDescent="0.2">
      <c r="BH16200" s="25"/>
      <c r="BI16200" s="25"/>
      <c r="BJ16200" s="25"/>
      <c r="BK16200" s="25"/>
    </row>
    <row r="16201" spans="60:63" ht="14.25" x14ac:dyDescent="0.2">
      <c r="BH16201" s="25"/>
      <c r="BI16201" s="25"/>
      <c r="BJ16201" s="25"/>
      <c r="BK16201" s="25"/>
    </row>
    <row r="16202" spans="60:63" ht="14.25" x14ac:dyDescent="0.2">
      <c r="BH16202" s="25"/>
      <c r="BI16202" s="25"/>
      <c r="BJ16202" s="25"/>
      <c r="BK16202" s="25"/>
    </row>
    <row r="16203" spans="60:63" ht="14.25" x14ac:dyDescent="0.2">
      <c r="BH16203" s="25"/>
      <c r="BI16203" s="25"/>
      <c r="BJ16203" s="25"/>
      <c r="BK16203" s="25"/>
    </row>
    <row r="16204" spans="60:63" ht="14.25" x14ac:dyDescent="0.2">
      <c r="BH16204" s="25"/>
      <c r="BI16204" s="25"/>
      <c r="BJ16204" s="25"/>
      <c r="BK16204" s="25"/>
    </row>
    <row r="16205" spans="60:63" ht="14.25" x14ac:dyDescent="0.2">
      <c r="BH16205" s="25"/>
      <c r="BI16205" s="25"/>
      <c r="BJ16205" s="25"/>
      <c r="BK16205" s="25"/>
    </row>
    <row r="16206" spans="60:63" ht="14.25" x14ac:dyDescent="0.2">
      <c r="BH16206" s="25"/>
      <c r="BI16206" s="25"/>
      <c r="BJ16206" s="25"/>
      <c r="BK16206" s="25"/>
    </row>
    <row r="16207" spans="60:63" ht="14.25" x14ac:dyDescent="0.2">
      <c r="BH16207" s="25"/>
      <c r="BI16207" s="25"/>
      <c r="BJ16207" s="25"/>
      <c r="BK16207" s="25"/>
    </row>
    <row r="16208" spans="60:63" ht="14.25" x14ac:dyDescent="0.2">
      <c r="BH16208" s="25"/>
      <c r="BI16208" s="25"/>
      <c r="BJ16208" s="25"/>
      <c r="BK16208" s="25"/>
    </row>
    <row r="16209" spans="60:63" ht="14.25" x14ac:dyDescent="0.2">
      <c r="BH16209" s="25"/>
      <c r="BI16209" s="25"/>
      <c r="BJ16209" s="25"/>
      <c r="BK16209" s="25"/>
    </row>
    <row r="16210" spans="60:63" ht="14.25" x14ac:dyDescent="0.2">
      <c r="BH16210" s="25"/>
      <c r="BI16210" s="25"/>
      <c r="BJ16210" s="25"/>
      <c r="BK16210" s="25"/>
    </row>
    <row r="16211" spans="60:63" ht="14.25" x14ac:dyDescent="0.2">
      <c r="BH16211" s="25"/>
      <c r="BI16211" s="25"/>
      <c r="BJ16211" s="25"/>
      <c r="BK16211" s="25"/>
    </row>
    <row r="16212" spans="60:63" ht="14.25" x14ac:dyDescent="0.2">
      <c r="BH16212" s="25"/>
      <c r="BI16212" s="25"/>
      <c r="BJ16212" s="25"/>
      <c r="BK16212" s="25"/>
    </row>
    <row r="16213" spans="60:63" ht="14.25" x14ac:dyDescent="0.2">
      <c r="BH16213" s="25"/>
      <c r="BI16213" s="25"/>
      <c r="BJ16213" s="25"/>
      <c r="BK16213" s="25"/>
    </row>
    <row r="16214" spans="60:63" ht="14.25" x14ac:dyDescent="0.2">
      <c r="BH16214" s="25"/>
      <c r="BI16214" s="25"/>
      <c r="BJ16214" s="25"/>
      <c r="BK16214" s="25"/>
    </row>
    <row r="16215" spans="60:63" ht="14.25" x14ac:dyDescent="0.2">
      <c r="BH16215" s="25"/>
      <c r="BI16215" s="25"/>
      <c r="BJ16215" s="25"/>
      <c r="BK16215" s="25"/>
    </row>
    <row r="16216" spans="60:63" ht="14.25" x14ac:dyDescent="0.2">
      <c r="BH16216" s="25"/>
      <c r="BI16216" s="25"/>
      <c r="BJ16216" s="25"/>
      <c r="BK16216" s="25"/>
    </row>
    <row r="16217" spans="60:63" ht="14.25" x14ac:dyDescent="0.2">
      <c r="BH16217" s="25"/>
      <c r="BI16217" s="25"/>
      <c r="BJ16217" s="25"/>
      <c r="BK16217" s="25"/>
    </row>
    <row r="16218" spans="60:63" ht="14.25" x14ac:dyDescent="0.2">
      <c r="BH16218" s="25"/>
      <c r="BI16218" s="25"/>
      <c r="BJ16218" s="25"/>
      <c r="BK16218" s="25"/>
    </row>
    <row r="16219" spans="60:63" ht="14.25" x14ac:dyDescent="0.2">
      <c r="BH16219" s="25"/>
      <c r="BI16219" s="25"/>
      <c r="BJ16219" s="25"/>
      <c r="BK16219" s="25"/>
    </row>
    <row r="16220" spans="60:63" ht="14.25" x14ac:dyDescent="0.2">
      <c r="BH16220" s="25"/>
      <c r="BI16220" s="25"/>
      <c r="BJ16220" s="25"/>
      <c r="BK16220" s="25"/>
    </row>
    <row r="16221" spans="60:63" ht="14.25" x14ac:dyDescent="0.2">
      <c r="BH16221" s="25"/>
      <c r="BI16221" s="25"/>
      <c r="BJ16221" s="25"/>
      <c r="BK16221" s="25"/>
    </row>
    <row r="16222" spans="60:63" ht="14.25" x14ac:dyDescent="0.2">
      <c r="BH16222" s="25"/>
      <c r="BI16222" s="25"/>
      <c r="BJ16222" s="25"/>
      <c r="BK16222" s="25"/>
    </row>
    <row r="16223" spans="60:63" ht="14.25" x14ac:dyDescent="0.2">
      <c r="BH16223" s="25"/>
      <c r="BI16223" s="25"/>
      <c r="BJ16223" s="25"/>
      <c r="BK16223" s="25"/>
    </row>
    <row r="16224" spans="60:63" ht="14.25" x14ac:dyDescent="0.2">
      <c r="BH16224" s="25"/>
      <c r="BI16224" s="25"/>
      <c r="BJ16224" s="25"/>
      <c r="BK16224" s="25"/>
    </row>
    <row r="16225" spans="60:63" ht="14.25" x14ac:dyDescent="0.2">
      <c r="BH16225" s="25"/>
      <c r="BI16225" s="25"/>
      <c r="BJ16225" s="25"/>
      <c r="BK16225" s="25"/>
    </row>
    <row r="16226" spans="60:63" ht="14.25" x14ac:dyDescent="0.2">
      <c r="BH16226" s="25"/>
      <c r="BI16226" s="25"/>
      <c r="BJ16226" s="25"/>
      <c r="BK16226" s="25"/>
    </row>
    <row r="16227" spans="60:63" ht="14.25" x14ac:dyDescent="0.2">
      <c r="BH16227" s="25"/>
      <c r="BI16227" s="25"/>
      <c r="BJ16227" s="25"/>
      <c r="BK16227" s="25"/>
    </row>
    <row r="16228" spans="60:63" ht="14.25" x14ac:dyDescent="0.2">
      <c r="BH16228" s="25"/>
      <c r="BI16228" s="25"/>
      <c r="BJ16228" s="25"/>
      <c r="BK16228" s="25"/>
    </row>
    <row r="16229" spans="60:63" ht="14.25" x14ac:dyDescent="0.2">
      <c r="BH16229" s="25"/>
      <c r="BI16229" s="25"/>
      <c r="BJ16229" s="25"/>
      <c r="BK16229" s="25"/>
    </row>
    <row r="16230" spans="60:63" ht="14.25" x14ac:dyDescent="0.2">
      <c r="BH16230" s="25"/>
      <c r="BI16230" s="25"/>
      <c r="BJ16230" s="25"/>
      <c r="BK16230" s="25"/>
    </row>
    <row r="16231" spans="60:63" ht="14.25" x14ac:dyDescent="0.2">
      <c r="BH16231" s="25"/>
      <c r="BI16231" s="25"/>
      <c r="BJ16231" s="25"/>
      <c r="BK16231" s="25"/>
    </row>
    <row r="16232" spans="60:63" ht="14.25" x14ac:dyDescent="0.2">
      <c r="BH16232" s="25"/>
      <c r="BI16232" s="25"/>
      <c r="BJ16232" s="25"/>
      <c r="BK16232" s="25"/>
    </row>
    <row r="16233" spans="60:63" ht="14.25" x14ac:dyDescent="0.2">
      <c r="BH16233" s="25"/>
      <c r="BI16233" s="25"/>
      <c r="BJ16233" s="25"/>
      <c r="BK16233" s="25"/>
    </row>
    <row r="16234" spans="60:63" ht="14.25" x14ac:dyDescent="0.2">
      <c r="BH16234" s="25"/>
      <c r="BI16234" s="25"/>
      <c r="BJ16234" s="25"/>
      <c r="BK16234" s="25"/>
    </row>
    <row r="16235" spans="60:63" ht="14.25" x14ac:dyDescent="0.2">
      <c r="BH16235" s="25"/>
      <c r="BI16235" s="25"/>
      <c r="BJ16235" s="25"/>
      <c r="BK16235" s="25"/>
    </row>
    <row r="16236" spans="60:63" ht="14.25" x14ac:dyDescent="0.2">
      <c r="BH16236" s="25"/>
      <c r="BI16236" s="25"/>
      <c r="BJ16236" s="25"/>
      <c r="BK16236" s="25"/>
    </row>
    <row r="16237" spans="60:63" ht="14.25" x14ac:dyDescent="0.2">
      <c r="BH16237" s="25"/>
      <c r="BI16237" s="25"/>
      <c r="BJ16237" s="25"/>
      <c r="BK16237" s="25"/>
    </row>
    <row r="16238" spans="60:63" ht="14.25" x14ac:dyDescent="0.2">
      <c r="BH16238" s="25"/>
      <c r="BI16238" s="25"/>
      <c r="BJ16238" s="25"/>
      <c r="BK16238" s="25"/>
    </row>
    <row r="16239" spans="60:63" ht="14.25" x14ac:dyDescent="0.2">
      <c r="BH16239" s="25"/>
      <c r="BI16239" s="25"/>
      <c r="BJ16239" s="25"/>
      <c r="BK16239" s="25"/>
    </row>
    <row r="16240" spans="60:63" ht="14.25" x14ac:dyDescent="0.2">
      <c r="BH16240" s="25"/>
      <c r="BI16240" s="25"/>
      <c r="BJ16240" s="25"/>
      <c r="BK16240" s="25"/>
    </row>
    <row r="16241" spans="60:63" ht="14.25" x14ac:dyDescent="0.2">
      <c r="BH16241" s="25"/>
      <c r="BI16241" s="25"/>
      <c r="BJ16241" s="25"/>
      <c r="BK16241" s="25"/>
    </row>
    <row r="16242" spans="60:63" ht="14.25" x14ac:dyDescent="0.2">
      <c r="BH16242" s="25"/>
      <c r="BI16242" s="25"/>
      <c r="BJ16242" s="25"/>
      <c r="BK16242" s="25"/>
    </row>
    <row r="16243" spans="60:63" ht="14.25" x14ac:dyDescent="0.2">
      <c r="BH16243" s="25"/>
      <c r="BI16243" s="25"/>
      <c r="BJ16243" s="25"/>
      <c r="BK16243" s="25"/>
    </row>
    <row r="16244" spans="60:63" ht="14.25" x14ac:dyDescent="0.2">
      <c r="BH16244" s="25"/>
      <c r="BI16244" s="25"/>
      <c r="BJ16244" s="25"/>
      <c r="BK16244" s="25"/>
    </row>
    <row r="16245" spans="60:63" ht="14.25" x14ac:dyDescent="0.2">
      <c r="BH16245" s="25"/>
      <c r="BI16245" s="25"/>
      <c r="BJ16245" s="25"/>
      <c r="BK16245" s="25"/>
    </row>
    <row r="16246" spans="60:63" ht="14.25" x14ac:dyDescent="0.2">
      <c r="BH16246" s="25"/>
      <c r="BI16246" s="25"/>
      <c r="BJ16246" s="25"/>
      <c r="BK16246" s="25"/>
    </row>
    <row r="16247" spans="60:63" ht="14.25" x14ac:dyDescent="0.2">
      <c r="BH16247" s="25"/>
      <c r="BI16247" s="25"/>
      <c r="BJ16247" s="25"/>
      <c r="BK16247" s="25"/>
    </row>
    <row r="16248" spans="60:63" ht="14.25" x14ac:dyDescent="0.2">
      <c r="BH16248" s="25"/>
      <c r="BI16248" s="25"/>
      <c r="BJ16248" s="25"/>
      <c r="BK16248" s="25"/>
    </row>
    <row r="16249" spans="60:63" ht="14.25" x14ac:dyDescent="0.2">
      <c r="BH16249" s="25"/>
      <c r="BI16249" s="25"/>
      <c r="BJ16249" s="25"/>
      <c r="BK16249" s="25"/>
    </row>
    <row r="16250" spans="60:63" ht="14.25" x14ac:dyDescent="0.2">
      <c r="BH16250" s="25"/>
      <c r="BI16250" s="25"/>
      <c r="BJ16250" s="25"/>
      <c r="BK16250" s="25"/>
    </row>
    <row r="16251" spans="60:63" ht="14.25" x14ac:dyDescent="0.2">
      <c r="BH16251" s="25"/>
      <c r="BI16251" s="25"/>
      <c r="BJ16251" s="25"/>
      <c r="BK16251" s="25"/>
    </row>
    <row r="16252" spans="60:63" ht="14.25" x14ac:dyDescent="0.2">
      <c r="BH16252" s="25"/>
      <c r="BI16252" s="25"/>
      <c r="BJ16252" s="25"/>
      <c r="BK16252" s="25"/>
    </row>
    <row r="16253" spans="60:63" ht="14.25" x14ac:dyDescent="0.2">
      <c r="BH16253" s="25"/>
      <c r="BI16253" s="25"/>
      <c r="BJ16253" s="25"/>
      <c r="BK16253" s="25"/>
    </row>
    <row r="16254" spans="60:63" ht="14.25" x14ac:dyDescent="0.2">
      <c r="BH16254" s="25"/>
      <c r="BI16254" s="25"/>
      <c r="BJ16254" s="25"/>
      <c r="BK16254" s="25"/>
    </row>
    <row r="16255" spans="60:63" ht="14.25" x14ac:dyDescent="0.2">
      <c r="BH16255" s="25"/>
      <c r="BI16255" s="25"/>
      <c r="BJ16255" s="25"/>
      <c r="BK16255" s="25"/>
    </row>
    <row r="16256" spans="60:63" ht="14.25" x14ac:dyDescent="0.2">
      <c r="BH16256" s="25"/>
      <c r="BI16256" s="25"/>
      <c r="BJ16256" s="25"/>
      <c r="BK16256" s="25"/>
    </row>
    <row r="16257" spans="60:63" ht="14.25" x14ac:dyDescent="0.2">
      <c r="BH16257" s="25"/>
      <c r="BI16257" s="25"/>
      <c r="BJ16257" s="25"/>
      <c r="BK16257" s="25"/>
    </row>
    <row r="16258" spans="60:63" ht="14.25" x14ac:dyDescent="0.2">
      <c r="BH16258" s="25"/>
      <c r="BI16258" s="25"/>
      <c r="BJ16258" s="25"/>
      <c r="BK16258" s="25"/>
    </row>
    <row r="16259" spans="60:63" ht="14.25" x14ac:dyDescent="0.2">
      <c r="BH16259" s="25"/>
      <c r="BI16259" s="25"/>
      <c r="BJ16259" s="25"/>
      <c r="BK16259" s="25"/>
    </row>
    <row r="16260" spans="60:63" ht="14.25" x14ac:dyDescent="0.2">
      <c r="BH16260" s="25"/>
      <c r="BI16260" s="25"/>
      <c r="BJ16260" s="25"/>
      <c r="BK16260" s="25"/>
    </row>
    <row r="16261" spans="60:63" ht="14.25" x14ac:dyDescent="0.2">
      <c r="BH16261" s="25"/>
      <c r="BI16261" s="25"/>
      <c r="BJ16261" s="25"/>
      <c r="BK16261" s="25"/>
    </row>
    <row r="16262" spans="60:63" ht="14.25" x14ac:dyDescent="0.2">
      <c r="BH16262" s="25"/>
      <c r="BI16262" s="25"/>
      <c r="BJ16262" s="25"/>
      <c r="BK16262" s="25"/>
    </row>
    <row r="16263" spans="60:63" ht="14.25" x14ac:dyDescent="0.2">
      <c r="BH16263" s="25"/>
      <c r="BI16263" s="25"/>
      <c r="BJ16263" s="25"/>
      <c r="BK16263" s="25"/>
    </row>
    <row r="16264" spans="60:63" ht="14.25" x14ac:dyDescent="0.2">
      <c r="BH16264" s="25"/>
      <c r="BI16264" s="25"/>
      <c r="BJ16264" s="25"/>
      <c r="BK16264" s="25"/>
    </row>
    <row r="16265" spans="60:63" ht="14.25" x14ac:dyDescent="0.2">
      <c r="BH16265" s="25"/>
      <c r="BI16265" s="25"/>
      <c r="BJ16265" s="25"/>
      <c r="BK16265" s="25"/>
    </row>
    <row r="16266" spans="60:63" ht="14.25" x14ac:dyDescent="0.2">
      <c r="BH16266" s="25"/>
      <c r="BI16266" s="25"/>
      <c r="BJ16266" s="25"/>
      <c r="BK16266" s="25"/>
    </row>
    <row r="16267" spans="60:63" ht="14.25" x14ac:dyDescent="0.2">
      <c r="BH16267" s="25"/>
      <c r="BI16267" s="25"/>
      <c r="BJ16267" s="25"/>
      <c r="BK16267" s="25"/>
    </row>
    <row r="16268" spans="60:63" ht="14.25" x14ac:dyDescent="0.2">
      <c r="BH16268" s="25"/>
      <c r="BI16268" s="25"/>
      <c r="BJ16268" s="25"/>
      <c r="BK16268" s="25"/>
    </row>
    <row r="16269" spans="60:63" ht="14.25" x14ac:dyDescent="0.2">
      <c r="BH16269" s="25"/>
      <c r="BI16269" s="25"/>
      <c r="BJ16269" s="25"/>
      <c r="BK16269" s="25"/>
    </row>
    <row r="16270" spans="60:63" ht="14.25" x14ac:dyDescent="0.2">
      <c r="BH16270" s="25"/>
      <c r="BI16270" s="25"/>
      <c r="BJ16270" s="25"/>
      <c r="BK16270" s="25"/>
    </row>
    <row r="16271" spans="60:63" ht="14.25" x14ac:dyDescent="0.2">
      <c r="BH16271" s="25"/>
      <c r="BI16271" s="25"/>
      <c r="BJ16271" s="25"/>
      <c r="BK16271" s="25"/>
    </row>
    <row r="16272" spans="60:63" ht="14.25" x14ac:dyDescent="0.2">
      <c r="BH16272" s="25"/>
      <c r="BI16272" s="25"/>
      <c r="BJ16272" s="25"/>
      <c r="BK16272" s="25"/>
    </row>
    <row r="16273" spans="60:63" ht="14.25" x14ac:dyDescent="0.2">
      <c r="BH16273" s="25"/>
      <c r="BI16273" s="25"/>
      <c r="BJ16273" s="25"/>
      <c r="BK16273" s="25"/>
    </row>
    <row r="16274" spans="60:63" ht="14.25" x14ac:dyDescent="0.2">
      <c r="BH16274" s="25"/>
      <c r="BI16274" s="25"/>
      <c r="BJ16274" s="25"/>
      <c r="BK16274" s="25"/>
    </row>
    <row r="16275" spans="60:63" ht="14.25" x14ac:dyDescent="0.2">
      <c r="BH16275" s="25"/>
      <c r="BI16275" s="25"/>
      <c r="BJ16275" s="25"/>
      <c r="BK16275" s="25"/>
    </row>
    <row r="16276" spans="60:63" ht="14.25" x14ac:dyDescent="0.2">
      <c r="BH16276" s="25"/>
      <c r="BI16276" s="25"/>
      <c r="BJ16276" s="25"/>
      <c r="BK16276" s="25"/>
    </row>
    <row r="16277" spans="60:63" ht="14.25" x14ac:dyDescent="0.2">
      <c r="BH16277" s="25"/>
      <c r="BI16277" s="25"/>
      <c r="BJ16277" s="25"/>
      <c r="BK16277" s="25"/>
    </row>
    <row r="16278" spans="60:63" ht="14.25" x14ac:dyDescent="0.2">
      <c r="BH16278" s="25"/>
      <c r="BI16278" s="25"/>
      <c r="BJ16278" s="25"/>
      <c r="BK16278" s="25"/>
    </row>
    <row r="16279" spans="60:63" ht="14.25" x14ac:dyDescent="0.2">
      <c r="BH16279" s="25"/>
      <c r="BI16279" s="25"/>
      <c r="BJ16279" s="25"/>
      <c r="BK16279" s="25"/>
    </row>
    <row r="16280" spans="60:63" ht="14.25" x14ac:dyDescent="0.2">
      <c r="BH16280" s="25"/>
      <c r="BI16280" s="25"/>
      <c r="BJ16280" s="25"/>
      <c r="BK16280" s="25"/>
    </row>
    <row r="16281" spans="60:63" ht="14.25" x14ac:dyDescent="0.2">
      <c r="BH16281" s="25"/>
      <c r="BI16281" s="25"/>
      <c r="BJ16281" s="25"/>
      <c r="BK16281" s="25"/>
    </row>
    <row r="16282" spans="60:63" ht="14.25" x14ac:dyDescent="0.2">
      <c r="BH16282" s="25"/>
      <c r="BI16282" s="25"/>
      <c r="BJ16282" s="25"/>
      <c r="BK16282" s="25"/>
    </row>
    <row r="16283" spans="60:63" ht="14.25" x14ac:dyDescent="0.2">
      <c r="BH16283" s="25"/>
      <c r="BI16283" s="25"/>
      <c r="BJ16283" s="25"/>
      <c r="BK16283" s="25"/>
    </row>
    <row r="16284" spans="60:63" ht="14.25" x14ac:dyDescent="0.2">
      <c r="BH16284" s="25"/>
      <c r="BI16284" s="25"/>
      <c r="BJ16284" s="25"/>
      <c r="BK16284" s="25"/>
    </row>
    <row r="16285" spans="60:63" ht="14.25" x14ac:dyDescent="0.2">
      <c r="BH16285" s="25"/>
      <c r="BI16285" s="25"/>
      <c r="BJ16285" s="25"/>
      <c r="BK16285" s="25"/>
    </row>
    <row r="16286" spans="60:63" ht="14.25" x14ac:dyDescent="0.2">
      <c r="BH16286" s="25"/>
      <c r="BI16286" s="25"/>
      <c r="BJ16286" s="25"/>
      <c r="BK16286" s="25"/>
    </row>
    <row r="16287" spans="60:63" ht="14.25" x14ac:dyDescent="0.2">
      <c r="BH16287" s="25"/>
      <c r="BI16287" s="25"/>
      <c r="BJ16287" s="25"/>
      <c r="BK16287" s="25"/>
    </row>
    <row r="16288" spans="60:63" ht="14.25" x14ac:dyDescent="0.2">
      <c r="BH16288" s="25"/>
      <c r="BI16288" s="25"/>
      <c r="BJ16288" s="25"/>
      <c r="BK16288" s="25"/>
    </row>
    <row r="16289" spans="60:63" ht="14.25" x14ac:dyDescent="0.2">
      <c r="BH16289" s="25"/>
      <c r="BI16289" s="25"/>
      <c r="BJ16289" s="25"/>
      <c r="BK16289" s="25"/>
    </row>
    <row r="16290" spans="60:63" ht="14.25" x14ac:dyDescent="0.2">
      <c r="BH16290" s="25"/>
      <c r="BI16290" s="25"/>
      <c r="BJ16290" s="25"/>
      <c r="BK16290" s="25"/>
    </row>
    <row r="16291" spans="60:63" ht="14.25" x14ac:dyDescent="0.2">
      <c r="BH16291" s="25"/>
      <c r="BI16291" s="25"/>
      <c r="BJ16291" s="25"/>
      <c r="BK16291" s="25"/>
    </row>
    <row r="16292" spans="60:63" ht="14.25" x14ac:dyDescent="0.2">
      <c r="BH16292" s="25"/>
      <c r="BI16292" s="25"/>
      <c r="BJ16292" s="25"/>
      <c r="BK16292" s="25"/>
    </row>
    <row r="16293" spans="60:63" ht="14.25" x14ac:dyDescent="0.2">
      <c r="BH16293" s="25"/>
      <c r="BI16293" s="25"/>
      <c r="BJ16293" s="25"/>
      <c r="BK16293" s="25"/>
    </row>
    <row r="16294" spans="60:63" ht="14.25" x14ac:dyDescent="0.2">
      <c r="BH16294" s="25"/>
      <c r="BI16294" s="25"/>
      <c r="BJ16294" s="25"/>
      <c r="BK16294" s="25"/>
    </row>
    <row r="16295" spans="60:63" ht="14.25" x14ac:dyDescent="0.2">
      <c r="BH16295" s="25"/>
      <c r="BI16295" s="25"/>
      <c r="BJ16295" s="25"/>
      <c r="BK16295" s="25"/>
    </row>
    <row r="16296" spans="60:63" ht="14.25" x14ac:dyDescent="0.2">
      <c r="BH16296" s="25"/>
      <c r="BI16296" s="25"/>
      <c r="BJ16296" s="25"/>
      <c r="BK16296" s="25"/>
    </row>
    <row r="16297" spans="60:63" ht="14.25" x14ac:dyDescent="0.2">
      <c r="BH16297" s="25"/>
      <c r="BI16297" s="25"/>
      <c r="BJ16297" s="25"/>
      <c r="BK16297" s="25"/>
    </row>
    <row r="16298" spans="60:63" ht="14.25" x14ac:dyDescent="0.2">
      <c r="BH16298" s="25"/>
      <c r="BI16298" s="25"/>
      <c r="BJ16298" s="25"/>
      <c r="BK16298" s="25"/>
    </row>
    <row r="16299" spans="60:63" ht="14.25" x14ac:dyDescent="0.2">
      <c r="BH16299" s="25"/>
      <c r="BI16299" s="25"/>
      <c r="BJ16299" s="25"/>
      <c r="BK16299" s="25"/>
    </row>
    <row r="16300" spans="60:63" ht="14.25" x14ac:dyDescent="0.2">
      <c r="BH16300" s="25"/>
      <c r="BI16300" s="25"/>
      <c r="BJ16300" s="25"/>
      <c r="BK16300" s="25"/>
    </row>
    <row r="16301" spans="60:63" ht="14.25" x14ac:dyDescent="0.2">
      <c r="BH16301" s="25"/>
      <c r="BI16301" s="25"/>
      <c r="BJ16301" s="25"/>
      <c r="BK16301" s="25"/>
    </row>
    <row r="16302" spans="60:63" ht="14.25" x14ac:dyDescent="0.2">
      <c r="BH16302" s="25"/>
      <c r="BI16302" s="25"/>
      <c r="BJ16302" s="25"/>
      <c r="BK16302" s="25"/>
    </row>
    <row r="16303" spans="60:63" ht="14.25" x14ac:dyDescent="0.2">
      <c r="BH16303" s="25"/>
      <c r="BI16303" s="25"/>
      <c r="BJ16303" s="25"/>
      <c r="BK16303" s="25"/>
    </row>
    <row r="16304" spans="60:63" ht="14.25" x14ac:dyDescent="0.2">
      <c r="BH16304" s="25"/>
      <c r="BI16304" s="25"/>
      <c r="BJ16304" s="25"/>
      <c r="BK16304" s="25"/>
    </row>
    <row r="16305" spans="60:63" ht="14.25" x14ac:dyDescent="0.2">
      <c r="BH16305" s="25"/>
      <c r="BI16305" s="25"/>
      <c r="BJ16305" s="25"/>
      <c r="BK16305" s="25"/>
    </row>
    <row r="16306" spans="60:63" ht="14.25" x14ac:dyDescent="0.2">
      <c r="BH16306" s="25"/>
      <c r="BI16306" s="25"/>
      <c r="BJ16306" s="25"/>
      <c r="BK16306" s="25"/>
    </row>
    <row r="16307" spans="60:63" ht="14.25" x14ac:dyDescent="0.2">
      <c r="BH16307" s="25"/>
      <c r="BI16307" s="25"/>
      <c r="BJ16307" s="25"/>
      <c r="BK16307" s="25"/>
    </row>
    <row r="16308" spans="60:63" ht="14.25" x14ac:dyDescent="0.2">
      <c r="BH16308" s="25"/>
      <c r="BI16308" s="25"/>
      <c r="BJ16308" s="25"/>
      <c r="BK16308" s="25"/>
    </row>
    <row r="16309" spans="60:63" ht="14.25" x14ac:dyDescent="0.2">
      <c r="BH16309" s="25"/>
      <c r="BI16309" s="25"/>
      <c r="BJ16309" s="25"/>
      <c r="BK16309" s="25"/>
    </row>
    <row r="16310" spans="60:63" ht="14.25" x14ac:dyDescent="0.2">
      <c r="BH16310" s="25"/>
      <c r="BI16310" s="25"/>
      <c r="BJ16310" s="25"/>
      <c r="BK16310" s="25"/>
    </row>
    <row r="16311" spans="60:63" ht="14.25" x14ac:dyDescent="0.2">
      <c r="BH16311" s="25"/>
      <c r="BI16311" s="25"/>
      <c r="BJ16311" s="25"/>
      <c r="BK16311" s="25"/>
    </row>
    <row r="16312" spans="60:63" ht="14.25" x14ac:dyDescent="0.2">
      <c r="BH16312" s="25"/>
      <c r="BI16312" s="25"/>
      <c r="BJ16312" s="25"/>
      <c r="BK16312" s="25"/>
    </row>
    <row r="16313" spans="60:63" ht="14.25" x14ac:dyDescent="0.2">
      <c r="BH16313" s="25"/>
      <c r="BI16313" s="25"/>
      <c r="BJ16313" s="25"/>
      <c r="BK16313" s="25"/>
    </row>
    <row r="16314" spans="60:63" ht="14.25" x14ac:dyDescent="0.2">
      <c r="BH16314" s="25"/>
      <c r="BI16314" s="25"/>
      <c r="BJ16314" s="25"/>
      <c r="BK16314" s="25"/>
    </row>
    <row r="16315" spans="60:63" ht="14.25" x14ac:dyDescent="0.2">
      <c r="BH16315" s="25"/>
      <c r="BI16315" s="25"/>
      <c r="BJ16315" s="25"/>
      <c r="BK16315" s="25"/>
    </row>
    <row r="16316" spans="60:63" ht="14.25" x14ac:dyDescent="0.2">
      <c r="BH16316" s="25"/>
      <c r="BI16316" s="25"/>
      <c r="BJ16316" s="25"/>
      <c r="BK16316" s="25"/>
    </row>
    <row r="16317" spans="60:63" ht="14.25" x14ac:dyDescent="0.2">
      <c r="BH16317" s="25"/>
      <c r="BI16317" s="25"/>
      <c r="BJ16317" s="25"/>
      <c r="BK16317" s="25"/>
    </row>
    <row r="16318" spans="60:63" ht="14.25" x14ac:dyDescent="0.2">
      <c r="BH16318" s="25"/>
      <c r="BI16318" s="25"/>
      <c r="BJ16318" s="25"/>
      <c r="BK16318" s="25"/>
    </row>
    <row r="16319" spans="60:63" ht="14.25" x14ac:dyDescent="0.2">
      <c r="BH16319" s="25"/>
      <c r="BI16319" s="25"/>
      <c r="BJ16319" s="25"/>
      <c r="BK16319" s="25"/>
    </row>
    <row r="16320" spans="60:63" ht="14.25" x14ac:dyDescent="0.2">
      <c r="BH16320" s="25"/>
      <c r="BI16320" s="25"/>
      <c r="BJ16320" s="25"/>
      <c r="BK16320" s="25"/>
    </row>
    <row r="16321" spans="60:63" ht="14.25" x14ac:dyDescent="0.2">
      <c r="BH16321" s="25"/>
      <c r="BI16321" s="25"/>
      <c r="BJ16321" s="25"/>
      <c r="BK16321" s="25"/>
    </row>
    <row r="16322" spans="60:63" ht="14.25" x14ac:dyDescent="0.2">
      <c r="BH16322" s="25"/>
      <c r="BI16322" s="25"/>
      <c r="BJ16322" s="25"/>
      <c r="BK16322" s="25"/>
    </row>
    <row r="16323" spans="60:63" ht="14.25" x14ac:dyDescent="0.2">
      <c r="BH16323" s="25"/>
      <c r="BI16323" s="25"/>
      <c r="BJ16323" s="25"/>
      <c r="BK16323" s="25"/>
    </row>
    <row r="16324" spans="60:63" ht="14.25" x14ac:dyDescent="0.2">
      <c r="BH16324" s="25"/>
      <c r="BI16324" s="25"/>
      <c r="BJ16324" s="25"/>
      <c r="BK16324" s="25"/>
    </row>
    <row r="16325" spans="60:63" ht="14.25" x14ac:dyDescent="0.2">
      <c r="BH16325" s="25"/>
      <c r="BI16325" s="25"/>
      <c r="BJ16325" s="25"/>
      <c r="BK16325" s="25"/>
    </row>
    <row r="16326" spans="60:63" ht="14.25" x14ac:dyDescent="0.2">
      <c r="BH16326" s="25"/>
      <c r="BI16326" s="25"/>
      <c r="BJ16326" s="25"/>
      <c r="BK16326" s="25"/>
    </row>
    <row r="16327" spans="60:63" ht="14.25" x14ac:dyDescent="0.2">
      <c r="BH16327" s="25"/>
      <c r="BI16327" s="25"/>
      <c r="BJ16327" s="25"/>
      <c r="BK16327" s="25"/>
    </row>
    <row r="16328" spans="60:63" ht="14.25" x14ac:dyDescent="0.2">
      <c r="BH16328" s="25"/>
      <c r="BI16328" s="25"/>
      <c r="BJ16328" s="25"/>
      <c r="BK16328" s="25"/>
    </row>
    <row r="16329" spans="60:63" ht="14.25" x14ac:dyDescent="0.2">
      <c r="BH16329" s="25"/>
      <c r="BI16329" s="25"/>
      <c r="BJ16329" s="25"/>
      <c r="BK16329" s="25"/>
    </row>
    <row r="16330" spans="60:63" ht="14.25" x14ac:dyDescent="0.2">
      <c r="BH16330" s="25"/>
      <c r="BI16330" s="25"/>
      <c r="BJ16330" s="25"/>
      <c r="BK16330" s="25"/>
    </row>
    <row r="16331" spans="60:63" ht="14.25" x14ac:dyDescent="0.2">
      <c r="BH16331" s="25"/>
      <c r="BI16331" s="25"/>
      <c r="BJ16331" s="25"/>
      <c r="BK16331" s="25"/>
    </row>
    <row r="16332" spans="60:63" ht="14.25" x14ac:dyDescent="0.2">
      <c r="BH16332" s="25"/>
      <c r="BI16332" s="25"/>
      <c r="BJ16332" s="25"/>
      <c r="BK16332" s="25"/>
    </row>
    <row r="16333" spans="60:63" ht="14.25" x14ac:dyDescent="0.2">
      <c r="BH16333" s="25"/>
      <c r="BI16333" s="25"/>
      <c r="BJ16333" s="25"/>
      <c r="BK16333" s="25"/>
    </row>
    <row r="16334" spans="60:63" ht="14.25" x14ac:dyDescent="0.2">
      <c r="BH16334" s="25"/>
      <c r="BI16334" s="25"/>
      <c r="BJ16334" s="25"/>
      <c r="BK16334" s="25"/>
    </row>
    <row r="16335" spans="60:63" ht="14.25" x14ac:dyDescent="0.2">
      <c r="BH16335" s="25"/>
      <c r="BI16335" s="25"/>
      <c r="BJ16335" s="25"/>
      <c r="BK16335" s="25"/>
    </row>
    <row r="16336" spans="60:63" ht="14.25" x14ac:dyDescent="0.2">
      <c r="BH16336" s="25"/>
      <c r="BI16336" s="25"/>
      <c r="BJ16336" s="25"/>
      <c r="BK16336" s="25"/>
    </row>
    <row r="16337" spans="60:63" ht="14.25" x14ac:dyDescent="0.2">
      <c r="BH16337" s="25"/>
      <c r="BI16337" s="25"/>
      <c r="BJ16337" s="25"/>
      <c r="BK16337" s="25"/>
    </row>
    <row r="16338" spans="60:63" ht="14.25" x14ac:dyDescent="0.2">
      <c r="BH16338" s="25"/>
      <c r="BI16338" s="25"/>
      <c r="BJ16338" s="25"/>
      <c r="BK16338" s="25"/>
    </row>
    <row r="16339" spans="60:63" ht="14.25" x14ac:dyDescent="0.2">
      <c r="BH16339" s="25"/>
      <c r="BI16339" s="25"/>
      <c r="BJ16339" s="25"/>
      <c r="BK16339" s="25"/>
    </row>
    <row r="16340" spans="60:63" ht="14.25" x14ac:dyDescent="0.2">
      <c r="BH16340" s="25"/>
      <c r="BI16340" s="25"/>
      <c r="BJ16340" s="25"/>
      <c r="BK16340" s="25"/>
    </row>
    <row r="16341" spans="60:63" ht="14.25" x14ac:dyDescent="0.2">
      <c r="BH16341" s="25"/>
      <c r="BI16341" s="25"/>
      <c r="BJ16341" s="25"/>
      <c r="BK16341" s="25"/>
    </row>
    <row r="16342" spans="60:63" ht="14.25" x14ac:dyDescent="0.2">
      <c r="BH16342" s="25"/>
      <c r="BI16342" s="25"/>
      <c r="BJ16342" s="25"/>
      <c r="BK16342" s="25"/>
    </row>
    <row r="16343" spans="60:63" ht="14.25" x14ac:dyDescent="0.2">
      <c r="BH16343" s="25"/>
      <c r="BI16343" s="25"/>
      <c r="BJ16343" s="25"/>
      <c r="BK16343" s="25"/>
    </row>
    <row r="16344" spans="60:63" ht="14.25" x14ac:dyDescent="0.2">
      <c r="BH16344" s="25"/>
      <c r="BI16344" s="25"/>
      <c r="BJ16344" s="25"/>
      <c r="BK16344" s="25"/>
    </row>
    <row r="16345" spans="60:63" ht="14.25" x14ac:dyDescent="0.2">
      <c r="BH16345" s="25"/>
      <c r="BI16345" s="25"/>
      <c r="BJ16345" s="25"/>
      <c r="BK16345" s="25"/>
    </row>
    <row r="16346" spans="60:63" ht="14.25" x14ac:dyDescent="0.2">
      <c r="BH16346" s="25"/>
      <c r="BI16346" s="25"/>
      <c r="BJ16346" s="25"/>
      <c r="BK16346" s="25"/>
    </row>
    <row r="16347" spans="60:63" ht="14.25" x14ac:dyDescent="0.2">
      <c r="BH16347" s="25"/>
      <c r="BI16347" s="25"/>
      <c r="BJ16347" s="25"/>
      <c r="BK16347" s="25"/>
    </row>
    <row r="16348" spans="60:63" ht="14.25" x14ac:dyDescent="0.2">
      <c r="BH16348" s="25"/>
      <c r="BI16348" s="25"/>
      <c r="BJ16348" s="25"/>
      <c r="BK16348" s="25"/>
    </row>
    <row r="16349" spans="60:63" ht="14.25" x14ac:dyDescent="0.2">
      <c r="BH16349" s="25"/>
      <c r="BI16349" s="25"/>
      <c r="BJ16349" s="25"/>
      <c r="BK16349" s="25"/>
    </row>
    <row r="16350" spans="60:63" ht="14.25" x14ac:dyDescent="0.2">
      <c r="BH16350" s="25"/>
      <c r="BI16350" s="25"/>
      <c r="BJ16350" s="25"/>
      <c r="BK16350" s="25"/>
    </row>
    <row r="16351" spans="60:63" ht="14.25" x14ac:dyDescent="0.2">
      <c r="BH16351" s="25"/>
      <c r="BI16351" s="25"/>
      <c r="BJ16351" s="25"/>
      <c r="BK16351" s="25"/>
    </row>
    <row r="16352" spans="60:63" ht="14.25" x14ac:dyDescent="0.2">
      <c r="BH16352" s="25"/>
      <c r="BI16352" s="25"/>
      <c r="BJ16352" s="25"/>
      <c r="BK16352" s="25"/>
    </row>
    <row r="16353" spans="60:63" ht="14.25" x14ac:dyDescent="0.2">
      <c r="BH16353" s="25"/>
      <c r="BI16353" s="25"/>
      <c r="BJ16353" s="25"/>
      <c r="BK16353" s="25"/>
    </row>
    <row r="16354" spans="60:63" ht="14.25" x14ac:dyDescent="0.2">
      <c r="BH16354" s="25"/>
      <c r="BI16354" s="25"/>
      <c r="BJ16354" s="25"/>
      <c r="BK16354" s="25"/>
    </row>
    <row r="16355" spans="60:63" ht="14.25" x14ac:dyDescent="0.2">
      <c r="BH16355" s="25"/>
      <c r="BI16355" s="25"/>
      <c r="BJ16355" s="25"/>
      <c r="BK16355" s="25"/>
    </row>
    <row r="16356" spans="60:63" ht="14.25" x14ac:dyDescent="0.2">
      <c r="BH16356" s="25"/>
      <c r="BI16356" s="25"/>
      <c r="BJ16356" s="25"/>
      <c r="BK16356" s="25"/>
    </row>
    <row r="16357" spans="60:63" ht="14.25" x14ac:dyDescent="0.2">
      <c r="BH16357" s="25"/>
      <c r="BI16357" s="25"/>
      <c r="BJ16357" s="25"/>
      <c r="BK16357" s="25"/>
    </row>
    <row r="16358" spans="60:63" ht="14.25" x14ac:dyDescent="0.2">
      <c r="BH16358" s="25"/>
      <c r="BI16358" s="25"/>
      <c r="BJ16358" s="25"/>
      <c r="BK16358" s="25"/>
    </row>
    <row r="16359" spans="60:63" ht="14.25" x14ac:dyDescent="0.2">
      <c r="BH16359" s="25"/>
      <c r="BI16359" s="25"/>
      <c r="BJ16359" s="25"/>
      <c r="BK16359" s="25"/>
    </row>
    <row r="16360" spans="60:63" ht="14.25" x14ac:dyDescent="0.2">
      <c r="BH16360" s="25"/>
      <c r="BI16360" s="25"/>
      <c r="BJ16360" s="25"/>
      <c r="BK16360" s="25"/>
    </row>
    <row r="16361" spans="60:63" ht="14.25" x14ac:dyDescent="0.2">
      <c r="BH16361" s="25"/>
      <c r="BI16361" s="25"/>
      <c r="BJ16361" s="25"/>
      <c r="BK16361" s="25"/>
    </row>
    <row r="16362" spans="60:63" ht="14.25" x14ac:dyDescent="0.2">
      <c r="BH16362" s="25"/>
      <c r="BI16362" s="25"/>
      <c r="BJ16362" s="25"/>
      <c r="BK16362" s="25"/>
    </row>
    <row r="16363" spans="60:63" ht="14.25" x14ac:dyDescent="0.2">
      <c r="BH16363" s="25"/>
      <c r="BI16363" s="25"/>
      <c r="BJ16363" s="25"/>
      <c r="BK16363" s="25"/>
    </row>
    <row r="16364" spans="60:63" ht="14.25" x14ac:dyDescent="0.2">
      <c r="BH16364" s="25"/>
      <c r="BI16364" s="25"/>
      <c r="BJ16364" s="25"/>
      <c r="BK16364" s="25"/>
    </row>
    <row r="16365" spans="60:63" ht="14.25" x14ac:dyDescent="0.2">
      <c r="BH16365" s="25"/>
      <c r="BI16365" s="25"/>
      <c r="BJ16365" s="25"/>
      <c r="BK16365" s="25"/>
    </row>
    <row r="16366" spans="60:63" ht="14.25" x14ac:dyDescent="0.2">
      <c r="BI16366" s="25"/>
      <c r="BJ16366" s="25"/>
      <c r="BK16366" s="25"/>
    </row>
    <row r="16367" spans="60:63" ht="14.25" x14ac:dyDescent="0.2">
      <c r="BI16367" s="25"/>
      <c r="BJ16367" s="25"/>
      <c r="BK16367" s="25"/>
    </row>
    <row r="16368" spans="60:63" ht="14.25" x14ac:dyDescent="0.2">
      <c r="BI16368" s="25"/>
      <c r="BJ16368" s="25"/>
      <c r="BK16368" s="25"/>
    </row>
    <row r="16369" spans="61:63" ht="14.25" x14ac:dyDescent="0.2">
      <c r="BI16369" s="25"/>
      <c r="BJ16369" s="25"/>
      <c r="BK16369" s="25"/>
    </row>
    <row r="16370" spans="61:63" ht="14.25" x14ac:dyDescent="0.2">
      <c r="BI16370" s="25"/>
      <c r="BJ16370" s="25"/>
      <c r="BK16370" s="25"/>
    </row>
    <row r="16371" spans="61:63" ht="14.25" x14ac:dyDescent="0.2">
      <c r="BI16371" s="25"/>
      <c r="BJ16371" s="25"/>
      <c r="BK16371" s="25"/>
    </row>
    <row r="16372" spans="61:63" ht="14.25" x14ac:dyDescent="0.2">
      <c r="BI16372" s="25"/>
      <c r="BJ16372" s="25"/>
      <c r="BK16372" s="25"/>
    </row>
    <row r="16373" spans="61:63" ht="14.25" x14ac:dyDescent="0.2">
      <c r="BI16373" s="25"/>
      <c r="BJ16373" s="25"/>
      <c r="BK16373" s="25"/>
    </row>
    <row r="16374" spans="61:63" ht="14.25" x14ac:dyDescent="0.2">
      <c r="BI16374" s="25"/>
      <c r="BJ16374" s="25"/>
      <c r="BK16374" s="25"/>
    </row>
    <row r="16375" spans="61:63" ht="14.25" x14ac:dyDescent="0.2">
      <c r="BI16375" s="25"/>
      <c r="BJ16375" s="25"/>
      <c r="BK16375" s="25"/>
    </row>
    <row r="16376" spans="61:63" ht="14.25" x14ac:dyDescent="0.2">
      <c r="BI16376" s="25"/>
      <c r="BJ16376" s="25"/>
      <c r="BK16376" s="25"/>
    </row>
    <row r="16377" spans="61:63" ht="14.25" x14ac:dyDescent="0.2">
      <c r="BI16377" s="25"/>
      <c r="BJ16377" s="25"/>
      <c r="BK16377" s="25"/>
    </row>
    <row r="16378" spans="61:63" ht="14.25" x14ac:dyDescent="0.2">
      <c r="BI16378" s="25"/>
      <c r="BJ16378" s="25"/>
      <c r="BK16378" s="25"/>
    </row>
    <row r="16379" spans="61:63" ht="14.25" x14ac:dyDescent="0.2">
      <c r="BI16379" s="25"/>
      <c r="BJ16379" s="25"/>
      <c r="BK16379" s="25"/>
    </row>
    <row r="16380" spans="61:63" ht="14.25" x14ac:dyDescent="0.2">
      <c r="BI16380" s="25"/>
      <c r="BJ16380" s="25"/>
      <c r="BK16380" s="25"/>
    </row>
    <row r="16381" spans="61:63" ht="14.25" x14ac:dyDescent="0.2">
      <c r="BI16381" s="25"/>
      <c r="BJ16381" s="25"/>
      <c r="BK16381" s="25"/>
    </row>
    <row r="16382" spans="61:63" ht="14.25" x14ac:dyDescent="0.2">
      <c r="BI16382" s="25"/>
      <c r="BJ16382" s="25"/>
      <c r="BK16382" s="25"/>
    </row>
    <row r="16383" spans="61:63" ht="14.25" x14ac:dyDescent="0.2">
      <c r="BI16383" s="25"/>
      <c r="BJ16383" s="25"/>
      <c r="BK16383" s="25"/>
    </row>
    <row r="16384" spans="61:63" ht="14.25" x14ac:dyDescent="0.2">
      <c r="BI16384" s="25"/>
      <c r="BJ16384" s="25"/>
      <c r="BK16384" s="25"/>
    </row>
    <row r="16385" spans="61:63" ht="14.25" x14ac:dyDescent="0.2">
      <c r="BI16385" s="25"/>
      <c r="BJ16385" s="25"/>
      <c r="BK16385" s="25"/>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heetViews>
  <sheetFormatPr defaultRowHeight="12.75"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copyContentAndConsume">
                <anchor moveWithCells="1" sizeWithCells="1">
                  <from>
                    <xdr:col>1</xdr:col>
                    <xdr:colOff>0</xdr:colOff>
                    <xdr:row>1</xdr:row>
                    <xdr:rowOff>0</xdr:rowOff>
                  </from>
                  <to>
                    <xdr:col>2</xdr:col>
                    <xdr:colOff>590550</xdr:colOff>
                    <xdr:row>3</xdr:row>
                    <xdr:rowOff>19050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77B93EC2AD3DB445B3099CA6948536BD" ma:contentTypeVersion="1" ma:contentTypeDescription="Create a new document." ma:contentTypeScope="" ma:versionID="decdbb0e4d5f168e7ea5665284910190">
  <xsd:schema xmlns:xsd="http://www.w3.org/2001/XMLSchema" xmlns:xs="http://www.w3.org/2001/XMLSchema" xmlns:p="http://schemas.microsoft.com/office/2006/metadata/properties" xmlns:ns2="http://schemas.microsoft.com/sharepoint/v4" targetNamespace="http://schemas.microsoft.com/office/2006/metadata/properties" ma:root="true" ma:fieldsID="23c11eee0d542004c4a7d729835418c6" ns2:_="">
    <xsd:import namespace="http://schemas.microsoft.com/sharepoint/v4"/>
    <xsd:element name="properties">
      <xsd:complexType>
        <xsd:sequence>
          <xsd:element name="documentManagement">
            <xsd:complexType>
              <xsd:all>
                <xsd:element ref="ns2: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0FF3BE-777B-47D2-B619-CCD68E8BDE4C}">
  <ds:schemaRefs>
    <ds:schemaRef ds:uri="http://purl.org/dc/terms/"/>
    <ds:schemaRef ds:uri="http://schemas.microsoft.com/sharepoint/v4"/>
    <ds:schemaRef ds:uri="http://purl.org/dc/dcmitype/"/>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A865C9B-5000-4C35-A08C-FC1C209FC3BF}">
  <ds:schemaRefs>
    <ds:schemaRef ds:uri="http://schemas.microsoft.com/DataMashup"/>
  </ds:schemaRefs>
</ds:datastoreItem>
</file>

<file path=customXml/itemProps3.xml><?xml version="1.0" encoding="utf-8"?>
<ds:datastoreItem xmlns:ds="http://schemas.openxmlformats.org/officeDocument/2006/customXml" ds:itemID="{23190A07-BC29-4903-B34C-311B8ABBA481}">
  <ds:schemaRefs>
    <ds:schemaRef ds:uri="http://schemas.microsoft.com/sharepoint/v3/contenttype/forms"/>
  </ds:schemaRefs>
</ds:datastoreItem>
</file>

<file path=customXml/itemProps4.xml><?xml version="1.0" encoding="utf-8"?>
<ds:datastoreItem xmlns:ds="http://schemas.openxmlformats.org/officeDocument/2006/customXml" ds:itemID="{FE6A596A-C531-4F36-88F1-C21026DC3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out</vt:lpstr>
      <vt:lpstr>Run_Consumption</vt:lpstr>
    </vt:vector>
  </TitlesOfParts>
  <Company>JPMorgan Chase &amp; Co.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 Subramani, Naren</dc:creator>
  <cp:lastModifiedBy>Siva Subramani, Naren</cp:lastModifiedBy>
  <dcterms:created xsi:type="dcterms:W3CDTF">2017-03-21T15:58:16Z</dcterms:created>
  <dcterms:modified xsi:type="dcterms:W3CDTF">2017-06-27T14:30:55Z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0x01010077B93EC2AD3DB445B3099CA6948536BD</vt:lpwstr>
  </property>
</Properties>
</file>
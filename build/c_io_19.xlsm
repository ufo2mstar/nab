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u-homebase\repos\nab\build\"/>
    </mc:Choice>
  </mc:AlternateContent>
  <bookViews>
    <workbookView xWindow="300" yWindow="-12" windowWidth="23700" windowHeight="10188" tabRatio="667" activeTab="1"/>
  </bookViews>
  <sheets>
    <sheet name="haircut" sheetId="7" r:id="rId1"/>
    <sheet name="assets" sheetId="56" r:id="rId2"/>
    <sheet name="expos" sheetId="4" r:id="rId3"/>
    <sheet name="pivot" sheetId="8" r:id="rId4"/>
    <sheet name="steps" sheetId="11" r:id="rId5"/>
    <sheet name="final" sheetId="12" r:id="rId6"/>
    <sheet name="sample_sort" sheetId="13" r:id="rId7"/>
    <sheet name="in" sheetId="15" r:id="rId8"/>
    <sheet name="out" sheetId="14" r:id="rId9"/>
    <sheet name="objModel" sheetId="16" r:id="rId10"/>
    <sheet name="expo_temp" sheetId="209" r:id="rId11"/>
    <sheet name="expo_results" sheetId="210" r:id="rId12"/>
    <sheet name="assets_results" sheetId="274" r:id="rId13"/>
    <sheet name="asst_temp" sheetId="278" r:id="rId14"/>
  </sheets>
  <functionGroups builtInGroupCount="18"/>
  <externalReferences>
    <externalReference r:id="rId15"/>
  </externalReferences>
  <definedNames>
    <definedName name="_xlnm._FilterDatabase" localSheetId="1" hidden="1">assets!#REF!</definedName>
    <definedName name="_xlnm._FilterDatabase" localSheetId="12" hidden="1">assets_results!$A$1:$AQ$4</definedName>
    <definedName name="_xlnm._FilterDatabase" localSheetId="13" hidden="1">asst_temp!$A$1:$AR$6</definedName>
    <definedName name="_xlnm._FilterDatabase" localSheetId="11" hidden="1">expo_results!$A$1:$O$2</definedName>
    <definedName name="_xlnm._FilterDatabase" localSheetId="10" hidden="1">expo_temp!$A$1:$O$6</definedName>
    <definedName name="_xlnm._FilterDatabase" localSheetId="2" hidden="1">expos!$A$1:$K$7</definedName>
    <definedName name="_xlnm._FilterDatabase" localSheetId="0" hidden="1">haircut!$A$1:$B$1</definedName>
    <definedName name="_xlnm._FilterDatabase" localSheetId="7" hidden="1">in!$D$1:$H$1</definedName>
    <definedName name="_xlnm._FilterDatabase" localSheetId="8" hidden="1">out!$D$1:$F$1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71027"/>
  <customWorkbookViews>
    <customWorkbookView name="exp" guid="{F4545DFF-08E6-4CDF-9134-6A3BEA3A7F51}" maximized="1" windowWidth="1596" windowHeight="678" activeSheetId="4"/>
  </customWorkbookViews>
  <pivotCaches>
    <pivotCache cacheId="0" r:id="rId16"/>
    <pivotCache cacheId="1" r:id="rId17"/>
  </pivotCaches>
</workbook>
</file>

<file path=xl/calcChain.xml><?xml version="1.0" encoding="utf-8"?>
<calcChain xmlns="http://schemas.openxmlformats.org/spreadsheetml/2006/main">
  <c r="O44" i="14" l="1"/>
  <c r="N44" i="14"/>
  <c r="M44" i="14"/>
  <c r="L44" i="14"/>
  <c r="K44" i="14"/>
  <c r="I44" i="14"/>
  <c r="B44" i="14"/>
  <c r="J44" i="14" s="1"/>
  <c r="O43" i="14"/>
  <c r="N43" i="14"/>
  <c r="M43" i="14"/>
  <c r="L43" i="14"/>
  <c r="K43" i="14"/>
  <c r="I43" i="14"/>
  <c r="H43" i="14"/>
  <c r="B43" i="14"/>
  <c r="J43" i="14" s="1"/>
  <c r="O42" i="14"/>
  <c r="N42" i="14"/>
  <c r="M42" i="14"/>
  <c r="L42" i="14"/>
  <c r="K42" i="14"/>
  <c r="J42" i="14"/>
  <c r="I42" i="14"/>
  <c r="H42" i="14"/>
  <c r="B42" i="14"/>
  <c r="O41" i="14"/>
  <c r="N41" i="14"/>
  <c r="M41" i="14"/>
  <c r="L41" i="14"/>
  <c r="K41" i="14"/>
  <c r="J41" i="14"/>
  <c r="I41" i="14"/>
  <c r="H41" i="14"/>
  <c r="B41" i="14"/>
  <c r="O40" i="14"/>
  <c r="N40" i="14"/>
  <c r="M40" i="14"/>
  <c r="L40" i="14"/>
  <c r="K40" i="14"/>
  <c r="J40" i="14"/>
  <c r="I40" i="14"/>
  <c r="H40" i="14"/>
  <c r="B40" i="14"/>
  <c r="O39" i="14"/>
  <c r="N39" i="14"/>
  <c r="M39" i="14"/>
  <c r="L39" i="14"/>
  <c r="K39" i="14"/>
  <c r="J39" i="14"/>
  <c r="I39" i="14"/>
  <c r="H39" i="14"/>
  <c r="B39" i="14"/>
  <c r="O38" i="14"/>
  <c r="N38" i="14"/>
  <c r="M38" i="14"/>
  <c r="L38" i="14"/>
  <c r="K38" i="14"/>
  <c r="J38" i="14"/>
  <c r="I38" i="14"/>
  <c r="H38" i="14"/>
  <c r="B38" i="14"/>
  <c r="O37" i="14"/>
  <c r="N37" i="14"/>
  <c r="M37" i="14"/>
  <c r="L37" i="14"/>
  <c r="K37" i="14"/>
  <c r="I37" i="14"/>
  <c r="H37" i="14"/>
  <c r="B37" i="14"/>
  <c r="J37" i="14" s="1"/>
  <c r="O36" i="14"/>
  <c r="N36" i="14"/>
  <c r="M36" i="14"/>
  <c r="L36" i="14"/>
  <c r="K36" i="14"/>
  <c r="I36" i="14"/>
  <c r="H36" i="14"/>
  <c r="B36" i="14"/>
  <c r="J36" i="14" s="1"/>
  <c r="O35" i="14"/>
  <c r="N35" i="14"/>
  <c r="M35" i="14"/>
  <c r="L35" i="14"/>
  <c r="K35" i="14"/>
  <c r="I35" i="14"/>
  <c r="H35" i="14"/>
  <c r="B35" i="14"/>
  <c r="J35" i="14" s="1"/>
  <c r="O34" i="14"/>
  <c r="N34" i="14"/>
  <c r="M34" i="14"/>
  <c r="L34" i="14"/>
  <c r="K34" i="14"/>
  <c r="J34" i="14"/>
  <c r="I34" i="14"/>
  <c r="H34" i="14"/>
  <c r="B34" i="14"/>
  <c r="O33" i="14"/>
  <c r="N33" i="14"/>
  <c r="M33" i="14"/>
  <c r="L33" i="14"/>
  <c r="K33" i="14"/>
  <c r="J33" i="14"/>
  <c r="I33" i="14"/>
  <c r="H33" i="14"/>
  <c r="B33" i="14"/>
  <c r="O32" i="14"/>
  <c r="N32" i="14"/>
  <c r="M32" i="14"/>
  <c r="L32" i="14"/>
  <c r="K32" i="14"/>
  <c r="J32" i="14"/>
  <c r="I32" i="14"/>
  <c r="H32" i="14"/>
  <c r="B32" i="14"/>
  <c r="O31" i="14"/>
  <c r="N31" i="14"/>
  <c r="M31" i="14"/>
  <c r="L31" i="14"/>
  <c r="K31" i="14"/>
  <c r="J31" i="14"/>
  <c r="I31" i="14"/>
  <c r="H31" i="14"/>
  <c r="B31" i="14"/>
  <c r="O30" i="14"/>
  <c r="N30" i="14"/>
  <c r="M30" i="14"/>
  <c r="L30" i="14"/>
  <c r="K30" i="14"/>
  <c r="J30" i="14"/>
  <c r="I30" i="14"/>
  <c r="B30" i="14"/>
  <c r="O29" i="14"/>
  <c r="N29" i="14"/>
  <c r="M29" i="14"/>
  <c r="L29" i="14"/>
  <c r="K29" i="14"/>
  <c r="J29" i="14"/>
  <c r="I29" i="14"/>
  <c r="B29" i="14"/>
  <c r="O28" i="14"/>
  <c r="N28" i="14"/>
  <c r="M28" i="14"/>
  <c r="L28" i="14"/>
  <c r="K28" i="14"/>
  <c r="J28" i="14"/>
  <c r="I28" i="14"/>
  <c r="B28" i="14"/>
  <c r="O27" i="14"/>
  <c r="N27" i="14"/>
  <c r="M27" i="14"/>
  <c r="L27" i="14"/>
  <c r="K27" i="14"/>
  <c r="J27" i="14"/>
  <c r="I27" i="14"/>
  <c r="B27" i="14"/>
  <c r="O26" i="14"/>
  <c r="N26" i="14"/>
  <c r="M26" i="14"/>
  <c r="L26" i="14"/>
  <c r="K26" i="14"/>
  <c r="J26" i="14"/>
  <c r="I26" i="14"/>
  <c r="B26" i="14"/>
  <c r="N25" i="14"/>
  <c r="M25" i="14"/>
  <c r="L25" i="14"/>
  <c r="K25" i="14"/>
  <c r="J25" i="14"/>
  <c r="I25" i="14"/>
  <c r="F25" i="14"/>
  <c r="O25" i="14" s="1"/>
  <c r="B25" i="14"/>
  <c r="O24" i="14"/>
  <c r="N24" i="14"/>
  <c r="M24" i="14"/>
  <c r="L24" i="14"/>
  <c r="K24" i="14"/>
  <c r="I24" i="14"/>
  <c r="F24" i="14"/>
  <c r="B24" i="14"/>
  <c r="J24" i="14" s="1"/>
  <c r="N23" i="14"/>
  <c r="F23" i="14"/>
  <c r="M23" i="14" s="1"/>
  <c r="B23" i="14"/>
  <c r="O22" i="14"/>
  <c r="I22" i="14"/>
  <c r="F22" i="14"/>
  <c r="N22" i="14" s="1"/>
  <c r="B22" i="14"/>
  <c r="F21" i="14"/>
  <c r="O21" i="14" s="1"/>
  <c r="B21" i="14"/>
  <c r="K20" i="14"/>
  <c r="J20" i="14"/>
  <c r="I20" i="14"/>
  <c r="F20" i="14"/>
  <c r="O20" i="14" s="1"/>
  <c r="B20" i="14"/>
  <c r="L19" i="14"/>
  <c r="K19" i="14"/>
  <c r="J19" i="14"/>
  <c r="I19" i="14"/>
  <c r="F19" i="14"/>
  <c r="O19" i="14" s="1"/>
  <c r="B19" i="14"/>
  <c r="AV18" i="14"/>
  <c r="AU18" i="14"/>
  <c r="AT18" i="14"/>
  <c r="AS18" i="14"/>
  <c r="AR18" i="14"/>
  <c r="AQ18" i="14"/>
  <c r="AP18" i="14"/>
  <c r="AO18" i="14"/>
  <c r="M18" i="14"/>
  <c r="L18" i="14"/>
  <c r="K18" i="14"/>
  <c r="J18" i="14"/>
  <c r="I18" i="14"/>
  <c r="F18" i="14"/>
  <c r="O18" i="14" s="1"/>
  <c r="B18" i="14"/>
  <c r="AV17" i="14"/>
  <c r="AU17" i="14"/>
  <c r="AT17" i="14"/>
  <c r="AS17" i="14"/>
  <c r="AR17" i="14"/>
  <c r="AQ17" i="14"/>
  <c r="AP17" i="14"/>
  <c r="AO17" i="14"/>
  <c r="N17" i="14"/>
  <c r="M17" i="14"/>
  <c r="L17" i="14"/>
  <c r="K17" i="14"/>
  <c r="J17" i="14"/>
  <c r="I17" i="14"/>
  <c r="F17" i="14"/>
  <c r="O17" i="14" s="1"/>
  <c r="B17" i="14"/>
  <c r="AV16" i="14"/>
  <c r="AU16" i="14"/>
  <c r="AT16" i="14"/>
  <c r="AS16" i="14"/>
  <c r="AR16" i="14"/>
  <c r="AQ16" i="14"/>
  <c r="AO16" i="14"/>
  <c r="AA16" i="14"/>
  <c r="Z16" i="14"/>
  <c r="Y16" i="14"/>
  <c r="X16" i="14"/>
  <c r="W16" i="14"/>
  <c r="V16" i="14"/>
  <c r="U16" i="14"/>
  <c r="O16" i="14"/>
  <c r="N16" i="14"/>
  <c r="M16" i="14"/>
  <c r="L16" i="14"/>
  <c r="K16" i="14"/>
  <c r="J16" i="14"/>
  <c r="I16" i="14"/>
  <c r="B16" i="14"/>
  <c r="AP16" i="14" s="1"/>
  <c r="AV15" i="14"/>
  <c r="AU15" i="14"/>
  <c r="AT15" i="14"/>
  <c r="AS15" i="14"/>
  <c r="AR15" i="14"/>
  <c r="AQ15" i="14"/>
  <c r="AO15" i="14"/>
  <c r="AA15" i="14"/>
  <c r="Z15" i="14"/>
  <c r="Y15" i="14"/>
  <c r="X15" i="14"/>
  <c r="W15" i="14"/>
  <c r="V15" i="14"/>
  <c r="U15" i="14"/>
  <c r="O15" i="14"/>
  <c r="N15" i="14"/>
  <c r="M15" i="14"/>
  <c r="L15" i="14"/>
  <c r="K15" i="14"/>
  <c r="J15" i="14"/>
  <c r="I15" i="14"/>
  <c r="B15" i="14"/>
  <c r="AP15" i="14" s="1"/>
  <c r="AV14" i="14"/>
  <c r="AU14" i="14"/>
  <c r="AT14" i="14"/>
  <c r="AS14" i="14"/>
  <c r="AR14" i="14"/>
  <c r="AQ14" i="14"/>
  <c r="AO14" i="14"/>
  <c r="AA14" i="14"/>
  <c r="Z14" i="14"/>
  <c r="Y14" i="14"/>
  <c r="X14" i="14"/>
  <c r="W14" i="14"/>
  <c r="V14" i="14"/>
  <c r="U14" i="14"/>
  <c r="O14" i="14"/>
  <c r="N14" i="14"/>
  <c r="M14" i="14"/>
  <c r="L14" i="14"/>
  <c r="K14" i="14"/>
  <c r="J14" i="14"/>
  <c r="I14" i="14"/>
  <c r="B14" i="14"/>
  <c r="AP14" i="14" s="1"/>
  <c r="AV13" i="14"/>
  <c r="AU13" i="14"/>
  <c r="AT13" i="14"/>
  <c r="AS13" i="14"/>
  <c r="AR13" i="14"/>
  <c r="AQ13" i="14"/>
  <c r="AO13" i="14"/>
  <c r="AA13" i="14"/>
  <c r="Z13" i="14"/>
  <c r="Y13" i="14"/>
  <c r="X13" i="14"/>
  <c r="W13" i="14"/>
  <c r="V13" i="14"/>
  <c r="U13" i="14"/>
  <c r="O13" i="14"/>
  <c r="N13" i="14"/>
  <c r="M13" i="14"/>
  <c r="L13" i="14"/>
  <c r="K13" i="14"/>
  <c r="J13" i="14"/>
  <c r="I13" i="14"/>
  <c r="B13" i="14"/>
  <c r="AP13" i="14" s="1"/>
  <c r="AV12" i="14"/>
  <c r="AU12" i="14"/>
  <c r="AT12" i="14"/>
  <c r="AS12" i="14"/>
  <c r="AR12" i="14"/>
  <c r="AQ12" i="14"/>
  <c r="AO12" i="14"/>
  <c r="AA12" i="14"/>
  <c r="Z12" i="14"/>
  <c r="Y12" i="14"/>
  <c r="X12" i="14"/>
  <c r="W12" i="14"/>
  <c r="U12" i="14"/>
  <c r="O12" i="14"/>
  <c r="N12" i="14"/>
  <c r="M12" i="14"/>
  <c r="L12" i="14"/>
  <c r="K12" i="14"/>
  <c r="I12" i="14"/>
  <c r="B12" i="14"/>
  <c r="J12" i="14" s="1"/>
  <c r="AV11" i="14"/>
  <c r="AU11" i="14"/>
  <c r="AT11" i="14"/>
  <c r="AS11" i="14"/>
  <c r="AR11" i="14"/>
  <c r="AQ11" i="14"/>
  <c r="AO11" i="14"/>
  <c r="S11" i="14"/>
  <c r="AA11" i="14" s="1"/>
  <c r="O11" i="14"/>
  <c r="N11" i="14"/>
  <c r="M11" i="14"/>
  <c r="L11" i="14"/>
  <c r="K11" i="14"/>
  <c r="I11" i="14"/>
  <c r="B11" i="14"/>
  <c r="J11" i="14" s="1"/>
  <c r="AV10" i="14"/>
  <c r="AU10" i="14"/>
  <c r="AT10" i="14"/>
  <c r="AS10" i="14"/>
  <c r="AR10" i="14"/>
  <c r="AQ10" i="14"/>
  <c r="AO10" i="14"/>
  <c r="S10" i="14"/>
  <c r="AA10" i="14" s="1"/>
  <c r="O10" i="14"/>
  <c r="N10" i="14"/>
  <c r="M10" i="14"/>
  <c r="L10" i="14"/>
  <c r="K10" i="14"/>
  <c r="I10" i="14"/>
  <c r="B10" i="14"/>
  <c r="J10" i="14" s="1"/>
  <c r="AV9" i="14"/>
  <c r="AU9" i="14"/>
  <c r="AT9" i="14"/>
  <c r="AS9" i="14"/>
  <c r="AR9" i="14"/>
  <c r="AQ9" i="14"/>
  <c r="AO9" i="14"/>
  <c r="S9" i="14"/>
  <c r="AA9" i="14" s="1"/>
  <c r="O9" i="14"/>
  <c r="N9" i="14"/>
  <c r="M9" i="14"/>
  <c r="L9" i="14"/>
  <c r="K9" i="14"/>
  <c r="I9" i="14"/>
  <c r="B9" i="14"/>
  <c r="J9" i="14" s="1"/>
  <c r="AV8" i="14"/>
  <c r="AU8" i="14"/>
  <c r="AT8" i="14"/>
  <c r="AS8" i="14"/>
  <c r="AR8" i="14"/>
  <c r="AQ8" i="14"/>
  <c r="AO8" i="14"/>
  <c r="AA8" i="14"/>
  <c r="Z8" i="14"/>
  <c r="Y8" i="14"/>
  <c r="X8" i="14"/>
  <c r="W8" i="14"/>
  <c r="V8" i="14"/>
  <c r="U8" i="14"/>
  <c r="O8" i="14"/>
  <c r="N8" i="14"/>
  <c r="M8" i="14"/>
  <c r="L8" i="14"/>
  <c r="K8" i="14"/>
  <c r="I8" i="14"/>
  <c r="B8" i="14"/>
  <c r="J8" i="14" s="1"/>
  <c r="AV7" i="14"/>
  <c r="AU7" i="14"/>
  <c r="AT7" i="14"/>
  <c r="AS7" i="14"/>
  <c r="AR7" i="14"/>
  <c r="AQ7" i="14"/>
  <c r="AO7" i="14"/>
  <c r="AA7" i="14"/>
  <c r="Z7" i="14"/>
  <c r="Y7" i="14"/>
  <c r="X7" i="14"/>
  <c r="W7" i="14"/>
  <c r="U7" i="14"/>
  <c r="O7" i="14"/>
  <c r="N7" i="14"/>
  <c r="M7" i="14"/>
  <c r="L7" i="14"/>
  <c r="K7" i="14"/>
  <c r="I7" i="14"/>
  <c r="B7" i="14"/>
  <c r="AP7" i="14" s="1"/>
  <c r="AV6" i="14"/>
  <c r="AU6" i="14"/>
  <c r="AT6" i="14"/>
  <c r="AS6" i="14"/>
  <c r="AR6" i="14"/>
  <c r="AQ6" i="14"/>
  <c r="AO6" i="14"/>
  <c r="AA6" i="14"/>
  <c r="Z6" i="14"/>
  <c r="Y6" i="14"/>
  <c r="X6" i="14"/>
  <c r="W6" i="14"/>
  <c r="U6" i="14"/>
  <c r="O6" i="14"/>
  <c r="N6" i="14"/>
  <c r="M6" i="14"/>
  <c r="L6" i="14"/>
  <c r="K6" i="14"/>
  <c r="I6" i="14"/>
  <c r="F6" i="14"/>
  <c r="B6" i="14"/>
  <c r="J6" i="14" s="1"/>
  <c r="AV5" i="14"/>
  <c r="AU5" i="14"/>
  <c r="AT5" i="14"/>
  <c r="AS5" i="14"/>
  <c r="AR5" i="14"/>
  <c r="AQ5" i="14"/>
  <c r="AO5" i="14"/>
  <c r="AA5" i="14"/>
  <c r="Z5" i="14"/>
  <c r="Y5" i="14"/>
  <c r="X5" i="14"/>
  <c r="W5" i="14"/>
  <c r="U5" i="14"/>
  <c r="O5" i="14"/>
  <c r="N5" i="14"/>
  <c r="M5" i="14"/>
  <c r="L5" i="14"/>
  <c r="K5" i="14"/>
  <c r="I5" i="14"/>
  <c r="F5" i="14"/>
  <c r="B5" i="14"/>
  <c r="J5" i="14" s="1"/>
  <c r="AV4" i="14"/>
  <c r="AU4" i="14"/>
  <c r="AT4" i="14"/>
  <c r="AS4" i="14"/>
  <c r="AR4" i="14"/>
  <c r="AQ4" i="14"/>
  <c r="AO4" i="14"/>
  <c r="Z4" i="14"/>
  <c r="S4" i="14"/>
  <c r="Y4" i="14" s="1"/>
  <c r="N4" i="14"/>
  <c r="F4" i="14"/>
  <c r="M4" i="14" s="1"/>
  <c r="B4" i="14"/>
  <c r="AP4" i="14" s="1"/>
  <c r="AV3" i="14"/>
  <c r="AU3" i="14"/>
  <c r="AT3" i="14"/>
  <c r="AS3" i="14"/>
  <c r="AR3" i="14"/>
  <c r="AQ3" i="14"/>
  <c r="AO3" i="14"/>
  <c r="AA3" i="14"/>
  <c r="U3" i="14"/>
  <c r="S3" i="14"/>
  <c r="Z3" i="14" s="1"/>
  <c r="O3" i="14"/>
  <c r="I3" i="14"/>
  <c r="F3" i="14"/>
  <c r="N3" i="14" s="1"/>
  <c r="B3" i="14"/>
  <c r="AP3" i="14" s="1"/>
  <c r="AV2" i="14"/>
  <c r="AU2" i="14"/>
  <c r="AT2" i="14"/>
  <c r="AS2" i="14"/>
  <c r="AR2" i="14"/>
  <c r="AQ2" i="14"/>
  <c r="AP2" i="14"/>
  <c r="AO2" i="14"/>
  <c r="S2" i="14"/>
  <c r="AA2" i="14" s="1"/>
  <c r="F2" i="14"/>
  <c r="O2" i="14" s="1"/>
  <c r="B2" i="14"/>
  <c r="B27" i="15"/>
  <c r="P26" i="15"/>
  <c r="F26" i="15"/>
  <c r="B26" i="15"/>
  <c r="P25" i="15"/>
  <c r="F25" i="15"/>
  <c r="B25" i="15"/>
  <c r="F24" i="15"/>
  <c r="P24" i="15" s="1"/>
  <c r="B24" i="15"/>
  <c r="P23" i="15"/>
  <c r="F23" i="15"/>
  <c r="B23" i="15"/>
  <c r="F22" i="15"/>
  <c r="P22" i="15" s="1"/>
  <c r="B22" i="15"/>
  <c r="P21" i="15"/>
  <c r="F21" i="15"/>
  <c r="B21" i="15"/>
  <c r="F20" i="15"/>
  <c r="P20" i="15" s="1"/>
  <c r="B20" i="15"/>
  <c r="P19" i="15"/>
  <c r="F19" i="15"/>
  <c r="B19" i="15"/>
  <c r="P18" i="15"/>
  <c r="F18" i="15"/>
  <c r="B18" i="15"/>
  <c r="R18" i="15" s="1"/>
  <c r="R17" i="15"/>
  <c r="P17" i="15"/>
  <c r="B17" i="15"/>
  <c r="R16" i="15"/>
  <c r="P16" i="15"/>
  <c r="B16" i="15"/>
  <c r="P15" i="15"/>
  <c r="B15" i="15"/>
  <c r="R15" i="15" s="1"/>
  <c r="R14" i="15"/>
  <c r="P14" i="15"/>
  <c r="B14" i="15"/>
  <c r="R13" i="15"/>
  <c r="P13" i="15"/>
  <c r="B13" i="15"/>
  <c r="P12" i="15"/>
  <c r="B12" i="15"/>
  <c r="R12" i="15" s="1"/>
  <c r="R11" i="15"/>
  <c r="P11" i="15"/>
  <c r="B11" i="15"/>
  <c r="Q10" i="15"/>
  <c r="P10" i="15"/>
  <c r="B10" i="15"/>
  <c r="S10" i="15" s="1"/>
  <c r="Q9" i="15"/>
  <c r="P9" i="15"/>
  <c r="K9" i="15"/>
  <c r="B9" i="15"/>
  <c r="S9" i="15" s="1"/>
  <c r="S8" i="15"/>
  <c r="R8" i="15"/>
  <c r="Q8" i="15"/>
  <c r="P8" i="15"/>
  <c r="K8" i="15"/>
  <c r="B8" i="15"/>
  <c r="R7" i="15"/>
  <c r="Q7" i="15"/>
  <c r="P7" i="15"/>
  <c r="K7" i="15"/>
  <c r="F7" i="15"/>
  <c r="B7" i="15"/>
  <c r="S7" i="15" s="1"/>
  <c r="Q6" i="15"/>
  <c r="F6" i="15"/>
  <c r="R6" i="15" s="1"/>
  <c r="B6" i="15"/>
  <c r="S6" i="15" s="1"/>
  <c r="Q5" i="15"/>
  <c r="F5" i="15"/>
  <c r="R5" i="15" s="1"/>
  <c r="B5" i="15"/>
  <c r="S5" i="15" s="1"/>
  <c r="S4" i="15"/>
  <c r="R4" i="15"/>
  <c r="Q4" i="15"/>
  <c r="P4" i="15"/>
  <c r="F4" i="15"/>
  <c r="B4" i="15"/>
  <c r="S3" i="15"/>
  <c r="R3" i="15"/>
  <c r="Q3" i="15"/>
  <c r="F3" i="15"/>
  <c r="P3" i="15" s="1"/>
  <c r="B3" i="15"/>
  <c r="B2" i="15"/>
  <c r="H9" i="13"/>
  <c r="G9" i="13"/>
  <c r="F9" i="13"/>
  <c r="D9" i="13"/>
  <c r="H8" i="13"/>
  <c r="G8" i="13"/>
  <c r="F8" i="13"/>
  <c r="D8" i="13"/>
  <c r="H7" i="13"/>
  <c r="G7" i="13"/>
  <c r="F7" i="13"/>
  <c r="D7" i="13"/>
  <c r="H6" i="13"/>
  <c r="G6" i="13"/>
  <c r="F6" i="13"/>
  <c r="D6" i="13"/>
  <c r="H5" i="13"/>
  <c r="G5" i="13"/>
  <c r="F5" i="13"/>
  <c r="D5" i="13"/>
  <c r="H4" i="13"/>
  <c r="G4" i="13"/>
  <c r="F4" i="13"/>
  <c r="D4" i="13"/>
  <c r="H3" i="13"/>
  <c r="G3" i="13"/>
  <c r="F3" i="13"/>
  <c r="D3" i="13"/>
  <c r="H2" i="13"/>
  <c r="G2" i="13"/>
  <c r="F2" i="13"/>
  <c r="D2" i="13"/>
  <c r="I14" i="11"/>
  <c r="H14" i="11"/>
  <c r="G14" i="11"/>
  <c r="E14" i="11"/>
  <c r="D14" i="11"/>
  <c r="C14" i="11"/>
  <c r="I13" i="11"/>
  <c r="H13" i="11"/>
  <c r="G13" i="11"/>
  <c r="D13" i="11"/>
  <c r="C13" i="11"/>
  <c r="J13" i="11" s="1"/>
  <c r="I12" i="11"/>
  <c r="H12" i="11"/>
  <c r="G12" i="11"/>
  <c r="E12" i="11"/>
  <c r="D12" i="11"/>
  <c r="C12" i="11"/>
  <c r="I11" i="11"/>
  <c r="H11" i="11"/>
  <c r="G11" i="11"/>
  <c r="D11" i="11"/>
  <c r="C11" i="11"/>
  <c r="I10" i="11"/>
  <c r="H10" i="11"/>
  <c r="G10" i="11"/>
  <c r="D10" i="11"/>
  <c r="C10" i="11"/>
  <c r="J10" i="11" s="1"/>
  <c r="I9" i="11"/>
  <c r="H9" i="11"/>
  <c r="G9" i="11"/>
  <c r="D9" i="11"/>
  <c r="C9" i="11"/>
  <c r="I8" i="11"/>
  <c r="H8" i="11"/>
  <c r="G8" i="11"/>
  <c r="E8" i="11"/>
  <c r="D8" i="11"/>
  <c r="C8" i="11"/>
  <c r="I7" i="11"/>
  <c r="H7" i="11"/>
  <c r="G7" i="11"/>
  <c r="D7" i="11"/>
  <c r="C7" i="11"/>
  <c r="J7" i="11" s="1"/>
  <c r="I6" i="11"/>
  <c r="H6" i="11"/>
  <c r="G6" i="11"/>
  <c r="D6" i="11"/>
  <c r="C6" i="11"/>
  <c r="I5" i="11"/>
  <c r="H5" i="11"/>
  <c r="G5" i="11"/>
  <c r="E5" i="11"/>
  <c r="D5" i="11"/>
  <c r="C5" i="11"/>
  <c r="I4" i="11"/>
  <c r="H4" i="11"/>
  <c r="G4" i="11"/>
  <c r="E4" i="11"/>
  <c r="D4" i="11"/>
  <c r="C4" i="11"/>
  <c r="J4" i="11" s="1"/>
  <c r="I3" i="11"/>
  <c r="H3" i="11"/>
  <c r="G3" i="11"/>
  <c r="D3" i="11"/>
  <c r="C3" i="11"/>
  <c r="I2" i="11"/>
  <c r="H2" i="11"/>
  <c r="G2" i="11"/>
  <c r="E2" i="11"/>
  <c r="D2" i="11"/>
  <c r="C2" i="11"/>
  <c r="G8" i="8"/>
  <c r="G7" i="8"/>
  <c r="G6" i="8"/>
  <c r="G5" i="8"/>
  <c r="H4" i="8"/>
  <c r="G4" i="8"/>
  <c r="F7" i="4"/>
  <c r="F6" i="4"/>
  <c r="F5" i="4"/>
  <c r="F4" i="4"/>
  <c r="F3" i="4"/>
  <c r="F2" i="4"/>
  <c r="AC9" i="56"/>
  <c r="AB9" i="56"/>
  <c r="Z9" i="56"/>
  <c r="M9" i="56"/>
  <c r="AC8" i="56"/>
  <c r="AB8" i="56"/>
  <c r="Z8" i="56"/>
  <c r="M8" i="56"/>
  <c r="AC7" i="56"/>
  <c r="AB7" i="56"/>
  <c r="Z7" i="56"/>
  <c r="M7" i="56"/>
  <c r="AC6" i="56"/>
  <c r="AB6" i="56"/>
  <c r="Z6" i="56"/>
  <c r="M6" i="56"/>
  <c r="AC5" i="56"/>
  <c r="AB5" i="56"/>
  <c r="Z5" i="56"/>
  <c r="M5" i="56"/>
  <c r="AC4" i="56"/>
  <c r="AB4" i="56"/>
  <c r="Z4" i="56"/>
  <c r="M4" i="56"/>
  <c r="AC3" i="56"/>
  <c r="AB3" i="56"/>
  <c r="Z3" i="56"/>
  <c r="M3" i="56"/>
  <c r="AC2" i="56"/>
  <c r="AB2" i="56"/>
  <c r="Z2" i="56"/>
  <c r="M2" i="56"/>
  <c r="AP12" i="14" l="1"/>
  <c r="P6" i="15"/>
  <c r="I2" i="14"/>
  <c r="U2" i="14"/>
  <c r="O4" i="14"/>
  <c r="AA4" i="14"/>
  <c r="AP8" i="14"/>
  <c r="U9" i="14"/>
  <c r="AP9" i="14"/>
  <c r="U10" i="14"/>
  <c r="AP10" i="14"/>
  <c r="U11" i="14"/>
  <c r="AP11" i="14"/>
  <c r="V12" i="14"/>
  <c r="I21" i="14"/>
  <c r="O23" i="14"/>
  <c r="J2" i="14"/>
  <c r="J3" i="11"/>
  <c r="J12" i="11"/>
  <c r="P5" i="15"/>
  <c r="R10" i="15"/>
  <c r="K2" i="14"/>
  <c r="W2" i="14"/>
  <c r="J3" i="14"/>
  <c r="V3" i="14"/>
  <c r="I4" i="14"/>
  <c r="U4" i="14"/>
  <c r="AP5" i="14"/>
  <c r="AP6" i="14"/>
  <c r="V7" i="14"/>
  <c r="W9" i="14"/>
  <c r="W10" i="14"/>
  <c r="W11" i="14"/>
  <c r="N18" i="14"/>
  <c r="M19" i="14"/>
  <c r="L20" i="14"/>
  <c r="K21" i="14"/>
  <c r="J22" i="14"/>
  <c r="I23" i="14"/>
  <c r="V2" i="14"/>
  <c r="V11" i="14"/>
  <c r="J6" i="11"/>
  <c r="K6" i="11" s="1"/>
  <c r="J9" i="11"/>
  <c r="L2" i="14"/>
  <c r="X2" i="14"/>
  <c r="K3" i="14"/>
  <c r="W3" i="14"/>
  <c r="J4" i="14"/>
  <c r="V4" i="14"/>
  <c r="V5" i="14"/>
  <c r="V6" i="14"/>
  <c r="J7" i="14"/>
  <c r="X9" i="14"/>
  <c r="X10" i="14"/>
  <c r="X11" i="14"/>
  <c r="N19" i="14"/>
  <c r="M20" i="14"/>
  <c r="L21" i="14"/>
  <c r="K22" i="14"/>
  <c r="J23" i="14"/>
  <c r="V10" i="14"/>
  <c r="J2" i="11"/>
  <c r="K2" i="11" s="1"/>
  <c r="L2" i="11" s="1"/>
  <c r="M2" i="11" s="1"/>
  <c r="M2" i="14"/>
  <c r="Y2" i="14"/>
  <c r="L3" i="14"/>
  <c r="X3" i="14"/>
  <c r="K4" i="14"/>
  <c r="W4" i="14"/>
  <c r="Y9" i="14"/>
  <c r="Y10" i="14"/>
  <c r="Y11" i="14"/>
  <c r="N20" i="14"/>
  <c r="M21" i="14"/>
  <c r="L22" i="14"/>
  <c r="K23" i="14"/>
  <c r="J5" i="11"/>
  <c r="J14" i="11"/>
  <c r="K14" i="11" s="1"/>
  <c r="L14" i="11" s="1"/>
  <c r="M14" i="11" s="1"/>
  <c r="R9" i="15"/>
  <c r="N2" i="14"/>
  <c r="Z2" i="14"/>
  <c r="M3" i="14"/>
  <c r="Y3" i="14"/>
  <c r="L4" i="14"/>
  <c r="X4" i="14"/>
  <c r="Z9" i="14"/>
  <c r="Z10" i="14"/>
  <c r="Z11" i="14"/>
  <c r="N21" i="14"/>
  <c r="M22" i="14"/>
  <c r="L23" i="14"/>
  <c r="V9" i="14"/>
  <c r="J21" i="14"/>
  <c r="J8" i="11"/>
  <c r="J11" i="11"/>
  <c r="K3" i="11"/>
  <c r="K11" i="11"/>
  <c r="K7" i="11"/>
  <c r="K10" i="11"/>
  <c r="K12" i="11"/>
  <c r="L12" i="11" s="1"/>
  <c r="K4" i="11"/>
  <c r="L4" i="11" s="1"/>
  <c r="K8" i="11"/>
  <c r="L8" i="11" s="1"/>
  <c r="K13" i="11"/>
  <c r="K9" i="11"/>
  <c r="K5" i="11"/>
  <c r="L5" i="11" s="1"/>
  <c r="O2" i="11" l="1"/>
  <c r="E3" i="11"/>
  <c r="L3" i="11"/>
  <c r="M3" i="11" s="1"/>
  <c r="O14" i="11"/>
  <c r="O8" i="11"/>
  <c r="M8" i="11"/>
  <c r="P8" i="11" s="1"/>
  <c r="E9" i="11"/>
  <c r="L9" i="11" s="1"/>
  <c r="M9" i="11" s="1"/>
  <c r="M4" i="11"/>
  <c r="N4" i="11" s="1"/>
  <c r="O4" i="11"/>
  <c r="P14" i="11"/>
  <c r="N14" i="11"/>
  <c r="E13" i="11"/>
  <c r="L13" i="11" s="1"/>
  <c r="O12" i="11"/>
  <c r="M12" i="11"/>
  <c r="N2" i="11"/>
  <c r="P2" i="11"/>
  <c r="M5" i="11"/>
  <c r="O5" i="11"/>
  <c r="E6" i="11" l="1"/>
  <c r="L6" i="11" s="1"/>
  <c r="M6" i="11" s="1"/>
  <c r="N8" i="11"/>
  <c r="O3" i="11"/>
  <c r="O9" i="11"/>
  <c r="P4" i="11"/>
  <c r="E10" i="11"/>
  <c r="L10" i="11" s="1"/>
  <c r="O10" i="11" s="1"/>
  <c r="E11" i="11"/>
  <c r="L11" i="11" s="1"/>
  <c r="M11" i="11" s="1"/>
  <c r="P12" i="11"/>
  <c r="N12" i="11"/>
  <c r="P3" i="11"/>
  <c r="N3" i="11"/>
  <c r="N9" i="11"/>
  <c r="P9" i="11"/>
  <c r="M13" i="11"/>
  <c r="O13" i="11"/>
  <c r="N5" i="11"/>
  <c r="P5" i="11"/>
  <c r="O6" i="11" l="1"/>
  <c r="E7" i="11"/>
  <c r="L7" i="11" s="1"/>
  <c r="O7" i="11" s="1"/>
  <c r="M10" i="11"/>
  <c r="P10" i="11" s="1"/>
  <c r="O11" i="11"/>
  <c r="P6" i="11"/>
  <c r="N6" i="11"/>
  <c r="N13" i="11"/>
  <c r="P13" i="11"/>
  <c r="P11" i="11"/>
  <c r="N11" i="11"/>
  <c r="M7" i="11" l="1"/>
  <c r="P7" i="11" s="1"/>
  <c r="N10" i="11"/>
  <c r="N7" i="11" l="1"/>
</calcChain>
</file>

<file path=xl/sharedStrings.xml><?xml version="1.0" encoding="utf-8"?>
<sst xmlns="http://schemas.openxmlformats.org/spreadsheetml/2006/main" count="948" uniqueCount="358">
  <si>
    <t>Client</t>
  </si>
  <si>
    <t>PLV</t>
  </si>
  <si>
    <t>ELV</t>
  </si>
  <si>
    <t>PLV/ELV</t>
  </si>
  <si>
    <t>ELV %</t>
  </si>
  <si>
    <t>PLV %</t>
  </si>
  <si>
    <t>Name\Code</t>
  </si>
  <si>
    <t>PE</t>
  </si>
  <si>
    <t>NPE</t>
  </si>
  <si>
    <t>Haircuts</t>
  </si>
  <si>
    <t>CCY</t>
  </si>
  <si>
    <t>MV</t>
  </si>
  <si>
    <t>A</t>
  </si>
  <si>
    <t>Position</t>
  </si>
  <si>
    <t>Position Type</t>
  </si>
  <si>
    <t>MS</t>
  </si>
  <si>
    <t>NMS</t>
  </si>
  <si>
    <t>USD</t>
  </si>
  <si>
    <t>Cash</t>
  </si>
  <si>
    <t>Common Stocks</t>
  </si>
  <si>
    <t>Equity</t>
  </si>
  <si>
    <t>Fixed Income</t>
  </si>
  <si>
    <t>PE / NPE / Deriv</t>
  </si>
  <si>
    <t>Expo Amount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</si>
  <si>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</si>
  <si>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</si>
  <si>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</si>
  <si>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</si>
  <si>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</si>
  <si>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</si>
  <si>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</si>
  <si>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</si>
  <si>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</si>
  <si>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</si>
  <si>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</si>
  <si>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</si>
  <si>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</si>
  <si>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</si>
  <si>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</si>
  <si>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</si>
  <si>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</si>
  <si>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</si>
  <si>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</si>
  <si>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</si>
  <si>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</si>
  <si>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</si>
  <si>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</si>
  <si>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</si>
  <si>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</si>
  <si>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</si>
  <si>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</si>
  <si>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</si>
  <si>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</si>
  <si>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</si>
  <si>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</si>
  <si>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</si>
  <si>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</si>
  <si>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</si>
  <si>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</si>
  <si>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</si>
  <si>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</si>
  <si>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</si>
  <si>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</si>
  <si>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</si>
  <si>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</si>
  <si>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</si>
  <si>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</si>
  <si>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ARS,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</si>
  <si>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</si>
  <si>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</si>
  <si>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</si>
  <si>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</si>
  <si>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</si>
  <si>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</si>
  <si>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</si>
  <si>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</si>
  <si>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</si>
  <si>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</si>
  <si>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Row Labels</t>
  </si>
  <si>
    <t>Grand Total</t>
  </si>
  <si>
    <t>Count of CCY</t>
  </si>
  <si>
    <t>Step</t>
  </si>
  <si>
    <t>Asset</t>
  </si>
  <si>
    <t>L Value</t>
  </si>
  <si>
    <t>Expo</t>
  </si>
  <si>
    <t>Amt</t>
  </si>
  <si>
    <t>LV w HC</t>
  </si>
  <si>
    <t>LV wo HC</t>
  </si>
  <si>
    <t>HC Choice</t>
  </si>
  <si>
    <t>Expo CCY</t>
  </si>
  <si>
    <t>Asset CCY</t>
  </si>
  <si>
    <t>P1</t>
  </si>
  <si>
    <t>P2</t>
  </si>
  <si>
    <t>P3</t>
  </si>
  <si>
    <t>P4</t>
  </si>
  <si>
    <t>P5</t>
  </si>
  <si>
    <t>P6</t>
  </si>
  <si>
    <t>(blank)</t>
  </si>
  <si>
    <t>Expo tag</t>
  </si>
  <si>
    <t>Pos Tag</t>
  </si>
  <si>
    <t>Group</t>
  </si>
  <si>
    <t>Sum of Expo Amount</t>
  </si>
  <si>
    <t>Count of Group</t>
  </si>
  <si>
    <t>P7</t>
  </si>
  <si>
    <t>P8</t>
  </si>
  <si>
    <t>skip</t>
  </si>
  <si>
    <t>commnet</t>
  </si>
  <si>
    <t>hard code prev group</t>
  </si>
  <si>
    <t>Rem Expo</t>
  </si>
  <si>
    <t>Rem LV</t>
  </si>
  <si>
    <t>Type</t>
  </si>
  <si>
    <t>Rem</t>
  </si>
  <si>
    <t>USD consump group exhausted</t>
  </si>
  <si>
    <t>initial order</t>
  </si>
  <si>
    <t>Cusip sort - relative ordering</t>
  </si>
  <si>
    <t>Final order based in busuness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</si>
  <si>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</si>
  <si>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</si>
  <si>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</si>
  <si>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</si>
  <si>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</si>
  <si>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</si>
  <si>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</si>
  <si>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</si>
  <si>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</si>
  <si>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</si>
  <si>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</si>
  <si>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</si>
  <si>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</si>
  <si>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</si>
  <si>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</si>
  <si>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</si>
  <si>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</si>
  <si>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Exposure Currency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</si>
  <si>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</si>
  <si>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</si>
  <si>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</si>
  <si>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</si>
  <si>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</si>
  <si>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</si>
  <si>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</si>
  <si>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</si>
  <si>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</si>
  <si>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</si>
  <si>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</si>
  <si>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</si>
  <si>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</si>
  <si>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</si>
  <si>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</si>
  <si>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</si>
  <si>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</si>
  <si>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</si>
  <si>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</si>
  <si>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</si>
  <si>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Priority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</si>
  <si>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</si>
  <si>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</si>
  <si>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</si>
  <si>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</si>
  <si>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</si>
  <si>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</si>
  <si>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</si>
  <si>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</si>
  <si>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</si>
  <si>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</si>
  <si>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</si>
  <si>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</si>
  <si>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</si>
  <si>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</si>
  <si>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</si>
  <si>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</si>
  <si>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</si>
  <si>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</si>
  <si>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</si>
  <si>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</si>
  <si>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</si>
  <si>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</si>
  <si>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</si>
  <si>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</si>
  <si>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</si>
  <si>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</si>
  <si>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</si>
  <si>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</si>
  <si>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Keep appending?</t>
  </si>
  <si>
    <t>hc</t>
  </si>
  <si>
    <t>status</t>
  </si>
  <si>
    <t>expoAmt</t>
  </si>
  <si>
    <t>remAmt</t>
  </si>
  <si>
    <t>ExpoGroup</t>
  </si>
  <si>
    <t>pos config</t>
  </si>
  <si>
    <t>expo gp config</t>
  </si>
  <si>
    <t>ECI</t>
  </si>
  <si>
    <t>clientDesc</t>
  </si>
  <si>
    <t>Sl No</t>
  </si>
  <si>
    <t>client</t>
  </si>
  <si>
    <t>expoID</t>
  </si>
  <si>
    <t>Exposure Group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</si>
  <si>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</si>
  <si>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</si>
  <si>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</si>
  <si>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</si>
  <si>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</si>
  <si>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</si>
  <si>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</si>
  <si>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</si>
  <si>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</si>
  <si>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</si>
  <si>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</si>
  <si>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</si>
  <si>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</si>
  <si>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</si>
  <si>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</si>
  <si>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</si>
  <si>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</si>
  <si>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</si>
  <si>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</si>
  <si>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</si>
  <si>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</si>
  <si>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</si>
  <si>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</si>
  <si>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</si>
  <si>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</si>
  <si>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Not Consumed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</si>
  <si>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</si>
  <si>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</si>
  <si>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</si>
  <si>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</si>
  <si>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</si>
  <si>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</si>
  <si>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</si>
  <si>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</si>
  <si>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</si>
  <si>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Arrangement Haircut Override</t>
  </si>
  <si>
    <t>Arrangement Haircut Override Expiry Date</t>
  </si>
  <si>
    <t>Arrangement Haircut On / Off</t>
  </si>
  <si>
    <t>Currency Haircut On / Off</t>
  </si>
  <si>
    <t>Position Haircut Override</t>
  </si>
  <si>
    <t>Position Haircut Override Expiry Date</t>
  </si>
  <si>
    <t>Position Haircut On / Off</t>
  </si>
  <si>
    <t>Facility Haircut Override</t>
  </si>
  <si>
    <t>Facility Haircut Override Expiry Date</t>
  </si>
  <si>
    <t>Facility Haircut On / Off</t>
  </si>
  <si>
    <t>Arr Schedule</t>
  </si>
  <si>
    <t>Exposure 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</si>
  <si>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</si>
  <si>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</si>
  <si>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</si>
  <si>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</si>
  <si>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</si>
  <si>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</si>
  <si>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</si>
  <si>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</si>
  <si>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</si>
  <si>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</si>
  <si>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</si>
  <si>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</si>
  <si>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</si>
  <si>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</si>
  <si>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</si>
  <si>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Assets</t>
  </si>
  <si>
    <t>ExpoGroups</t>
  </si>
  <si>
    <t>Exposure</t>
  </si>
  <si>
    <t>Exposures</t>
  </si>
  <si>
    <t>vars</t>
  </si>
  <si>
    <t>cols</t>
  </si>
  <si>
    <t>titles</t>
  </si>
  <si>
    <t>pAssets</t>
  </si>
  <si>
    <t>Update</t>
  </si>
  <si>
    <t>the for loop reading of assets</t>
  </si>
  <si>
    <t>updates AssetResults if consumed</t>
  </si>
  <si>
    <t>makes the copy in temp and updates based on the object model</t>
  </si>
  <si>
    <t>Read</t>
  </si>
  <si>
    <t>default</t>
  </si>
  <si>
    <t>"-1"</t>
  </si>
  <si>
    <t>Prefixes</t>
  </si>
  <si>
    <t>asstSheetName = "assets"</t>
  </si>
  <si>
    <t>expoSheetName = "expos"</t>
  </si>
  <si>
    <t>store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</si>
  <si>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</si>
  <si>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</si>
  <si>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</si>
  <si>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</si>
  <si>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</si>
  <si>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</si>
  <si>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</si>
  <si>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</si>
  <si>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</si>
  <si>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</si>
  <si>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</si>
  <si>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</si>
  <si>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</si>
  <si>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</si>
  <si>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FAC Haircut Override</t>
  </si>
  <si>
    <t>FAC Haircut Override Expiry Date</t>
  </si>
  <si>
    <t>FAC Haircut On / Off</t>
  </si>
  <si>
    <t>Exposure List</t>
  </si>
  <si>
    <t>expoList</t>
  </si>
  <si>
    <t>hcOverrideFAC</t>
  </si>
  <si>
    <t>hcExpiryFAC</t>
  </si>
  <si>
    <t>hcFlagFAC</t>
  </si>
  <si>
    <t>Not Started</t>
  </si>
  <si>
    <t>A1</t>
  </si>
  <si>
    <t>OMN</t>
  </si>
  <si>
    <t>A2.1</t>
  </si>
  <si>
    <t>IPB</t>
  </si>
  <si>
    <t>A2.2</t>
  </si>
  <si>
    <t>A2</t>
  </si>
  <si>
    <t>A3</t>
  </si>
  <si>
    <t>A4</t>
  </si>
  <si>
    <t>A5</t>
  </si>
  <si>
    <t>A6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</si>
  <si>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</si>
  <si>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</si>
  <si>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</si>
  <si>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</si>
  <si>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</si>
  <si>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</si>
  <si>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</si>
  <si>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</si>
  <si>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</si>
  <si>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</si>
  <si>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</si>
  <si>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</si>
  <si>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</si>
  <si>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</si>
  <si>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</si>
  <si>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</si>
  <si>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</si>
  <si>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</si>
  <si>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</si>
  <si>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</si>
  <si>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</si>
  <si>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</si>
  <si>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</si>
  <si>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</si>
  <si>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</si>
  <si>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</si>
  <si>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</si>
  <si>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</si>
  <si>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</si>
  <si>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</si>
  <si>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</si>
  <si>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</si>
  <si>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ID</t>
  </si>
  <si>
    <t>EXP</t>
  </si>
  <si>
    <t>E1</t>
  </si>
  <si>
    <t>E2</t>
  </si>
  <si>
    <t>E3</t>
  </si>
  <si>
    <t>E4</t>
  </si>
  <si>
    <t>E5</t>
  </si>
  <si>
    <t>E6</t>
  </si>
  <si>
    <t>E1, E2</t>
  </si>
  <si>
    <t>stepSheetName = "steps"</t>
  </si>
  <si>
    <t>EXP_ID</t>
  </si>
  <si>
    <t>p</t>
  </si>
  <si>
    <t>CCYGroup</t>
  </si>
  <si>
    <t>idEXP</t>
  </si>
  <si>
    <t>:Assts: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</si>
</sst>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32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0" fillId="3" borderId="3" xfId="3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6" fillId="6" borderId="4" xfId="6" applyBorder="1" applyAlignment="1">
      <alignment vertical="top"/>
    </xf>
    <xf numFmtId="0" fontId="2" fillId="3" borderId="3" xfId="3" applyFont="1" applyBorder="1" applyAlignment="1">
      <alignment vertical="top"/>
    </xf>
    <xf numFmtId="0" fontId="2" fillId="3" borderId="3" xfId="3" applyFont="1" applyAlignment="1">
      <alignment vertical="top"/>
    </xf>
    <xf numFmtId="0" fontId="7" fillId="7" borderId="5" xfId="7" applyBorder="1" applyAlignment="1">
      <alignment vertical="top"/>
    </xf>
    <xf numFmtId="0" fontId="7" fillId="7" borderId="5" xfId="7" applyBorder="1"/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19" fontId="0" fillId="0" borderId="0" xfId="0" applyNumberFormat="1"/>
    <xf numFmtId="0" fontId="0" fillId="0" borderId="0" xfId="0" applyFill="1" applyBorder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_io_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ircut"/>
      <sheetName val="assets"/>
      <sheetName val="expos"/>
      <sheetName val="pivot"/>
      <sheetName val="steps"/>
      <sheetName val="final"/>
      <sheetName val="sample_sort"/>
      <sheetName val="in"/>
      <sheetName val="out"/>
      <sheetName val="objModel"/>
      <sheetName val="asst_temp"/>
      <sheetName val="expo_temp"/>
    </sheetNames>
    <sheetDataSet>
      <sheetData sheetId="0" refreshError="1">
        <row r="1">
          <cell r="A1" t="str">
            <v>Currency</v>
          </cell>
          <cell r="B1" t="str">
            <v>Haircut</v>
          </cell>
        </row>
        <row r="2">
          <cell r="A2" t="str">
            <v>USD</v>
          </cell>
          <cell r="B2">
            <v>0</v>
          </cell>
        </row>
        <row r="3">
          <cell r="A3" t="str">
            <v>CAD</v>
          </cell>
          <cell r="B3">
            <v>0.05</v>
          </cell>
        </row>
        <row r="4">
          <cell r="A4" t="str">
            <v>CHF</v>
          </cell>
          <cell r="B4">
            <v>0.05</v>
          </cell>
        </row>
        <row r="5">
          <cell r="A5" t="str">
            <v>DKK</v>
          </cell>
          <cell r="B5">
            <v>0.05</v>
          </cell>
        </row>
        <row r="6">
          <cell r="A6" t="str">
            <v>EUR</v>
          </cell>
          <cell r="B6">
            <v>0.05</v>
          </cell>
        </row>
        <row r="7">
          <cell r="A7" t="str">
            <v>GBP</v>
          </cell>
          <cell r="B7">
            <v>0.05</v>
          </cell>
        </row>
        <row r="8">
          <cell r="A8" t="str">
            <v>HKD</v>
          </cell>
          <cell r="B8">
            <v>0.05</v>
          </cell>
        </row>
        <row r="9">
          <cell r="A9" t="str">
            <v>JPY</v>
          </cell>
          <cell r="B9">
            <v>0.05</v>
          </cell>
        </row>
        <row r="10">
          <cell r="A10" t="str">
            <v>SGD</v>
          </cell>
          <cell r="B10">
            <v>0.05</v>
          </cell>
        </row>
        <row r="11">
          <cell r="A11" t="str">
            <v>NOK</v>
          </cell>
          <cell r="B11">
            <v>7.0000000000000007E-2</v>
          </cell>
        </row>
        <row r="12">
          <cell r="A12" t="str">
            <v>NZD</v>
          </cell>
          <cell r="B12">
            <v>7.0000000000000007E-2</v>
          </cell>
        </row>
        <row r="13">
          <cell r="A13" t="str">
            <v>SEK</v>
          </cell>
          <cell r="B13">
            <v>7.0000000000000007E-2</v>
          </cell>
        </row>
        <row r="14">
          <cell r="A14" t="str">
            <v>AUD</v>
          </cell>
          <cell r="B14">
            <v>7.0000000000000007E-2</v>
          </cell>
        </row>
        <row r="15">
          <cell r="A15" t="str">
            <v>AED</v>
          </cell>
          <cell r="B15">
            <v>0.1</v>
          </cell>
        </row>
        <row r="16">
          <cell r="A16" t="str">
            <v>CLP</v>
          </cell>
          <cell r="B16">
            <v>0.1</v>
          </cell>
        </row>
        <row r="17">
          <cell r="A17" t="str">
            <v>CNY</v>
          </cell>
          <cell r="B17">
            <v>0.1</v>
          </cell>
        </row>
        <row r="18">
          <cell r="A18" t="str">
            <v>CZK</v>
          </cell>
          <cell r="B18">
            <v>0.1</v>
          </cell>
        </row>
        <row r="19">
          <cell r="A19" t="str">
            <v>KWD</v>
          </cell>
          <cell r="B19">
            <v>0.1</v>
          </cell>
        </row>
        <row r="20">
          <cell r="A20" t="str">
            <v>MYR</v>
          </cell>
          <cell r="B20">
            <v>0.1</v>
          </cell>
        </row>
        <row r="21">
          <cell r="A21" t="str">
            <v>PEN</v>
          </cell>
          <cell r="B21">
            <v>0.1</v>
          </cell>
        </row>
        <row r="22">
          <cell r="A22" t="str">
            <v>QAR</v>
          </cell>
          <cell r="B22">
            <v>0.1</v>
          </cell>
        </row>
        <row r="23">
          <cell r="A23" t="str">
            <v>SAR</v>
          </cell>
          <cell r="B23">
            <v>0.1</v>
          </cell>
        </row>
        <row r="24">
          <cell r="A24" t="str">
            <v>THB</v>
          </cell>
          <cell r="B24">
            <v>0.1</v>
          </cell>
        </row>
        <row r="25">
          <cell r="A25" t="str">
            <v>TWD</v>
          </cell>
          <cell r="B25">
            <v>0.1</v>
          </cell>
        </row>
        <row r="26">
          <cell r="A26" t="str">
            <v>INR</v>
          </cell>
          <cell r="B26">
            <v>0.12</v>
          </cell>
        </row>
        <row r="27">
          <cell r="A27" t="str">
            <v>BHD</v>
          </cell>
          <cell r="B27">
            <v>0.15</v>
          </cell>
        </row>
        <row r="28">
          <cell r="A28" t="str">
            <v>BRL</v>
          </cell>
          <cell r="B28">
            <v>0.15</v>
          </cell>
        </row>
        <row r="29">
          <cell r="A29" t="str">
            <v>COP</v>
          </cell>
          <cell r="B29">
            <v>0.15</v>
          </cell>
        </row>
        <row r="30">
          <cell r="A30" t="str">
            <v>EEK</v>
          </cell>
          <cell r="B30">
            <v>0.15</v>
          </cell>
        </row>
        <row r="31">
          <cell r="A31" t="str">
            <v>EGP</v>
          </cell>
          <cell r="B31">
            <v>0.15</v>
          </cell>
        </row>
        <row r="32">
          <cell r="A32" t="str">
            <v>HRK</v>
          </cell>
          <cell r="B32">
            <v>0.15</v>
          </cell>
        </row>
        <row r="33">
          <cell r="A33" t="str">
            <v>IDR</v>
          </cell>
          <cell r="B33">
            <v>0.15</v>
          </cell>
        </row>
        <row r="34">
          <cell r="A34" t="str">
            <v>ILS</v>
          </cell>
          <cell r="B34">
            <v>0.15</v>
          </cell>
        </row>
        <row r="35">
          <cell r="A35" t="str">
            <v>KRW</v>
          </cell>
          <cell r="B35">
            <v>0.15</v>
          </cell>
        </row>
        <row r="36">
          <cell r="A36" t="str">
            <v>LTL</v>
          </cell>
          <cell r="B36">
            <v>0.15</v>
          </cell>
        </row>
        <row r="37">
          <cell r="A37" t="str">
            <v>MAD</v>
          </cell>
          <cell r="B37">
            <v>0.15</v>
          </cell>
        </row>
        <row r="38">
          <cell r="A38" t="str">
            <v>MXN</v>
          </cell>
          <cell r="B38">
            <v>0.15</v>
          </cell>
        </row>
        <row r="39">
          <cell r="A39" t="str">
            <v>PHP</v>
          </cell>
          <cell r="B39">
            <v>0.15</v>
          </cell>
        </row>
        <row r="40">
          <cell r="A40" t="str">
            <v>PLN</v>
          </cell>
          <cell r="B40">
            <v>0.15</v>
          </cell>
        </row>
        <row r="41">
          <cell r="A41" t="str">
            <v>RUR</v>
          </cell>
          <cell r="B41">
            <v>0.15</v>
          </cell>
        </row>
        <row r="42">
          <cell r="A42" t="str">
            <v>SIT</v>
          </cell>
          <cell r="B42">
            <v>0.15</v>
          </cell>
        </row>
        <row r="43">
          <cell r="A43" t="str">
            <v>SKK</v>
          </cell>
          <cell r="B43">
            <v>0.15</v>
          </cell>
        </row>
        <row r="44">
          <cell r="A44" t="str">
            <v>TRY</v>
          </cell>
          <cell r="B44">
            <v>0.15</v>
          </cell>
        </row>
        <row r="45">
          <cell r="A45" t="str">
            <v>UYU</v>
          </cell>
          <cell r="B45">
            <v>0.15</v>
          </cell>
        </row>
        <row r="46">
          <cell r="A46" t="str">
            <v>ZAR</v>
          </cell>
          <cell r="B46">
            <v>0.15</v>
          </cell>
        </row>
        <row r="47">
          <cell r="A47" t="str">
            <v>HUF</v>
          </cell>
          <cell r="B47">
            <v>0.2</v>
          </cell>
        </row>
        <row r="48">
          <cell r="A48" t="str">
            <v>ISK</v>
          </cell>
          <cell r="B48">
            <v>0.2</v>
          </cell>
        </row>
        <row r="49">
          <cell r="A49" t="str">
            <v>LVL</v>
          </cell>
          <cell r="B49">
            <v>0.2</v>
          </cell>
        </row>
        <row r="50">
          <cell r="A50" t="str">
            <v>ARS,</v>
          </cell>
          <cell r="B50">
            <v>0.2</v>
          </cell>
        </row>
        <row r="51">
          <cell r="A51" t="str">
            <v>PKR</v>
          </cell>
          <cell r="B51">
            <v>0.25</v>
          </cell>
        </row>
        <row r="52">
          <cell r="A52" t="str">
            <v>XAU</v>
          </cell>
          <cell r="B52">
            <v>0.25</v>
          </cell>
        </row>
        <row r="53">
          <cell r="A53" t="str">
            <v>XAG</v>
          </cell>
          <cell r="B53">
            <v>0.35</v>
          </cell>
        </row>
        <row r="54">
          <cell r="A54" t="str">
            <v>ALL other CCYs</v>
          </cell>
          <cell r="B54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iva Subramani, Naren" refreshedDate="42859.626711226854" createdVersion="4" refreshedVersion="4" minRefreshableVersion="3" recordCount="34">
  <cacheSource type="worksheet">
    <worksheetSource ref="D1:R9" sheet="assets"/>
  </cacheSource>
  <cacheFields count="16">
    <cacheField name="Arrangement" numFmtId="0">
      <sharedItems containsString="0" containsBlank="1" containsNumber="1" containsInteger="1" minValue="6" maxValue="8"/>
    </cacheField>
    <cacheField name="Group" numFmtId="0">
      <sharedItems containsBlank="1"/>
    </cacheField>
    <cacheField name="Account" numFmtId="0">
      <sharedItems containsBlank="1"/>
    </cacheField>
    <cacheField name="HC ON OFF" numFmtId="0">
      <sharedItems containsBlank="1"/>
    </cacheField>
    <cacheField name="Position" numFmtId="0">
      <sharedItems containsBlank="1"/>
    </cacheField>
    <cacheField name="Position Type" numFmtId="0">
      <sharedItems containsBlank="1"/>
    </cacheField>
    <cacheField name="CCY" numFmtId="0">
      <sharedItems containsBlank="1" count="11">
        <s v="EUR"/>
        <s v="USD"/>
        <s v="BRL"/>
        <m/>
        <s v="PEN" u="1"/>
        <s v="XAG" u="1"/>
        <s v="LVL" u="1"/>
        <s v="EEK" u="1"/>
        <s v="RUR" u="1"/>
        <s v="PLN" u="1"/>
        <s v="TRY" u="1"/>
      </sharedItems>
    </cacheField>
    <cacheField name="Haircuts" numFmtId="2">
      <sharedItems containsString="0" containsBlank="1" containsNumber="1" minValue="0" maxValue="0.15"/>
    </cacheField>
    <cacheField name="MV" numFmtId="0">
      <sharedItems containsString="0" containsBlank="1" containsNumber="1" containsInteger="1" minValue="100" maxValue="350"/>
    </cacheField>
    <cacheField name="PLV" numFmtId="0">
      <sharedItems containsString="0" containsBlank="1" containsNumber="1" containsInteger="1" minValue="50" maxValue="315"/>
    </cacheField>
    <cacheField name="ELV" numFmtId="0">
      <sharedItems containsString="0" containsBlank="1" containsNumber="1" containsInteger="1" minValue="80" maxValue="315"/>
    </cacheField>
    <cacheField name="PLV/ELV" numFmtId="0">
      <sharedItems containsString="0" containsBlank="1" containsNumber="1" minValue="0.625" maxValue="1"/>
    </cacheField>
    <cacheField name="PLV %" numFmtId="0">
      <sharedItems containsString="0" containsBlank="1" containsNumber="1" containsInteger="1" minValue="50" maxValue="90"/>
    </cacheField>
    <cacheField name="ELV %" numFmtId="0">
      <sharedItems containsString="0" containsBlank="1" containsNumber="1" containsInteger="1" minValue="60" maxValue="90"/>
    </cacheField>
    <cacheField name="Name\Code" numFmtId="0">
      <sharedItems containsBlank="1"/>
    </cacheField>
    <cacheField name="Order" numFmtId="0">
      <sharedItems containsString="0" containsBlank="1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iva Subramani, Naren" refreshedDate="42859.626711458332" createdVersion="4" refreshedVersion="4" minRefreshableVersion="3" recordCount="6">
  <cacheSource type="worksheet">
    <worksheetSource ref="A1:I7" sheet="expos"/>
  </cacheSource>
  <cacheFields count="9">
    <cacheField name="Order" numFmtId="0">
      <sharedItems containsSemiMixedTypes="0" containsString="0" containsNumber="1" containsInteger="1" minValue="1" maxValue="6"/>
    </cacheField>
    <cacheField name="Client" numFmtId="0">
      <sharedItems/>
    </cacheField>
    <cacheField name="Group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Exposure Name" numFmtId="0">
      <sharedItems/>
    </cacheField>
    <cacheField name="PE / NPE / Deriv" numFmtId="0">
      <sharedItems/>
    </cacheField>
    <cacheField name="Expo Amount" numFmtId="0">
      <sharedItems containsSemiMixedTypes="0" containsString="0" containsNumber="1" containsInteger="1" minValue="-600" maxValue="-100"/>
    </cacheField>
    <cacheField name="CCY" numFmtId="0">
      <sharedItems/>
    </cacheField>
    <cacheField name="Haircut" numFmtId="0">
      <sharedItems containsSemiMixedTypes="0" containsString="0" containsNumber="1" minValue="0" maxValue="0.2"/>
    </cacheField>
    <cacheField name="Order2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n v="6"/>
    <s v="A"/>
    <s v="A2"/>
    <s v="ON"/>
    <s v="P2"/>
    <s v="MS"/>
    <x v="0"/>
    <n v="0.05"/>
    <n v="150"/>
    <n v="75"/>
    <n v="90"/>
    <n v="0.83333333333333337"/>
    <n v="50"/>
    <n v="60"/>
    <s v="Equity"/>
    <n v="1"/>
  </r>
  <r>
    <n v="8"/>
    <s v="B"/>
    <s v="A3"/>
    <s v="ON"/>
    <s v="P3"/>
    <s v="MS"/>
    <x v="1"/>
    <n v="0"/>
    <n v="200"/>
    <n v="100"/>
    <n v="140"/>
    <n v="0.7142857142857143"/>
    <n v="50"/>
    <n v="70"/>
    <s v="Common Stocks"/>
    <n v="2"/>
  </r>
  <r>
    <n v="6"/>
    <s v="B"/>
    <s v="A1"/>
    <s v="ON"/>
    <s v="P1"/>
    <s v="MS"/>
    <x v="1"/>
    <n v="0"/>
    <n v="100"/>
    <n v="50"/>
    <n v="80"/>
    <n v="0.625"/>
    <n v="50"/>
    <n v="80"/>
    <s v="Equity"/>
    <n v="3"/>
  </r>
  <r>
    <n v="8"/>
    <s v="C"/>
    <s v="A6"/>
    <s v="ON"/>
    <s v="P6"/>
    <s v="NMS"/>
    <x v="0"/>
    <n v="0.05"/>
    <n v="350"/>
    <n v="315"/>
    <n v="315"/>
    <n v="1"/>
    <n v="90"/>
    <n v="90"/>
    <s v="Equity"/>
    <n v="4"/>
  </r>
  <r>
    <n v="6"/>
    <s v="D"/>
    <s v="A5"/>
    <s v="ON"/>
    <s v="P5"/>
    <s v="NMS"/>
    <x v="1"/>
    <n v="0"/>
    <n v="300"/>
    <n v="240"/>
    <n v="240"/>
    <n v="1"/>
    <n v="80"/>
    <n v="80"/>
    <s v="Fixed Income"/>
    <n v="5"/>
  </r>
  <r>
    <n v="6"/>
    <s v="E"/>
    <s v="A4"/>
    <s v="ON"/>
    <s v="P4"/>
    <s v="NMS"/>
    <x v="2"/>
    <n v="0.15"/>
    <n v="250"/>
    <n v="175"/>
    <n v="175"/>
    <n v="1"/>
    <n v="70"/>
    <n v="70"/>
    <s v="Cash"/>
    <n v="6"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">
  <r>
    <n v="3"/>
    <s v="A"/>
    <x v="0"/>
    <s v="E6"/>
    <s v="PE"/>
    <n v="-600"/>
    <s v="USD"/>
    <n v="0"/>
    <n v="1"/>
  </r>
  <r>
    <n v="2"/>
    <s v="A"/>
    <x v="0"/>
    <s v="E3"/>
    <s v="PE"/>
    <n v="-300"/>
    <s v="USD"/>
    <n v="0"/>
    <n v="2"/>
  </r>
  <r>
    <n v="5"/>
    <s v="A"/>
    <x v="1"/>
    <s v="E5"/>
    <s v="PE"/>
    <n v="-500"/>
    <s v="BRL"/>
    <n v="0.15"/>
    <n v="3"/>
  </r>
  <r>
    <n v="6"/>
    <s v="A"/>
    <x v="2"/>
    <s v="E4"/>
    <s v="PE"/>
    <n v="-400"/>
    <s v="LVL"/>
    <n v="0.2"/>
    <n v="4"/>
  </r>
  <r>
    <n v="1"/>
    <s v="A"/>
    <x v="3"/>
    <s v="E2"/>
    <s v="NPE"/>
    <n v="-200"/>
    <s v="USD"/>
    <n v="0"/>
    <n v="5"/>
  </r>
  <r>
    <n v="4"/>
    <s v="A"/>
    <x v="4"/>
    <s v="E1"/>
    <s v="NPE"/>
    <n v="-100"/>
    <s v="EUR"/>
    <n v="0.05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E3:F9" firstHeaderRow="1" firstDataRow="1" firstDataCol="1"/>
  <pivotFields count="9">
    <pivotField showAll="0"/>
    <pivotField showAll="0"/>
    <pivotField axis="axisRow" showAll="0" defaultSubtotal="0">
      <items count="5">
        <item x="0"/>
        <item x="1"/>
        <item x="2"/>
        <item x="3"/>
        <item x="4"/>
      </items>
    </pivotField>
    <pivotField showAll="0" defaultSubtotal="0"/>
    <pivotField showAll="0"/>
    <pivotField dataField="1" showAll="0"/>
    <pivotField showAll="0"/>
    <pivotField showAll="0"/>
    <pivotField showAll="0" defaultSubtota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Expo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C8" firstHeaderRow="0" firstDataRow="1" firstDataCol="1"/>
  <pivotFields count="16">
    <pivotField showAll="0"/>
    <pivotField dataField="1" showAll="0" defaultSubtotal="0"/>
    <pivotField showAll="0"/>
    <pivotField showAll="0"/>
    <pivotField showAll="0"/>
    <pivotField showAll="0"/>
    <pivotField axis="axisRow" dataField="1" showAll="0">
      <items count="12">
        <item m="1" x="7"/>
        <item m="1" x="6"/>
        <item m="1" x="4"/>
        <item m="1" x="9"/>
        <item m="1" x="8"/>
        <item m="1" x="10"/>
        <item x="1"/>
        <item m="1" x="5"/>
        <item x="0"/>
        <item x="2"/>
        <item x="3"/>
        <item t="default"/>
      </items>
    </pivotField>
    <pivotField numFmtId="2" showAll="0"/>
    <pivotField showAll="0"/>
    <pivotField showAll="0"/>
    <pivotField showAll="0"/>
    <pivotField showAll="0"/>
    <pivotField showAll="0"/>
    <pivotField showAll="0"/>
    <pivotField showAll="0"/>
    <pivotField showAll="0" defaultSubtotal="0"/>
  </pivotFields>
  <rowFields count="1">
    <field x="6"/>
  </rowFields>
  <rowItems count="5">
    <i>
      <x v="6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CCY" fld="6" subtotal="count" baseField="0" baseItem="0"/>
    <dataField name="Count of Group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topLeftCell="A28" workbookViewId="0">
      <selection activeCell="B53" sqref="B53"/>
    </sheetView>
  </sheetViews>
  <sheetFormatPr defaultRowHeight="13.2" x14ac:dyDescent="0.25"/>
  <cols>
    <col min="1" max="1" width="14.5546875" bestFit="1" customWidth="1"/>
  </cols>
  <sheetData>
    <row r="1" spans="1:2" x14ac:dyDescent="0.25">
      <c r="A1" s="4" t="s">
        <v>25</v>
      </c>
      <c r="B1" s="1" t="s">
        <v>24</v>
      </c>
    </row>
    <row r="2" spans="1:2" x14ac:dyDescent="0.25">
      <c r="A2" s="3" t="s">
        <v>17</v>
      </c>
      <c r="B2" s="2">
        <v>0</v>
      </c>
    </row>
    <row r="3" spans="1:2" ht="12.75" customHeight="1" x14ac:dyDescent="0.25">
      <c r="A3" s="3" t="s">
        <v>31</v>
      </c>
      <c r="B3" s="2">
        <v>0.05</v>
      </c>
    </row>
    <row r="4" spans="1:2" ht="12.75" customHeight="1" x14ac:dyDescent="0.25">
      <c r="A4" s="3" t="s">
        <v>68</v>
      </c>
      <c r="B4" s="2">
        <v>0.05</v>
      </c>
    </row>
    <row r="5" spans="1:2" ht="12.75" customHeight="1" x14ac:dyDescent="0.25">
      <c r="A5" s="3" t="s">
        <v>69</v>
      </c>
      <c r="B5" s="2">
        <v>0.05</v>
      </c>
    </row>
    <row r="6" spans="1:2" ht="12.75" customHeight="1" x14ac:dyDescent="0.25">
      <c r="A6" s="3" t="s">
        <v>70</v>
      </c>
      <c r="B6" s="2">
        <v>0.05</v>
      </c>
    </row>
    <row r="7" spans="1:2" ht="12.75" customHeight="1" x14ac:dyDescent="0.25">
      <c r="A7" s="3" t="s">
        <v>71</v>
      </c>
      <c r="B7" s="2">
        <v>0.05</v>
      </c>
    </row>
    <row r="8" spans="1:2" ht="12.75" customHeight="1" x14ac:dyDescent="0.25">
      <c r="A8" s="3" t="s">
        <v>72</v>
      </c>
      <c r="B8" s="2">
        <v>0.05</v>
      </c>
    </row>
    <row r="9" spans="1:2" ht="12.75" customHeight="1" x14ac:dyDescent="0.25">
      <c r="A9" s="3" t="s">
        <v>73</v>
      </c>
      <c r="B9" s="2">
        <v>0.05</v>
      </c>
    </row>
    <row r="10" spans="1:2" ht="12.75" customHeight="1" x14ac:dyDescent="0.25">
      <c r="A10" s="3" t="s">
        <v>74</v>
      </c>
      <c r="B10" s="2">
        <v>0.05</v>
      </c>
    </row>
    <row r="11" spans="1:2" ht="12.75" customHeight="1" x14ac:dyDescent="0.25">
      <c r="A11" s="3" t="s">
        <v>75</v>
      </c>
      <c r="B11" s="2">
        <v>7.0000000000000007E-2</v>
      </c>
    </row>
    <row r="12" spans="1:2" ht="12.75" customHeight="1" x14ac:dyDescent="0.25">
      <c r="A12" s="3" t="s">
        <v>76</v>
      </c>
      <c r="B12" s="2">
        <v>7.0000000000000007E-2</v>
      </c>
    </row>
    <row r="13" spans="1:2" ht="12.75" customHeight="1" x14ac:dyDescent="0.25">
      <c r="A13" s="3" t="s">
        <v>77</v>
      </c>
      <c r="B13" s="2">
        <v>7.0000000000000007E-2</v>
      </c>
    </row>
    <row r="14" spans="1:2" ht="12.75" customHeight="1" x14ac:dyDescent="0.25">
      <c r="A14" s="3" t="s">
        <v>32</v>
      </c>
      <c r="B14" s="2">
        <v>7.0000000000000007E-2</v>
      </c>
    </row>
    <row r="15" spans="1:2" ht="12.75" customHeight="1" x14ac:dyDescent="0.25">
      <c r="A15" s="3" t="s">
        <v>33</v>
      </c>
      <c r="B15" s="2">
        <v>0.1</v>
      </c>
    </row>
    <row r="16" spans="1:2" ht="12.75" customHeight="1" x14ac:dyDescent="0.25">
      <c r="A16" s="3" t="s">
        <v>34</v>
      </c>
      <c r="B16" s="2">
        <v>0.1</v>
      </c>
    </row>
    <row r="17" spans="1:2" ht="12.75" customHeight="1" x14ac:dyDescent="0.25">
      <c r="A17" s="3" t="s">
        <v>35</v>
      </c>
      <c r="B17" s="2">
        <v>0.1</v>
      </c>
    </row>
    <row r="18" spans="1:2" ht="12.75" customHeight="1" x14ac:dyDescent="0.25">
      <c r="A18" s="3" t="s">
        <v>36</v>
      </c>
      <c r="B18" s="2">
        <v>0.1</v>
      </c>
    </row>
    <row r="19" spans="1:2" ht="12.75" customHeight="1" x14ac:dyDescent="0.25">
      <c r="A19" s="3" t="s">
        <v>37</v>
      </c>
      <c r="B19" s="2">
        <v>0.1</v>
      </c>
    </row>
    <row r="20" spans="1:2" ht="12.75" customHeight="1" x14ac:dyDescent="0.25">
      <c r="A20" s="3" t="s">
        <v>38</v>
      </c>
      <c r="B20" s="2">
        <v>0.1</v>
      </c>
    </row>
    <row r="21" spans="1:2" ht="12.75" customHeight="1" x14ac:dyDescent="0.25">
      <c r="A21" s="3" t="s">
        <v>39</v>
      </c>
      <c r="B21" s="2">
        <v>0.1</v>
      </c>
    </row>
    <row r="22" spans="1:2" ht="12.75" customHeight="1" x14ac:dyDescent="0.25">
      <c r="A22" s="3" t="s">
        <v>40</v>
      </c>
      <c r="B22" s="2">
        <v>0.1</v>
      </c>
    </row>
    <row r="23" spans="1:2" ht="12.75" customHeight="1" x14ac:dyDescent="0.25">
      <c r="A23" s="3" t="s">
        <v>41</v>
      </c>
      <c r="B23" s="2">
        <v>0.1</v>
      </c>
    </row>
    <row r="24" spans="1:2" ht="12.75" customHeight="1" x14ac:dyDescent="0.25">
      <c r="A24" s="3" t="s">
        <v>42</v>
      </c>
      <c r="B24" s="2">
        <v>0.1</v>
      </c>
    </row>
    <row r="25" spans="1:2" ht="12.75" customHeight="1" x14ac:dyDescent="0.25">
      <c r="A25" s="3" t="s">
        <v>43</v>
      </c>
      <c r="B25" s="2">
        <v>0.1</v>
      </c>
    </row>
    <row r="26" spans="1:2" ht="12.75" customHeight="1" x14ac:dyDescent="0.25">
      <c r="A26" s="3" t="s">
        <v>26</v>
      </c>
      <c r="B26" s="2">
        <v>0.12</v>
      </c>
    </row>
    <row r="27" spans="1:2" ht="12.75" customHeight="1" x14ac:dyDescent="0.25">
      <c r="A27" s="3" t="s">
        <v>44</v>
      </c>
      <c r="B27" s="2">
        <v>0.15</v>
      </c>
    </row>
    <row r="28" spans="1:2" ht="12.75" customHeight="1" x14ac:dyDescent="0.25">
      <c r="A28" s="3" t="s">
        <v>45</v>
      </c>
      <c r="B28" s="2">
        <v>0.15</v>
      </c>
    </row>
    <row r="29" spans="1:2" ht="12.75" customHeight="1" x14ac:dyDescent="0.25">
      <c r="A29" s="3" t="s">
        <v>46</v>
      </c>
      <c r="B29" s="2">
        <v>0.15</v>
      </c>
    </row>
    <row r="30" spans="1:2" ht="12.75" customHeight="1" x14ac:dyDescent="0.25">
      <c r="A30" s="3" t="s">
        <v>47</v>
      </c>
      <c r="B30" s="2">
        <v>0.15</v>
      </c>
    </row>
    <row r="31" spans="1:2" ht="12.75" customHeight="1" x14ac:dyDescent="0.25">
      <c r="A31" s="3" t="s">
        <v>48</v>
      </c>
      <c r="B31" s="2">
        <v>0.15</v>
      </c>
    </row>
    <row r="32" spans="1:2" ht="12.75" customHeight="1" x14ac:dyDescent="0.25">
      <c r="A32" s="3" t="s">
        <v>49</v>
      </c>
      <c r="B32" s="2">
        <v>0.15</v>
      </c>
    </row>
    <row r="33" spans="1:2" ht="12.75" customHeight="1" x14ac:dyDescent="0.25">
      <c r="A33" s="3" t="s">
        <v>50</v>
      </c>
      <c r="B33" s="2">
        <v>0.15</v>
      </c>
    </row>
    <row r="34" spans="1:2" ht="12.75" customHeight="1" x14ac:dyDescent="0.25">
      <c r="A34" s="3" t="s">
        <v>51</v>
      </c>
      <c r="B34" s="2">
        <v>0.15</v>
      </c>
    </row>
    <row r="35" spans="1:2" x14ac:dyDescent="0.25">
      <c r="A35" s="3" t="s">
        <v>52</v>
      </c>
      <c r="B35" s="2">
        <v>0.15</v>
      </c>
    </row>
    <row r="36" spans="1:2" x14ac:dyDescent="0.25">
      <c r="A36" s="3" t="s">
        <v>53</v>
      </c>
      <c r="B36" s="2">
        <v>0.15</v>
      </c>
    </row>
    <row r="37" spans="1:2" x14ac:dyDescent="0.25">
      <c r="A37" s="3" t="s">
        <v>54</v>
      </c>
      <c r="B37" s="2">
        <v>0.15</v>
      </c>
    </row>
    <row r="38" spans="1:2" ht="13.5" customHeight="1" x14ac:dyDescent="0.25">
      <c r="A38" s="3" t="s">
        <v>55</v>
      </c>
      <c r="B38" s="2">
        <v>0.15</v>
      </c>
    </row>
    <row r="39" spans="1:2" x14ac:dyDescent="0.25">
      <c r="A39" s="3" t="s">
        <v>56</v>
      </c>
      <c r="B39" s="2">
        <v>0.15</v>
      </c>
    </row>
    <row r="40" spans="1:2" x14ac:dyDescent="0.25">
      <c r="A40" s="3" t="s">
        <v>57</v>
      </c>
      <c r="B40" s="2">
        <v>0.15</v>
      </c>
    </row>
    <row r="41" spans="1:2" x14ac:dyDescent="0.25">
      <c r="A41" s="3" t="s">
        <v>58</v>
      </c>
      <c r="B41" s="2">
        <v>0.15</v>
      </c>
    </row>
    <row r="42" spans="1:2" x14ac:dyDescent="0.25">
      <c r="A42" s="3" t="s">
        <v>59</v>
      </c>
      <c r="B42" s="2">
        <v>0.15</v>
      </c>
    </row>
    <row r="43" spans="1:2" x14ac:dyDescent="0.25">
      <c r="A43" s="3" t="s">
        <v>60</v>
      </c>
      <c r="B43" s="2">
        <v>0.15</v>
      </c>
    </row>
    <row r="44" spans="1:2" x14ac:dyDescent="0.25">
      <c r="A44" s="3" t="s">
        <v>61</v>
      </c>
      <c r="B44" s="2">
        <v>0.15</v>
      </c>
    </row>
    <row r="45" spans="1:2" x14ac:dyDescent="0.25">
      <c r="A45" s="3" t="s">
        <v>62</v>
      </c>
      <c r="B45" s="2">
        <v>0.15</v>
      </c>
    </row>
    <row r="46" spans="1:2" x14ac:dyDescent="0.25">
      <c r="A46" s="3" t="s">
        <v>63</v>
      </c>
      <c r="B46" s="2">
        <v>0.15</v>
      </c>
    </row>
    <row r="47" spans="1:2" x14ac:dyDescent="0.25">
      <c r="A47" s="3" t="s">
        <v>64</v>
      </c>
      <c r="B47" s="2">
        <v>0.2</v>
      </c>
    </row>
    <row r="48" spans="1:2" x14ac:dyDescent="0.25">
      <c r="A48" s="3" t="s">
        <v>65</v>
      </c>
      <c r="B48" s="2">
        <v>0.2</v>
      </c>
    </row>
    <row r="49" spans="1:2" x14ac:dyDescent="0.25">
      <c r="A49" s="3" t="s">
        <v>66</v>
      </c>
      <c r="B49" s="2">
        <v>0.2</v>
      </c>
    </row>
    <row r="50" spans="1:2" x14ac:dyDescent="0.25">
      <c r="A50" s="3" t="s">
        <v>67</v>
      </c>
      <c r="B50" s="2">
        <v>0.2</v>
      </c>
    </row>
    <row r="51" spans="1:2" x14ac:dyDescent="0.25">
      <c r="A51" s="3" t="s">
        <v>27</v>
      </c>
      <c r="B51" s="2">
        <v>0.25</v>
      </c>
    </row>
    <row r="52" spans="1:2" x14ac:dyDescent="0.25">
      <c r="A52" s="3" t="s">
        <v>28</v>
      </c>
      <c r="B52" s="2">
        <v>0.25</v>
      </c>
    </row>
    <row r="53" spans="1:2" x14ac:dyDescent="0.25">
      <c r="A53" s="3" t="s">
        <v>29</v>
      </c>
      <c r="B53" s="2">
        <v>0.35</v>
      </c>
    </row>
    <row r="54" spans="1:2" ht="12.75" customHeight="1" x14ac:dyDescent="0.25">
      <c r="A54" s="3" t="s">
        <v>30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9"/>
  <sheetViews>
    <sheetView tabSelected="1" zoomScaleNormal="100" workbookViewId="0">
      <selection activeCell="E15" sqref="E15"/>
    </sheetView>
  </sheetViews>
  <sheetFormatPr defaultRowHeight="13.2" x14ac:dyDescent="0.25"/>
  <cols>
    <col min="1" max="1" width="18.33203125" bestFit="1" customWidth="1"/>
    <col min="2" max="2" width="12.33203125" bestFit="1" customWidth="1"/>
    <col min="3" max="3" width="20.109375" bestFit="1" customWidth="1"/>
    <col min="4" max="4" width="16.109375" bestFit="1" customWidth="1"/>
    <col min="5" max="5" width="15" bestFit="1" customWidth="1"/>
    <col min="6" max="6" width="17.88671875" bestFit="1" customWidth="1"/>
    <col min="7" max="7" width="15" bestFit="1" customWidth="1"/>
    <col min="8" max="8" width="19.88671875" bestFit="1" customWidth="1"/>
    <col min="9" max="9" width="8.44140625" bestFit="1" customWidth="1"/>
    <col min="10" max="10" width="9.109375" bestFit="1" customWidth="1"/>
    <col min="11" max="11" width="8" bestFit="1" customWidth="1"/>
    <col min="12" max="12" width="12" bestFit="1" customWidth="1"/>
    <col min="13" max="13" width="15" bestFit="1" customWidth="1"/>
    <col min="14" max="14" width="14.88671875" bestFit="1" customWidth="1"/>
    <col min="15" max="15" width="19" bestFit="1" customWidth="1"/>
    <col min="16" max="16" width="20.5546875" hidden="1" customWidth="1"/>
    <col min="17" max="17" width="32" hidden="1" customWidth="1"/>
    <col min="18" max="18" width="19.5546875" hidden="1" customWidth="1"/>
    <col min="19" max="19" width="20.44140625" hidden="1" customWidth="1"/>
    <col min="20" max="20" width="31.88671875" hidden="1" customWidth="1"/>
    <col min="21" max="21" width="19.44140625" hidden="1" customWidth="1"/>
    <col min="22" max="22" width="20.6640625" hidden="1" customWidth="1"/>
    <col min="23" max="23" width="32.109375" hidden="1" customWidth="1"/>
    <col min="24" max="24" width="19.6640625" hidden="1" customWidth="1"/>
    <col min="25" max="25" width="13.109375" bestFit="1" customWidth="1"/>
    <col min="26" max="26" width="10.6640625" bestFit="1" customWidth="1"/>
    <col min="27" max="27" width="13.109375" bestFit="1" customWidth="1"/>
    <col min="28" max="28" width="10.6640625" bestFit="1" customWidth="1"/>
    <col min="29" max="29" width="16" bestFit="1" customWidth="1"/>
  </cols>
  <sheetData>
    <row r="1" spans="1:29" x14ac:dyDescent="0.25">
      <c r="A1" s="25" t="s">
        <v>223</v>
      </c>
      <c r="B1" s="25" t="s">
        <v>224</v>
      </c>
      <c r="C1" s="25" t="s">
        <v>225</v>
      </c>
      <c r="D1" s="25" t="s">
        <v>226</v>
      </c>
      <c r="E1" s="25" t="s">
        <v>227</v>
      </c>
      <c r="F1" s="13" t="s">
        <v>117</v>
      </c>
      <c r="G1" s="13" t="s">
        <v>118</v>
      </c>
      <c r="H1" s="13" t="s">
        <v>119</v>
      </c>
      <c r="I1" s="13" t="s">
        <v>25</v>
      </c>
      <c r="J1" s="13" t="s">
        <v>257</v>
      </c>
      <c r="K1" s="13" t="s">
        <v>120</v>
      </c>
      <c r="L1" s="13" t="s">
        <v>122</v>
      </c>
      <c r="M1" s="13" t="s">
        <v>138</v>
      </c>
      <c r="N1" s="13" t="s">
        <v>121</v>
      </c>
      <c r="O1" s="13" t="s">
        <v>123</v>
      </c>
      <c r="P1" s="21" t="s">
        <v>244</v>
      </c>
      <c r="Q1" s="26" t="s">
        <v>245</v>
      </c>
      <c r="R1" s="21" t="s">
        <v>246</v>
      </c>
      <c r="S1" s="21" t="s">
        <v>247</v>
      </c>
      <c r="T1" s="26" t="s">
        <v>248</v>
      </c>
      <c r="U1" s="21" t="s">
        <v>249</v>
      </c>
      <c r="V1" s="21" t="s">
        <v>250</v>
      </c>
      <c r="W1" s="26" t="s">
        <v>251</v>
      </c>
      <c r="X1" s="21" t="s">
        <v>252</v>
      </c>
      <c r="Y1" s="27" t="s">
        <v>124</v>
      </c>
      <c r="Z1" s="27" t="s">
        <v>125</v>
      </c>
      <c r="AA1" s="27" t="s">
        <v>128</v>
      </c>
      <c r="AB1" s="27" t="s">
        <v>129</v>
      </c>
      <c r="AC1" s="13" t="s">
        <v>135</v>
      </c>
    </row>
    <row r="2" spans="1:29" x14ac:dyDescent="0.25">
      <c r="A2">
        <v>6</v>
      </c>
      <c r="B2" t="s">
        <v>12</v>
      </c>
      <c r="C2" t="s">
        <v>301</v>
      </c>
      <c r="D2" t="s">
        <v>302</v>
      </c>
      <c r="E2" t="s">
        <v>91</v>
      </c>
      <c r="F2">
        <v>1</v>
      </c>
      <c r="G2" t="s">
        <v>20</v>
      </c>
      <c r="H2" t="s">
        <v>15</v>
      </c>
      <c r="I2" t="s">
        <v>17</v>
      </c>
      <c r="J2">
        <v>100</v>
      </c>
      <c r="K2">
        <v>1</v>
      </c>
      <c r="L2">
        <v>100</v>
      </c>
      <c r="M2" s="5">
        <f>VLOOKUP(I2,[1]haircut!$A$1:$B$54,2,FALSE)</f>
        <v>0</v>
      </c>
      <c r="N2">
        <v>1</v>
      </c>
      <c r="O2">
        <v>100</v>
      </c>
      <c r="Y2">
        <v>50</v>
      </c>
      <c r="Z2">
        <f t="shared" ref="Z2:Z9" si="0">$O2*Y2/100</f>
        <v>50</v>
      </c>
      <c r="AA2">
        <v>80</v>
      </c>
      <c r="AB2">
        <f t="shared" ref="AB2:AB9" si="1">$O2*AA2/100</f>
        <v>80</v>
      </c>
      <c r="AC2">
        <f t="shared" ref="AC2:AC9" si="2">IFERROR(Y2/AA2,0)</f>
        <v>0.625</v>
      </c>
    </row>
    <row r="3" spans="1:29" x14ac:dyDescent="0.25">
      <c r="A3">
        <v>6</v>
      </c>
      <c r="B3" t="s">
        <v>12</v>
      </c>
      <c r="C3" t="s">
        <v>306</v>
      </c>
      <c r="D3" t="s">
        <v>304</v>
      </c>
      <c r="E3" t="s">
        <v>92</v>
      </c>
      <c r="F3">
        <v>4</v>
      </c>
      <c r="G3" t="s">
        <v>20</v>
      </c>
      <c r="H3" t="s">
        <v>15</v>
      </c>
      <c r="I3" t="s">
        <v>70</v>
      </c>
      <c r="J3">
        <v>300</v>
      </c>
      <c r="K3">
        <v>1</v>
      </c>
      <c r="L3">
        <v>300</v>
      </c>
      <c r="M3" s="5">
        <f>VLOOKUP(I3,[1]haircut!$A$1:$B$54,2,FALSE)</f>
        <v>0.05</v>
      </c>
      <c r="N3">
        <v>1</v>
      </c>
      <c r="O3">
        <v>300</v>
      </c>
      <c r="Y3">
        <v>50</v>
      </c>
      <c r="Z3">
        <f t="shared" si="0"/>
        <v>150</v>
      </c>
      <c r="AA3">
        <v>60</v>
      </c>
      <c r="AB3">
        <f t="shared" si="1"/>
        <v>180</v>
      </c>
      <c r="AC3">
        <f t="shared" si="2"/>
        <v>0.83333333333333337</v>
      </c>
    </row>
    <row r="4" spans="1:29" x14ac:dyDescent="0.25">
      <c r="A4">
        <v>6</v>
      </c>
      <c r="B4" t="s">
        <v>12</v>
      </c>
      <c r="C4" t="s">
        <v>307</v>
      </c>
      <c r="D4" t="s">
        <v>302</v>
      </c>
      <c r="E4" t="s">
        <v>93</v>
      </c>
      <c r="F4">
        <v>5</v>
      </c>
      <c r="G4" t="s">
        <v>19</v>
      </c>
      <c r="H4" t="s">
        <v>15</v>
      </c>
      <c r="I4" t="s">
        <v>17</v>
      </c>
      <c r="J4">
        <v>200</v>
      </c>
      <c r="K4">
        <v>1</v>
      </c>
      <c r="L4">
        <v>200</v>
      </c>
      <c r="M4" s="5">
        <f>VLOOKUP(I4,[1]haircut!$A$1:$B$54,2,FALSE)</f>
        <v>0</v>
      </c>
      <c r="N4">
        <v>1</v>
      </c>
      <c r="O4">
        <v>200</v>
      </c>
      <c r="Y4">
        <v>50</v>
      </c>
      <c r="Z4">
        <f t="shared" si="0"/>
        <v>100</v>
      </c>
      <c r="AA4">
        <v>70</v>
      </c>
      <c r="AB4">
        <f t="shared" si="1"/>
        <v>140</v>
      </c>
      <c r="AC4">
        <f t="shared" si="2"/>
        <v>0.7142857142857143</v>
      </c>
    </row>
    <row r="5" spans="1:29" x14ac:dyDescent="0.25">
      <c r="A5">
        <v>6</v>
      </c>
      <c r="B5" t="s">
        <v>12</v>
      </c>
      <c r="C5" t="s">
        <v>308</v>
      </c>
      <c r="D5" t="s">
        <v>304</v>
      </c>
      <c r="E5" t="s">
        <v>94</v>
      </c>
      <c r="F5">
        <v>6</v>
      </c>
      <c r="G5" t="s">
        <v>18</v>
      </c>
      <c r="H5" t="s">
        <v>16</v>
      </c>
      <c r="I5" t="s">
        <v>45</v>
      </c>
      <c r="J5">
        <v>250</v>
      </c>
      <c r="K5">
        <v>1</v>
      </c>
      <c r="L5">
        <v>250</v>
      </c>
      <c r="M5" s="5">
        <f>VLOOKUP(I5,[1]haircut!$A$1:$B$54,2,FALSE)</f>
        <v>0.15</v>
      </c>
      <c r="N5">
        <v>1</v>
      </c>
      <c r="O5">
        <v>250</v>
      </c>
      <c r="Y5">
        <v>70</v>
      </c>
      <c r="Z5">
        <f t="shared" si="0"/>
        <v>175</v>
      </c>
      <c r="AA5">
        <v>70</v>
      </c>
      <c r="AB5">
        <f t="shared" si="1"/>
        <v>175</v>
      </c>
      <c r="AC5">
        <f t="shared" si="2"/>
        <v>1</v>
      </c>
    </row>
    <row r="6" spans="1:29" x14ac:dyDescent="0.25">
      <c r="A6">
        <v>6</v>
      </c>
      <c r="B6" t="s">
        <v>12</v>
      </c>
      <c r="C6" t="s">
        <v>309</v>
      </c>
      <c r="D6" t="s">
        <v>302</v>
      </c>
      <c r="E6" t="s">
        <v>95</v>
      </c>
      <c r="F6">
        <v>7</v>
      </c>
      <c r="G6" t="s">
        <v>21</v>
      </c>
      <c r="H6" t="s">
        <v>16</v>
      </c>
      <c r="I6" t="s">
        <v>17</v>
      </c>
      <c r="J6">
        <v>400</v>
      </c>
      <c r="K6">
        <v>1</v>
      </c>
      <c r="L6">
        <v>400</v>
      </c>
      <c r="M6" s="5">
        <f>VLOOKUP(I6,[1]haircut!$A$1:$B$54,2,FALSE)</f>
        <v>0</v>
      </c>
      <c r="N6">
        <v>1</v>
      </c>
      <c r="O6">
        <v>400</v>
      </c>
      <c r="Y6">
        <v>80</v>
      </c>
      <c r="Z6">
        <f t="shared" si="0"/>
        <v>320</v>
      </c>
      <c r="AA6">
        <v>80</v>
      </c>
      <c r="AB6">
        <f t="shared" si="1"/>
        <v>320</v>
      </c>
      <c r="AC6">
        <f t="shared" si="2"/>
        <v>1</v>
      </c>
    </row>
    <row r="7" spans="1:29" x14ac:dyDescent="0.25">
      <c r="A7">
        <v>6</v>
      </c>
      <c r="B7" t="s">
        <v>12</v>
      </c>
      <c r="C7" t="s">
        <v>310</v>
      </c>
      <c r="D7" t="s">
        <v>304</v>
      </c>
      <c r="E7" t="s">
        <v>96</v>
      </c>
      <c r="F7">
        <v>8</v>
      </c>
      <c r="G7" t="s">
        <v>20</v>
      </c>
      <c r="H7" t="s">
        <v>16</v>
      </c>
      <c r="I7" t="s">
        <v>70</v>
      </c>
      <c r="J7">
        <v>600</v>
      </c>
      <c r="K7">
        <v>1</v>
      </c>
      <c r="L7">
        <v>600</v>
      </c>
      <c r="M7" s="5">
        <f>VLOOKUP(I7,[1]haircut!$A$1:$B$54,2,FALSE)</f>
        <v>0.05</v>
      </c>
      <c r="N7">
        <v>1</v>
      </c>
      <c r="O7">
        <v>600</v>
      </c>
      <c r="Y7">
        <v>90</v>
      </c>
      <c r="Z7">
        <f t="shared" si="0"/>
        <v>540</v>
      </c>
      <c r="AA7">
        <v>90</v>
      </c>
      <c r="AB7">
        <f t="shared" si="1"/>
        <v>540</v>
      </c>
      <c r="AC7">
        <f t="shared" si="2"/>
        <v>1</v>
      </c>
    </row>
    <row r="8" spans="1:29" x14ac:dyDescent="0.25">
      <c r="A8">
        <v>6</v>
      </c>
      <c r="B8" t="s">
        <v>12</v>
      </c>
      <c r="C8" t="s">
        <v>305</v>
      </c>
      <c r="D8" t="s">
        <v>304</v>
      </c>
      <c r="E8" t="s">
        <v>103</v>
      </c>
      <c r="F8">
        <v>3</v>
      </c>
      <c r="G8" t="s">
        <v>20</v>
      </c>
      <c r="H8" t="s">
        <v>15</v>
      </c>
      <c r="I8" t="s">
        <v>54</v>
      </c>
      <c r="J8">
        <v>800</v>
      </c>
      <c r="K8">
        <v>1</v>
      </c>
      <c r="L8">
        <v>800</v>
      </c>
      <c r="M8" s="5">
        <f>VLOOKUP(I8,[1]haircut!$A$1:$B$54,2,FALSE)</f>
        <v>0.15</v>
      </c>
      <c r="N8">
        <v>1</v>
      </c>
      <c r="O8">
        <v>800</v>
      </c>
      <c r="Y8">
        <v>50</v>
      </c>
      <c r="Z8">
        <f t="shared" si="0"/>
        <v>400</v>
      </c>
      <c r="AA8">
        <v>60</v>
      </c>
      <c r="AB8">
        <f t="shared" si="1"/>
        <v>480</v>
      </c>
      <c r="AC8">
        <f t="shared" si="2"/>
        <v>0.83333333333333337</v>
      </c>
    </row>
    <row r="9" spans="1:29" x14ac:dyDescent="0.25">
      <c r="A9">
        <v>6</v>
      </c>
      <c r="B9" t="s">
        <v>12</v>
      </c>
      <c r="C9" t="s">
        <v>303</v>
      </c>
      <c r="D9" t="s">
        <v>304</v>
      </c>
      <c r="E9" t="s">
        <v>104</v>
      </c>
      <c r="F9">
        <v>2</v>
      </c>
      <c r="G9" t="s">
        <v>20</v>
      </c>
      <c r="H9" t="s">
        <v>15</v>
      </c>
      <c r="I9" t="s">
        <v>32</v>
      </c>
      <c r="J9">
        <v>950</v>
      </c>
      <c r="K9">
        <v>1</v>
      </c>
      <c r="L9">
        <v>950</v>
      </c>
      <c r="M9" s="5">
        <f>VLOOKUP(I9,[1]haircut!$A$1:$B$54,2,FALSE)</f>
        <v>7.0000000000000007E-2</v>
      </c>
      <c r="N9">
        <v>1</v>
      </c>
      <c r="O9">
        <v>950</v>
      </c>
      <c r="Y9">
        <v>50</v>
      </c>
      <c r="Z9">
        <f t="shared" si="0"/>
        <v>475</v>
      </c>
      <c r="AA9">
        <v>60</v>
      </c>
      <c r="AB9">
        <f t="shared" si="1"/>
        <v>570</v>
      </c>
      <c r="AC9">
        <f t="shared" si="2"/>
        <v>0.83333333333333337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K7"/>
  <sheetViews>
    <sheetView zoomScaleNormal="100" workbookViewId="0"/>
  </sheetViews>
  <sheetFormatPr defaultRowHeight="13.2" x14ac:dyDescent="0.25"/>
  <cols>
    <col min="1" max="1" width="20.5546875" bestFit="1" customWidth="1"/>
    <col min="2" max="2" width="14.5546875" bestFit="1" customWidth="1"/>
    <col min="3" max="3" width="9.5546875" bestFit="1" customWidth="1"/>
    <col min="4" max="4" width="7.33203125" bestFit="1" customWidth="1"/>
    <col min="5" max="5" width="10.6640625" bestFit="1" customWidth="1"/>
    <col min="6" max="6" width="9.109375" customWidth="1"/>
    <col min="7" max="7" width="18.33203125" bestFit="1" customWidth="1"/>
    <col min="8" max="8" width="22.6640625" bestFit="1" customWidth="1"/>
    <col min="9" max="9" width="34.109375" bestFit="1" customWidth="1"/>
    <col min="10" max="10" width="21.6640625" bestFit="1" customWidth="1"/>
    <col min="11" max="11" width="12.109375" bestFit="1" customWidth="1"/>
  </cols>
  <sheetData>
    <row r="1" spans="1:11" x14ac:dyDescent="0.25">
      <c r="A1" s="25" t="s">
        <v>223</v>
      </c>
      <c r="B1" s="25" t="s">
        <v>224</v>
      </c>
      <c r="C1" s="31" t="s">
        <v>353</v>
      </c>
      <c r="D1" s="10" t="s">
        <v>110</v>
      </c>
      <c r="E1" s="10" t="s">
        <v>25</v>
      </c>
      <c r="F1" s="10" t="s">
        <v>24</v>
      </c>
      <c r="G1" s="10" t="s">
        <v>152</v>
      </c>
      <c r="H1" s="21" t="s">
        <v>292</v>
      </c>
      <c r="I1" s="26" t="s">
        <v>293</v>
      </c>
      <c r="J1" s="21" t="s">
        <v>294</v>
      </c>
      <c r="K1" t="s">
        <v>355</v>
      </c>
    </row>
    <row r="2" spans="1:11" x14ac:dyDescent="0.25">
      <c r="A2">
        <v>6</v>
      </c>
      <c r="B2" t="s">
        <v>12</v>
      </c>
      <c r="C2" t="s">
        <v>345</v>
      </c>
      <c r="D2" t="s">
        <v>7</v>
      </c>
      <c r="E2" t="s">
        <v>17</v>
      </c>
      <c r="F2">
        <f>VLOOKUP(E2,haircut!$A:$B,2,FALSE)</f>
        <v>0</v>
      </c>
      <c r="G2">
        <v>-600</v>
      </c>
      <c r="K2">
        <v>1</v>
      </c>
    </row>
    <row r="3" spans="1:11" x14ac:dyDescent="0.25">
      <c r="A3">
        <v>6</v>
      </c>
      <c r="B3" t="s">
        <v>12</v>
      </c>
      <c r="C3" t="s">
        <v>346</v>
      </c>
      <c r="D3" t="s">
        <v>7</v>
      </c>
      <c r="E3" t="s">
        <v>17</v>
      </c>
      <c r="F3">
        <f>VLOOKUP(E3,haircut!$A:$B,2,FALSE)</f>
        <v>0</v>
      </c>
      <c r="G3">
        <v>-300</v>
      </c>
      <c r="K3">
        <v>1</v>
      </c>
    </row>
    <row r="4" spans="1:11" x14ac:dyDescent="0.25">
      <c r="A4">
        <v>6</v>
      </c>
      <c r="B4" t="s">
        <v>12</v>
      </c>
      <c r="C4" t="s">
        <v>347</v>
      </c>
      <c r="D4" t="s">
        <v>7</v>
      </c>
      <c r="E4" t="s">
        <v>45</v>
      </c>
      <c r="F4">
        <f>VLOOKUP(E4,haircut!$A:$B,2,FALSE)</f>
        <v>0.15</v>
      </c>
      <c r="G4">
        <v>-500</v>
      </c>
      <c r="K4">
        <v>2</v>
      </c>
    </row>
    <row r="5" spans="1:11" x14ac:dyDescent="0.25">
      <c r="A5">
        <v>6</v>
      </c>
      <c r="B5" t="s">
        <v>12</v>
      </c>
      <c r="C5" t="s">
        <v>348</v>
      </c>
      <c r="D5" t="s">
        <v>7</v>
      </c>
      <c r="E5" t="s">
        <v>66</v>
      </c>
      <c r="F5">
        <f>VLOOKUP(E5,haircut!$A:$B,2,FALSE)</f>
        <v>0.2</v>
      </c>
      <c r="G5">
        <v>-400</v>
      </c>
      <c r="K5">
        <v>3</v>
      </c>
    </row>
    <row r="6" spans="1:11" x14ac:dyDescent="0.25">
      <c r="A6">
        <v>6</v>
      </c>
      <c r="B6" t="s">
        <v>12</v>
      </c>
      <c r="C6" t="s">
        <v>349</v>
      </c>
      <c r="D6" t="s">
        <v>8</v>
      </c>
      <c r="E6" t="s">
        <v>17</v>
      </c>
      <c r="F6">
        <f>VLOOKUP(E6,haircut!$A:$B,2,FALSE)</f>
        <v>0</v>
      </c>
      <c r="G6">
        <v>-200</v>
      </c>
      <c r="K6">
        <v>4</v>
      </c>
    </row>
    <row r="7" spans="1:11" x14ac:dyDescent="0.25">
      <c r="A7">
        <v>6</v>
      </c>
      <c r="B7" t="s">
        <v>12</v>
      </c>
      <c r="C7" t="s">
        <v>350</v>
      </c>
      <c r="D7" t="s">
        <v>8</v>
      </c>
      <c r="E7" t="s">
        <v>70</v>
      </c>
      <c r="F7">
        <f>VLOOKUP(E7,haircut!$A:$B,2,FALSE)</f>
        <v>0.05</v>
      </c>
      <c r="G7">
        <v>-100</v>
      </c>
      <c r="K7">
        <v>5</v>
      </c>
    </row>
  </sheetData>
  <autoFilter ref="A1:K7"/>
  <sortState ref="A2:H7">
    <sortCondition ref="A1"/>
  </sortState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H9"/>
  <sheetViews>
    <sheetView workbookViewId="0">
      <selection activeCell="H4" sqref="H4"/>
    </sheetView>
  </sheetViews>
  <sheetFormatPr defaultRowHeight="13.2" x14ac:dyDescent="0.25"/>
  <cols>
    <col min="1" max="1" width="13.88671875" bestFit="1" customWidth="1"/>
    <col min="2" max="2" width="12.88671875" bestFit="1" customWidth="1"/>
    <col min="3" max="3" width="14.88671875" customWidth="1"/>
    <col min="5" max="5" width="13.88671875" bestFit="1" customWidth="1"/>
    <col min="6" max="6" width="20.44140625" bestFit="1" customWidth="1"/>
    <col min="7" max="7" width="23.88671875" bestFit="1" customWidth="1"/>
  </cols>
  <sheetData>
    <row r="2" spans="1:8" x14ac:dyDescent="0.25">
      <c r="E2" t="s">
        <v>196</v>
      </c>
    </row>
    <row r="3" spans="1:8" x14ac:dyDescent="0.25">
      <c r="A3" s="7" t="s">
        <v>78</v>
      </c>
      <c r="B3" t="s">
        <v>80</v>
      </c>
      <c r="C3" t="s">
        <v>102</v>
      </c>
      <c r="E3" s="7" t="s">
        <v>78</v>
      </c>
      <c r="F3" t="s">
        <v>101</v>
      </c>
      <c r="G3" t="s">
        <v>110</v>
      </c>
      <c r="H3" t="s">
        <v>111</v>
      </c>
    </row>
    <row r="4" spans="1:8" x14ac:dyDescent="0.25">
      <c r="A4" s="8" t="s">
        <v>17</v>
      </c>
      <c r="B4" s="9">
        <v>3</v>
      </c>
      <c r="C4" s="9">
        <v>3</v>
      </c>
      <c r="E4" s="8">
        <v>1</v>
      </c>
      <c r="F4" s="9">
        <v>-900</v>
      </c>
      <c r="G4" t="e">
        <f>VLOOKUP($E4,expos!$D:$F,3,FALSE)</f>
        <v>#N/A</v>
      </c>
      <c r="H4" t="e">
        <f>VLOOKUP($E4,expos!$D:$F,3,FALSE)</f>
        <v>#N/A</v>
      </c>
    </row>
    <row r="5" spans="1:8" x14ac:dyDescent="0.25">
      <c r="A5" s="8" t="s">
        <v>70</v>
      </c>
      <c r="B5" s="9">
        <v>2</v>
      </c>
      <c r="C5" s="9">
        <v>2</v>
      </c>
      <c r="E5" s="8">
        <v>2</v>
      </c>
      <c r="F5" s="9">
        <v>-500</v>
      </c>
      <c r="G5" t="e">
        <f>VLOOKUP($E5,expos!$D:$F,3,FALSE)</f>
        <v>#N/A</v>
      </c>
    </row>
    <row r="6" spans="1:8" x14ac:dyDescent="0.25">
      <c r="A6" s="8" t="s">
        <v>45</v>
      </c>
      <c r="B6" s="9">
        <v>1</v>
      </c>
      <c r="C6" s="9">
        <v>1</v>
      </c>
      <c r="E6" s="8">
        <v>3</v>
      </c>
      <c r="F6" s="9">
        <v>-400</v>
      </c>
      <c r="G6" t="e">
        <f>VLOOKUP($E6,expos!$D:$F,3,FALSE)</f>
        <v>#N/A</v>
      </c>
    </row>
    <row r="7" spans="1:8" x14ac:dyDescent="0.25">
      <c r="A7" s="8" t="s">
        <v>97</v>
      </c>
      <c r="B7" s="9"/>
      <c r="C7" s="9"/>
      <c r="E7" s="8">
        <v>4</v>
      </c>
      <c r="F7" s="9">
        <v>-200</v>
      </c>
      <c r="G7" t="e">
        <f>VLOOKUP($E7,expos!$D:$F,3,FALSE)</f>
        <v>#N/A</v>
      </c>
    </row>
    <row r="8" spans="1:8" x14ac:dyDescent="0.25">
      <c r="A8" s="8" t="s">
        <v>79</v>
      </c>
      <c r="B8" s="9">
        <v>6</v>
      </c>
      <c r="C8" s="9">
        <v>6</v>
      </c>
      <c r="E8" s="8">
        <v>5</v>
      </c>
      <c r="F8" s="9">
        <v>-100</v>
      </c>
      <c r="G8" t="e">
        <f>VLOOKUP($E8,expos!$D:$F,3,FALSE)</f>
        <v>#N/A</v>
      </c>
    </row>
    <row r="9" spans="1:8" x14ac:dyDescent="0.25">
      <c r="E9" s="8" t="s">
        <v>79</v>
      </c>
      <c r="F9" s="9">
        <v>-2100</v>
      </c>
    </row>
  </sheetData>
  <customSheetViews>
    <customSheetView guid="{F4545DFF-08E6-4CDF-9134-6A3BEA3A7F51}">
      <selection activeCell="B7" sqref="B7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14"/>
  <sheetViews>
    <sheetView workbookViewId="0">
      <selection activeCell="F8" sqref="F8"/>
    </sheetView>
  </sheetViews>
  <sheetFormatPr defaultRowHeight="13.2" x14ac:dyDescent="0.25"/>
  <cols>
    <col min="1" max="1" width="4.88671875" bestFit="1" customWidth="1"/>
    <col min="2" max="2" width="5.33203125" bestFit="1" customWidth="1"/>
    <col min="3" max="3" width="9.6640625" bestFit="1" customWidth="1"/>
    <col min="4" max="4" width="9.6640625" customWidth="1"/>
    <col min="5" max="5" width="12.5546875" bestFit="1" customWidth="1"/>
    <col min="6" max="6" width="5.88671875" bestFit="1" customWidth="1"/>
    <col min="7" max="7" width="10.33203125" bestFit="1" customWidth="1"/>
    <col min="8" max="8" width="10.33203125" customWidth="1"/>
    <col min="9" max="9" width="12" bestFit="1" customWidth="1"/>
    <col min="10" max="10" width="9.88671875" bestFit="1" customWidth="1"/>
    <col min="11" max="11" width="12" bestFit="1" customWidth="1"/>
    <col min="12" max="12" width="12.5546875" bestFit="1" customWidth="1"/>
    <col min="13" max="13" width="12.5546875" customWidth="1"/>
    <col min="14" max="14" width="12.5546875" bestFit="1" customWidth="1"/>
    <col min="15" max="15" width="9.5546875" bestFit="1" customWidth="1"/>
    <col min="16" max="16" width="13.44140625" bestFit="1" customWidth="1"/>
    <col min="17" max="17" width="27.88671875" bestFit="1" customWidth="1"/>
  </cols>
  <sheetData>
    <row r="1" spans="1:17" x14ac:dyDescent="0.25">
      <c r="A1" s="12" t="s">
        <v>81</v>
      </c>
      <c r="B1" s="10" t="s">
        <v>84</v>
      </c>
      <c r="C1" t="s">
        <v>89</v>
      </c>
      <c r="D1" t="s">
        <v>110</v>
      </c>
      <c r="E1" t="s">
        <v>85</v>
      </c>
      <c r="F1" s="10" t="s">
        <v>82</v>
      </c>
      <c r="G1" t="s">
        <v>90</v>
      </c>
      <c r="H1" t="s">
        <v>110</v>
      </c>
      <c r="I1" t="s">
        <v>83</v>
      </c>
      <c r="J1" t="s">
        <v>88</v>
      </c>
      <c r="K1" t="s">
        <v>86</v>
      </c>
      <c r="L1" t="s">
        <v>108</v>
      </c>
      <c r="M1" t="s">
        <v>109</v>
      </c>
      <c r="N1" t="s">
        <v>87</v>
      </c>
      <c r="O1" s="11" t="s">
        <v>98</v>
      </c>
      <c r="P1" s="11" t="s">
        <v>99</v>
      </c>
      <c r="Q1" t="s">
        <v>106</v>
      </c>
    </row>
    <row r="2" spans="1:17" x14ac:dyDescent="0.25">
      <c r="A2">
        <v>1</v>
      </c>
      <c r="B2">
        <v>1</v>
      </c>
      <c r="C2" t="e">
        <f>VLOOKUP(steps!$B2,expos!$D:$H,4,FALSE)</f>
        <v>#N/A</v>
      </c>
      <c r="D2" t="e">
        <f>VLOOKUP(steps!$B2,expos!$D:$H,3,FALSE)</f>
        <v>#N/A</v>
      </c>
      <c r="E2">
        <f>IF($B2=$B1,MAX(VLOOKUP(steps!$B2,pivot!$E:$F,2,FALSE),L1),(VLOOKUP(steps!$B2,pivot!$E:$F,2,FALSE)))</f>
        <v>-900</v>
      </c>
      <c r="F2" t="s">
        <v>93</v>
      </c>
      <c r="G2" t="e">
        <f>VLOOKUP($F2,assets!$H:$R,3,FALSE)</f>
        <v>#N/A</v>
      </c>
      <c r="H2" t="e">
        <f>VLOOKUP($F2,assets!$H:$R,2,FALSE)</f>
        <v>#N/A</v>
      </c>
      <c r="I2" t="e">
        <f>IF(F1=F2,MIN(N1,VLOOKUP($F2,assets!$H:$R,7,FALSE)),VLOOKUP($F2,assets!$H:$R,7,FALSE))</f>
        <v>#N/A</v>
      </c>
      <c r="J2" t="e">
        <f>IF(C2=G2,0,MAX(VLOOKUP($F2,assets!$H:$R,4,FALSE),VLOOKUP($B2,expos!$D:$I,6,FALSE)))</f>
        <v>#N/A</v>
      </c>
      <c r="K2" t="e">
        <f>I2*(1-J2)</f>
        <v>#N/A</v>
      </c>
      <c r="L2" t="e">
        <f>E2+K2</f>
        <v>#N/A</v>
      </c>
      <c r="M2" t="e">
        <f>MAX(0,L2)</f>
        <v>#N/A</v>
      </c>
      <c r="N2" t="e">
        <f>M2/(1-J2)</f>
        <v>#N/A</v>
      </c>
      <c r="O2" t="e">
        <f>IF(L2&lt;0,"In process","Covered")</f>
        <v>#N/A</v>
      </c>
      <c r="P2" t="e">
        <f>IF(M2=0,"Consumed","Not consumed")</f>
        <v>#N/A</v>
      </c>
    </row>
    <row r="3" spans="1:17" x14ac:dyDescent="0.25">
      <c r="A3">
        <v>2</v>
      </c>
      <c r="B3">
        <v>1</v>
      </c>
      <c r="C3" t="e">
        <f>VLOOKUP(steps!$B3,expos!$D:$H,4,FALSE)</f>
        <v>#N/A</v>
      </c>
      <c r="D3" t="e">
        <f>VLOOKUP(steps!$B3,expos!$D:$H,3,FALSE)</f>
        <v>#N/A</v>
      </c>
      <c r="E3" t="e">
        <f>IF($B3=$B2,MAX(VLOOKUP(steps!$B3,pivot!$E:$F,2,FALSE),L2),(VLOOKUP(steps!$B3,pivot!$E:$F,2,FALSE)))</f>
        <v>#N/A</v>
      </c>
      <c r="F3" t="s">
        <v>91</v>
      </c>
      <c r="G3" t="e">
        <f>VLOOKUP($F3,assets!$H:$R,3,FALSE)</f>
        <v>#N/A</v>
      </c>
      <c r="H3" t="e">
        <f>VLOOKUP($F3,assets!$H:$R,2,FALSE)</f>
        <v>#N/A</v>
      </c>
      <c r="I3" t="e">
        <f>IF(F2=F3,MIN(N2,VLOOKUP($F3,assets!$H:$R,7,FALSE)),VLOOKUP($F3,assets!$H:$R,7,FALSE))</f>
        <v>#N/A</v>
      </c>
      <c r="J3" t="e">
        <f>IF(C3=G3,0,MAX(VLOOKUP($F3,assets!$H:$R,4,FALSE),VLOOKUP($B3,expos!$D:$I,6,FALSE)))</f>
        <v>#N/A</v>
      </c>
      <c r="K3" t="e">
        <f>I3*(1-J3)</f>
        <v>#N/A</v>
      </c>
      <c r="L3" t="e">
        <f t="shared" ref="L3:L14" si="0">E3+K3</f>
        <v>#N/A</v>
      </c>
      <c r="M3" t="e">
        <f t="shared" ref="M3:M14" si="1">MAX(0,L3)</f>
        <v>#N/A</v>
      </c>
      <c r="N3" t="e">
        <f t="shared" ref="N3:N14" si="2">M3/(1-J3)</f>
        <v>#N/A</v>
      </c>
      <c r="O3" t="e">
        <f t="shared" ref="O3:O14" si="3">IF(L3&lt;0,"In process","Covered")</f>
        <v>#N/A</v>
      </c>
      <c r="P3" t="e">
        <f t="shared" ref="P3:P14" si="4">IF(M3=0,"Consumed","Not consumed")</f>
        <v>#N/A</v>
      </c>
      <c r="Q3" t="s">
        <v>112</v>
      </c>
    </row>
    <row r="4" spans="1:17" x14ac:dyDescent="0.25">
      <c r="A4">
        <v>3</v>
      </c>
      <c r="B4">
        <v>2</v>
      </c>
      <c r="C4" t="e">
        <f>VLOOKUP(steps!$B4,expos!$D:$H,4,FALSE)</f>
        <v>#N/A</v>
      </c>
      <c r="D4" t="e">
        <f>VLOOKUP(steps!$B4,expos!$D:$H,3,FALSE)</f>
        <v>#N/A</v>
      </c>
      <c r="E4">
        <f>IF($B4=$B3,MAX(VLOOKUP(steps!$B4,pivot!$E:$F,2,FALSE),L3),(VLOOKUP(steps!$B4,pivot!$E:$F,2,FALSE)))</f>
        <v>-500</v>
      </c>
      <c r="G4" t="e">
        <f>VLOOKUP($F4,assets!$H:$R,3,FALSE)</f>
        <v>#N/A</v>
      </c>
      <c r="H4" t="e">
        <f>VLOOKUP($F4,assets!$H:$R,2,FALSE)</f>
        <v>#N/A</v>
      </c>
      <c r="I4" t="e">
        <f>IF(F3=F4,MIN(N3,VLOOKUP($F4,assets!$H:$R,7,FALSE)),VLOOKUP($F4,assets!$H:$R,7,FALSE))</f>
        <v>#N/A</v>
      </c>
      <c r="J4" t="e">
        <f>IF(C4=G4,0,MAX(VLOOKUP($F4,assets!$H:$R,4,FALSE),VLOOKUP($B4,expos!$D:$I,6,FALSE)))</f>
        <v>#N/A</v>
      </c>
      <c r="K4" t="e">
        <f t="shared" ref="K4:K14" si="5">I4*(1-J4)</f>
        <v>#N/A</v>
      </c>
      <c r="L4" t="e">
        <f t="shared" si="0"/>
        <v>#N/A</v>
      </c>
      <c r="M4" t="e">
        <f t="shared" si="1"/>
        <v>#N/A</v>
      </c>
      <c r="N4" t="e">
        <f t="shared" si="2"/>
        <v>#N/A</v>
      </c>
      <c r="O4" t="e">
        <f t="shared" si="3"/>
        <v>#N/A</v>
      </c>
      <c r="P4" t="e">
        <f t="shared" si="4"/>
        <v>#N/A</v>
      </c>
      <c r="Q4" t="s">
        <v>105</v>
      </c>
    </row>
    <row r="5" spans="1:17" x14ac:dyDescent="0.25">
      <c r="A5">
        <v>4</v>
      </c>
      <c r="B5">
        <v>3</v>
      </c>
      <c r="C5" t="e">
        <f>VLOOKUP(steps!$B5,expos!$D:$H,4,FALSE)</f>
        <v>#N/A</v>
      </c>
      <c r="D5" t="e">
        <f>VLOOKUP(steps!$B5,expos!$D:$H,3,FALSE)</f>
        <v>#N/A</v>
      </c>
      <c r="E5">
        <f>IF($B5=$B4,MAX(VLOOKUP(steps!$B5,pivot!$E:$F,2,FALSE),L4),(VLOOKUP(steps!$B5,pivot!$E:$F,2,FALSE)))</f>
        <v>-400</v>
      </c>
      <c r="G5" t="e">
        <f>VLOOKUP($F5,assets!$H:$R,3,FALSE)</f>
        <v>#N/A</v>
      </c>
      <c r="H5" t="e">
        <f>VLOOKUP($F5,assets!$H:$R,2,FALSE)</f>
        <v>#N/A</v>
      </c>
      <c r="I5" t="e">
        <f>IF(F4=F5,MIN(N4,VLOOKUP($F5,assets!$H:$R,7,FALSE)),VLOOKUP($F5,assets!$H:$R,7,FALSE))</f>
        <v>#N/A</v>
      </c>
      <c r="J5" t="e">
        <f>IF(C5=G5,0,MAX(VLOOKUP($F5,assets!$H:$R,4,FALSE),VLOOKUP($B5,expos!$D:$I,6,FALSE)))</f>
        <v>#N/A</v>
      </c>
      <c r="K5" t="e">
        <f t="shared" si="5"/>
        <v>#N/A</v>
      </c>
      <c r="L5" t="e">
        <f t="shared" si="0"/>
        <v>#N/A</v>
      </c>
      <c r="M5" t="e">
        <f t="shared" si="1"/>
        <v>#N/A</v>
      </c>
      <c r="N5" t="e">
        <f t="shared" si="2"/>
        <v>#N/A</v>
      </c>
      <c r="O5" t="e">
        <f t="shared" si="3"/>
        <v>#N/A</v>
      </c>
      <c r="P5" t="e">
        <f t="shared" si="4"/>
        <v>#N/A</v>
      </c>
      <c r="Q5" t="s">
        <v>105</v>
      </c>
    </row>
    <row r="6" spans="1:17" x14ac:dyDescent="0.25">
      <c r="A6">
        <v>5</v>
      </c>
      <c r="B6">
        <v>1</v>
      </c>
      <c r="C6" t="e">
        <f>VLOOKUP(steps!$B6,expos!$D:$H,4,FALSE)</f>
        <v>#N/A</v>
      </c>
      <c r="D6" t="e">
        <f>VLOOKUP(steps!$B6,expos!$D:$H,3,FALSE)</f>
        <v>#N/A</v>
      </c>
      <c r="E6" t="e">
        <f>L3</f>
        <v>#N/A</v>
      </c>
      <c r="F6" t="s">
        <v>92</v>
      </c>
      <c r="G6" t="e">
        <f>VLOOKUP($F6,assets!$H:$R,3,FALSE)</f>
        <v>#N/A</v>
      </c>
      <c r="H6" t="e">
        <f>VLOOKUP($F6,assets!$H:$R,2,FALSE)</f>
        <v>#N/A</v>
      </c>
      <c r="I6" t="e">
        <f>IF(F5=F6,MIN(N5,VLOOKUP($F6,assets!$H:$R,7,FALSE)),VLOOKUP($F6,assets!$H:$R,7,FALSE))</f>
        <v>#N/A</v>
      </c>
      <c r="J6" t="e">
        <f>IF(C6=G6,0,MAX(VLOOKUP($F6,assets!$H:$R,4,FALSE),VLOOKUP($B6,expos!$D:$I,6,FALSE)))</f>
        <v>#N/A</v>
      </c>
      <c r="K6" t="e">
        <f t="shared" si="5"/>
        <v>#N/A</v>
      </c>
      <c r="L6" t="e">
        <f t="shared" si="0"/>
        <v>#N/A</v>
      </c>
      <c r="M6" t="e">
        <f t="shared" si="1"/>
        <v>#N/A</v>
      </c>
      <c r="N6" t="e">
        <f t="shared" si="2"/>
        <v>#N/A</v>
      </c>
      <c r="O6" t="e">
        <f t="shared" si="3"/>
        <v>#N/A</v>
      </c>
      <c r="P6" t="e">
        <f t="shared" si="4"/>
        <v>#N/A</v>
      </c>
      <c r="Q6" t="s">
        <v>107</v>
      </c>
    </row>
    <row r="7" spans="1:17" x14ac:dyDescent="0.25">
      <c r="A7">
        <v>6</v>
      </c>
      <c r="B7">
        <v>1</v>
      </c>
      <c r="C7" t="e">
        <f>VLOOKUP(steps!$B7,expos!$D:$H,4,FALSE)</f>
        <v>#N/A</v>
      </c>
      <c r="D7" t="e">
        <f>VLOOKUP(steps!$B7,expos!$D:$H,3,FALSE)</f>
        <v>#N/A</v>
      </c>
      <c r="E7" t="e">
        <f>IF($B7=$B6,MAX(VLOOKUP(steps!$B7,pivot!$E:$F,2,FALSE),L6),(VLOOKUP(steps!$B7,pivot!$E:$F,2,FALSE)))</f>
        <v>#N/A</v>
      </c>
      <c r="F7" t="s">
        <v>104</v>
      </c>
      <c r="G7" t="e">
        <f>VLOOKUP($F7,assets!$H:$R,3,FALSE)</f>
        <v>#N/A</v>
      </c>
      <c r="H7" t="e">
        <f>VLOOKUP($F7,assets!$H:$R,2,FALSE)</f>
        <v>#N/A</v>
      </c>
      <c r="I7" t="e">
        <f>IF(F6=F7,MIN(N6,VLOOKUP($F7,assets!$H:$R,7,FALSE)),VLOOKUP($F7,assets!$H:$R,7,FALSE))</f>
        <v>#N/A</v>
      </c>
      <c r="J7" t="e">
        <f>IF(C7=G7,0,MAX(VLOOKUP($F7,assets!$H:$R,4,FALSE),VLOOKUP($B7,expos!$D:$I,6,FALSE)))</f>
        <v>#N/A</v>
      </c>
      <c r="K7" t="e">
        <f t="shared" si="5"/>
        <v>#N/A</v>
      </c>
      <c r="L7" t="e">
        <f t="shared" si="0"/>
        <v>#N/A</v>
      </c>
      <c r="M7" t="e">
        <f t="shared" si="1"/>
        <v>#N/A</v>
      </c>
      <c r="N7" t="e">
        <f t="shared" si="2"/>
        <v>#N/A</v>
      </c>
      <c r="O7" t="e">
        <f t="shared" si="3"/>
        <v>#N/A</v>
      </c>
      <c r="P7" t="e">
        <f t="shared" si="4"/>
        <v>#N/A</v>
      </c>
    </row>
    <row r="8" spans="1:17" x14ac:dyDescent="0.25">
      <c r="A8">
        <v>7</v>
      </c>
      <c r="B8">
        <v>2</v>
      </c>
      <c r="C8" t="e">
        <f>VLOOKUP(steps!$B8,expos!$D:$H,4,FALSE)</f>
        <v>#N/A</v>
      </c>
      <c r="D8" t="e">
        <f>VLOOKUP(steps!$B8,expos!$D:$H,3,FALSE)</f>
        <v>#N/A</v>
      </c>
      <c r="E8">
        <f>IF($B8=$B7,MAX(VLOOKUP(steps!$B8,pivot!$E:$F,2,FALSE),L7),(VLOOKUP(steps!$B8,pivot!$E:$F,2,FALSE)))</f>
        <v>-500</v>
      </c>
      <c r="F8" t="s">
        <v>104</v>
      </c>
      <c r="G8" t="e">
        <f>VLOOKUP($F8,assets!$H:$R,3,FALSE)</f>
        <v>#N/A</v>
      </c>
      <c r="H8" t="e">
        <f>VLOOKUP($F8,assets!$H:$R,2,FALSE)</f>
        <v>#N/A</v>
      </c>
      <c r="I8" t="e">
        <f>IF(F7=F8,MIN(N7,VLOOKUP($F8,assets!$H:$R,7,FALSE)),VLOOKUP($F8,assets!$H:$R,7,FALSE))</f>
        <v>#N/A</v>
      </c>
      <c r="J8" t="e">
        <f>IF(C8=G8,0,MAX(VLOOKUP($F8,assets!$H:$R,4,FALSE),VLOOKUP($B8,expos!$D:$I,6,FALSE)))</f>
        <v>#N/A</v>
      </c>
      <c r="K8" t="e">
        <f t="shared" si="5"/>
        <v>#N/A</v>
      </c>
      <c r="L8" t="e">
        <f>E8+K8</f>
        <v>#N/A</v>
      </c>
      <c r="M8" t="e">
        <f t="shared" si="1"/>
        <v>#N/A</v>
      </c>
      <c r="N8" t="e">
        <f t="shared" si="2"/>
        <v>#N/A</v>
      </c>
      <c r="O8" t="e">
        <f t="shared" si="3"/>
        <v>#N/A</v>
      </c>
      <c r="P8" t="e">
        <f t="shared" si="4"/>
        <v>#N/A</v>
      </c>
    </row>
    <row r="9" spans="1:17" x14ac:dyDescent="0.25">
      <c r="A9">
        <v>8</v>
      </c>
      <c r="B9">
        <v>2</v>
      </c>
      <c r="C9" t="e">
        <f>VLOOKUP(steps!$B9,expos!$D:$H,4,FALSE)</f>
        <v>#N/A</v>
      </c>
      <c r="D9" t="e">
        <f>VLOOKUP(steps!$B9,expos!$D:$H,3,FALSE)</f>
        <v>#N/A</v>
      </c>
      <c r="E9" t="e">
        <f>IF($B9=$B8,MAX(VLOOKUP(steps!$B9,pivot!$E:$F,2,FALSE),L8),(VLOOKUP(steps!$B9,pivot!$E:$F,2,FALSE)))</f>
        <v>#N/A</v>
      </c>
      <c r="F9" t="s">
        <v>103</v>
      </c>
      <c r="G9" t="e">
        <f>VLOOKUP($F9,assets!$H:$R,3,FALSE)</f>
        <v>#N/A</v>
      </c>
      <c r="H9" t="e">
        <f>VLOOKUP($F9,assets!$H:$R,2,FALSE)</f>
        <v>#N/A</v>
      </c>
      <c r="I9" t="e">
        <f>IF(F8=F9,MIN(N8,VLOOKUP($F9,assets!$H:$R,7,FALSE)),VLOOKUP($F9,assets!$H:$R,7,FALSE))</f>
        <v>#N/A</v>
      </c>
      <c r="J9" t="e">
        <f>IF(C9=G9,0,MAX(VLOOKUP($F9,assets!$H:$R,4,FALSE),VLOOKUP($B9,expos!$D:$I,6,FALSE)))</f>
        <v>#N/A</v>
      </c>
      <c r="K9" t="e">
        <f t="shared" si="5"/>
        <v>#N/A</v>
      </c>
      <c r="L9" t="e">
        <f t="shared" si="0"/>
        <v>#N/A</v>
      </c>
      <c r="M9" t="e">
        <f t="shared" si="1"/>
        <v>#N/A</v>
      </c>
      <c r="N9" t="e">
        <f t="shared" si="2"/>
        <v>#N/A</v>
      </c>
      <c r="O9" t="e">
        <f t="shared" si="3"/>
        <v>#N/A</v>
      </c>
      <c r="P9" t="e">
        <f t="shared" si="4"/>
        <v>#N/A</v>
      </c>
    </row>
    <row r="10" spans="1:17" x14ac:dyDescent="0.25">
      <c r="A10">
        <v>9</v>
      </c>
      <c r="B10">
        <v>2</v>
      </c>
      <c r="C10" t="e">
        <f>VLOOKUP(steps!$B10,expos!$D:$H,4,FALSE)</f>
        <v>#N/A</v>
      </c>
      <c r="D10" t="e">
        <f>VLOOKUP(steps!$B10,expos!$D:$H,3,FALSE)</f>
        <v>#N/A</v>
      </c>
      <c r="E10" t="e">
        <f>IF($B10=$B9,MAX(VLOOKUP(steps!$B10,pivot!$E:$F,2,FALSE),L9),(VLOOKUP(steps!$B10,pivot!$E:$F,2,FALSE)))</f>
        <v>#N/A</v>
      </c>
      <c r="F10" t="s">
        <v>94</v>
      </c>
      <c r="G10" t="e">
        <f>VLOOKUP($F10,assets!$H:$R,3,FALSE)</f>
        <v>#N/A</v>
      </c>
      <c r="H10" t="e">
        <f>VLOOKUP($F10,assets!$H:$R,2,FALSE)</f>
        <v>#N/A</v>
      </c>
      <c r="I10" t="e">
        <f>IF(F9=F10,MIN(N9,VLOOKUP($F10,assets!$H:$R,7,FALSE)),VLOOKUP($F10,assets!$H:$R,7,FALSE))</f>
        <v>#N/A</v>
      </c>
      <c r="J10" t="e">
        <f>IF(C10=G10,0,MAX(VLOOKUP($F10,assets!$H:$R,4,FALSE),VLOOKUP($B10,expos!$D:$I,6,FALSE)))</f>
        <v>#N/A</v>
      </c>
      <c r="K10" t="e">
        <f t="shared" si="5"/>
        <v>#N/A</v>
      </c>
      <c r="L10" t="e">
        <f t="shared" si="0"/>
        <v>#N/A</v>
      </c>
      <c r="M10" t="e">
        <f t="shared" si="1"/>
        <v>#N/A</v>
      </c>
      <c r="N10" t="e">
        <f t="shared" si="2"/>
        <v>#N/A</v>
      </c>
      <c r="O10" t="e">
        <f t="shared" si="3"/>
        <v>#N/A</v>
      </c>
      <c r="P10" t="e">
        <f t="shared" si="4"/>
        <v>#N/A</v>
      </c>
    </row>
    <row r="11" spans="1:17" x14ac:dyDescent="0.25">
      <c r="A11">
        <v>10</v>
      </c>
      <c r="B11">
        <v>3</v>
      </c>
      <c r="C11" t="e">
        <f>VLOOKUP(steps!$B11,expos!$D:$H,4,FALSE)</f>
        <v>#N/A</v>
      </c>
      <c r="D11" t="e">
        <f>VLOOKUP(steps!$B11,expos!$D:$H,3,FALSE)</f>
        <v>#N/A</v>
      </c>
      <c r="E11" t="e">
        <f>L9</f>
        <v>#N/A</v>
      </c>
      <c r="F11" t="s">
        <v>96</v>
      </c>
      <c r="G11" t="e">
        <f>VLOOKUP($F11,assets!$H:$R,3,FALSE)</f>
        <v>#N/A</v>
      </c>
      <c r="H11" t="e">
        <f>VLOOKUP($F11,assets!$H:$R,2,FALSE)</f>
        <v>#N/A</v>
      </c>
      <c r="I11" t="e">
        <f>IF(F10=F11,MIN(N10,VLOOKUP($F11,assets!$H:$R,7,FALSE)),VLOOKUP($F11,assets!$H:$R,7,FALSE))</f>
        <v>#N/A</v>
      </c>
      <c r="J11" t="e">
        <f>IF(C11=G11,0,MAX(VLOOKUP($F11,assets!$H:$R,4,FALSE),VLOOKUP($B11,expos!$D:$I,6,FALSE)))</f>
        <v>#N/A</v>
      </c>
      <c r="K11" t="e">
        <f t="shared" si="5"/>
        <v>#N/A</v>
      </c>
      <c r="L11" t="e">
        <f t="shared" si="0"/>
        <v>#N/A</v>
      </c>
      <c r="M11" t="e">
        <f t="shared" si="1"/>
        <v>#N/A</v>
      </c>
      <c r="N11" t="e">
        <f t="shared" si="2"/>
        <v>#N/A</v>
      </c>
      <c r="O11" t="e">
        <f t="shared" si="3"/>
        <v>#N/A</v>
      </c>
      <c r="P11" t="e">
        <f t="shared" si="4"/>
        <v>#N/A</v>
      </c>
    </row>
    <row r="12" spans="1:17" x14ac:dyDescent="0.25">
      <c r="A12">
        <v>11</v>
      </c>
      <c r="B12">
        <v>4</v>
      </c>
      <c r="C12" t="e">
        <f>VLOOKUP(steps!$B12,expos!$D:$H,4,FALSE)</f>
        <v>#N/A</v>
      </c>
      <c r="D12" t="e">
        <f>VLOOKUP(steps!$B12,expos!$D:$H,3,FALSE)</f>
        <v>#N/A</v>
      </c>
      <c r="E12">
        <f>IF($B12=$B11,MAX(VLOOKUP(steps!$B12,pivot!$E:$F,2,FALSE),L11),(VLOOKUP(steps!$B12,pivot!$E:$F,2,FALSE)))</f>
        <v>-200</v>
      </c>
      <c r="F12" t="s">
        <v>96</v>
      </c>
      <c r="G12" t="e">
        <f>VLOOKUP($F12,assets!$H:$R,3,FALSE)</f>
        <v>#N/A</v>
      </c>
      <c r="H12" t="e">
        <f>VLOOKUP($F12,assets!$H:$R,2,FALSE)</f>
        <v>#N/A</v>
      </c>
      <c r="I12" t="e">
        <f>IF(F11=F12,MIN(N11,VLOOKUP($F12,assets!$H:$R,7,FALSE)),VLOOKUP($F12,assets!$H:$R,7,FALSE))</f>
        <v>#N/A</v>
      </c>
      <c r="J12" t="e">
        <f>IF(C12=G12,0,MAX(VLOOKUP($F12,assets!$H:$R,4,FALSE),VLOOKUP($B12,expos!$D:$I,6,FALSE)))</f>
        <v>#N/A</v>
      </c>
      <c r="K12" t="e">
        <f t="shared" si="5"/>
        <v>#N/A</v>
      </c>
      <c r="L12" t="e">
        <f t="shared" si="0"/>
        <v>#N/A</v>
      </c>
      <c r="M12" t="e">
        <f t="shared" si="1"/>
        <v>#N/A</v>
      </c>
      <c r="N12" t="e">
        <f t="shared" si="2"/>
        <v>#N/A</v>
      </c>
      <c r="O12" t="e">
        <f t="shared" si="3"/>
        <v>#N/A</v>
      </c>
      <c r="P12" t="e">
        <f t="shared" si="4"/>
        <v>#N/A</v>
      </c>
    </row>
    <row r="13" spans="1:17" x14ac:dyDescent="0.25">
      <c r="A13">
        <v>12</v>
      </c>
      <c r="B13">
        <v>4</v>
      </c>
      <c r="C13" t="e">
        <f>VLOOKUP(steps!$B13,expos!$D:$H,4,FALSE)</f>
        <v>#N/A</v>
      </c>
      <c r="D13" t="e">
        <f>VLOOKUP(steps!$B13,expos!$D:$H,3,FALSE)</f>
        <v>#N/A</v>
      </c>
      <c r="E13" t="e">
        <f>IF($B13=$B12,MAX(VLOOKUP(steps!$B13,pivot!$E:$F,2,FALSE),L12),(VLOOKUP(steps!$B13,pivot!$E:$F,2,FALSE)))</f>
        <v>#N/A</v>
      </c>
      <c r="F13" t="s">
        <v>95</v>
      </c>
      <c r="G13" t="e">
        <f>VLOOKUP($F13,assets!$H:$R,3,FALSE)</f>
        <v>#N/A</v>
      </c>
      <c r="H13" t="e">
        <f>VLOOKUP($F13,assets!$H:$R,2,FALSE)</f>
        <v>#N/A</v>
      </c>
      <c r="I13" t="e">
        <f>IF(F12=F13,MIN(N12,VLOOKUP($F13,assets!$H:$R,7,FALSE)),VLOOKUP($F13,assets!$H:$R,7,FALSE))</f>
        <v>#N/A</v>
      </c>
      <c r="J13" t="e">
        <f>IF(C13=G13,0,MAX(VLOOKUP($F13,assets!$H:$R,4,FALSE),VLOOKUP($B13,expos!$D:$I,6,FALSE)))</f>
        <v>#N/A</v>
      </c>
      <c r="K13" t="e">
        <f t="shared" si="5"/>
        <v>#N/A</v>
      </c>
      <c r="L13" t="e">
        <f t="shared" si="0"/>
        <v>#N/A</v>
      </c>
      <c r="M13" t="e">
        <f t="shared" si="1"/>
        <v>#N/A</v>
      </c>
      <c r="N13" t="e">
        <f t="shared" si="2"/>
        <v>#N/A</v>
      </c>
      <c r="O13" t="e">
        <f t="shared" si="3"/>
        <v>#N/A</v>
      </c>
      <c r="P13" t="e">
        <f t="shared" si="4"/>
        <v>#N/A</v>
      </c>
    </row>
    <row r="14" spans="1:17" x14ac:dyDescent="0.25">
      <c r="A14">
        <v>13</v>
      </c>
      <c r="B14">
        <v>5</v>
      </c>
      <c r="C14" t="e">
        <f>VLOOKUP(steps!$B14,expos!$D:$H,4,FALSE)</f>
        <v>#N/A</v>
      </c>
      <c r="D14" t="e">
        <f>VLOOKUP(steps!$B14,expos!$D:$H,3,FALSE)</f>
        <v>#N/A</v>
      </c>
      <c r="E14">
        <f>IF($B14=$B13,MAX(VLOOKUP(steps!$B14,pivot!$E:$F,2,FALSE),L13),(VLOOKUP(steps!$B14,pivot!$E:$F,2,FALSE)))</f>
        <v>-100</v>
      </c>
      <c r="F14" t="s">
        <v>95</v>
      </c>
      <c r="G14" t="e">
        <f>VLOOKUP($F14,assets!$H:$R,3,FALSE)</f>
        <v>#N/A</v>
      </c>
      <c r="H14" t="e">
        <f>VLOOKUP($F14,assets!$H:$R,2,FALSE)</f>
        <v>#N/A</v>
      </c>
      <c r="I14" t="e">
        <f>IF(F13=F14,MIN(N13,VLOOKUP($F14,assets!$H:$R,7,FALSE)),VLOOKUP($F14,assets!$H:$R,7,FALSE))</f>
        <v>#N/A</v>
      </c>
      <c r="J14" t="e">
        <f>IF(C14=G14,0,MAX(VLOOKUP($F14,assets!$H:$R,4,FALSE),VLOOKUP($B14,expos!$D:$I,6,FALSE)))</f>
        <v>#N/A</v>
      </c>
      <c r="K14" t="e">
        <f t="shared" si="5"/>
        <v>#N/A</v>
      </c>
      <c r="L14" t="e">
        <f t="shared" si="0"/>
        <v>#N/A</v>
      </c>
      <c r="M14" t="e">
        <f t="shared" si="1"/>
        <v>#N/A</v>
      </c>
      <c r="N14" t="e">
        <f t="shared" si="2"/>
        <v>#N/A</v>
      </c>
      <c r="O14" t="e">
        <f t="shared" si="3"/>
        <v>#N/A</v>
      </c>
      <c r="P14" t="e">
        <f t="shared" si="4"/>
        <v>#N/A</v>
      </c>
    </row>
  </sheetData>
  <customSheetViews>
    <customSheetView guid="{F4545DFF-08E6-4CDF-9134-6A3BEA3A7F51}">
      <selection activeCell="G18" sqref="G1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2"/>
  <sheetViews>
    <sheetView workbookViewId="0">
      <selection activeCell="C30" sqref="C30"/>
    </sheetView>
  </sheetViews>
  <sheetFormatPr defaultRowHeight="13.2" x14ac:dyDescent="0.25"/>
  <cols>
    <col min="1" max="1" width="17.88671875" bestFit="1" customWidth="1"/>
    <col min="2" max="2" width="11.109375" bestFit="1" customWidth="1"/>
    <col min="3" max="3" width="19.88671875" bestFit="1" customWidth="1"/>
    <col min="4" max="4" width="8.44140625" bestFit="1" customWidth="1"/>
    <col min="5" max="5" width="8" bestFit="1" customWidth="1"/>
    <col min="6" max="6" width="14.88671875" bestFit="1" customWidth="1"/>
    <col min="7" max="7" width="12" bestFit="1" customWidth="1"/>
    <col min="8" max="8" width="19" bestFit="1" customWidth="1"/>
    <col min="9" max="9" width="13.109375" bestFit="1" customWidth="1"/>
    <col min="10" max="10" width="10.6640625" bestFit="1" customWidth="1"/>
    <col min="11" max="11" width="20" bestFit="1" customWidth="1"/>
    <col min="12" max="12" width="17.6640625" bestFit="1" customWidth="1"/>
    <col min="13" max="13" width="13.109375" bestFit="1" customWidth="1"/>
    <col min="14" max="14" width="10.6640625" bestFit="1" customWidth="1"/>
    <col min="15" max="15" width="20" bestFit="1" customWidth="1"/>
    <col min="16" max="16" width="17.6640625" bestFit="1" customWidth="1"/>
    <col min="17" max="17" width="17.33203125" bestFit="1" customWidth="1"/>
    <col min="18" max="18" width="17" bestFit="1" customWidth="1"/>
    <col min="19" max="19" width="17.33203125" bestFit="1" customWidth="1"/>
    <col min="20" max="20" width="16" bestFit="1" customWidth="1"/>
    <col min="21" max="21" width="26.44140625" bestFit="1" customWidth="1"/>
    <col min="22" max="22" width="30.44140625" bestFit="1" customWidth="1"/>
    <col min="23" max="23" width="15" bestFit="1" customWidth="1"/>
    <col min="24" max="24" width="25" bestFit="1" customWidth="1"/>
    <col min="25" max="25" width="36.44140625" bestFit="1" customWidth="1"/>
    <col min="26" max="26" width="15" bestFit="1" customWidth="1"/>
    <col min="27" max="27" width="13.6640625" bestFit="1" customWidth="1"/>
    <col min="28" max="28" width="21.109375" bestFit="1" customWidth="1"/>
    <col min="29" max="29" width="13.33203125" bestFit="1" customWidth="1"/>
    <col min="30" max="30" width="16.109375" bestFit="1" customWidth="1"/>
  </cols>
  <sheetData>
    <row r="1" spans="1:30" ht="14.4" thickTop="1" thickBot="1" x14ac:dyDescent="0.3">
      <c r="A1" s="13" t="s">
        <v>117</v>
      </c>
      <c r="B1" s="13" t="s">
        <v>118</v>
      </c>
      <c r="C1" s="13" t="s">
        <v>119</v>
      </c>
      <c r="D1" s="13" t="s">
        <v>25</v>
      </c>
      <c r="E1" s="13" t="s">
        <v>120</v>
      </c>
      <c r="F1" s="14" t="s">
        <v>121</v>
      </c>
      <c r="G1" s="13" t="s">
        <v>122</v>
      </c>
      <c r="H1" s="15" t="s">
        <v>123</v>
      </c>
      <c r="I1" s="14" t="s">
        <v>124</v>
      </c>
      <c r="J1" s="14" t="s">
        <v>125</v>
      </c>
      <c r="K1" s="15" t="s">
        <v>126</v>
      </c>
      <c r="L1" s="15" t="s">
        <v>127</v>
      </c>
      <c r="M1" s="14" t="s">
        <v>128</v>
      </c>
      <c r="N1" s="14" t="s">
        <v>129</v>
      </c>
      <c r="O1" s="15" t="s">
        <v>130</v>
      </c>
      <c r="P1" s="15" t="s">
        <v>131</v>
      </c>
      <c r="Q1" s="15" t="s">
        <v>132</v>
      </c>
      <c r="R1" s="15" t="s">
        <v>133</v>
      </c>
      <c r="S1" s="16" t="s">
        <v>134</v>
      </c>
      <c r="T1" s="13" t="s">
        <v>135</v>
      </c>
      <c r="U1" s="15" t="s">
        <v>136</v>
      </c>
      <c r="V1" s="15" t="s">
        <v>137</v>
      </c>
      <c r="W1" s="13" t="s">
        <v>138</v>
      </c>
      <c r="X1" s="17" t="s">
        <v>139</v>
      </c>
      <c r="Y1" s="18" t="s">
        <v>140</v>
      </c>
      <c r="Z1" s="17" t="s">
        <v>141</v>
      </c>
      <c r="AA1" s="16" t="s">
        <v>142</v>
      </c>
      <c r="AB1" s="16" t="s">
        <v>143</v>
      </c>
      <c r="AC1" s="15" t="s">
        <v>144</v>
      </c>
      <c r="AD1" s="15" t="s">
        <v>145</v>
      </c>
    </row>
    <row r="2" spans="1:30" ht="13.8" thickTop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9"/>
  <sheetViews>
    <sheetView workbookViewId="0">
      <selection activeCell="F8" sqref="F8"/>
    </sheetView>
  </sheetViews>
  <sheetFormatPr defaultRowHeight="13.2" x14ac:dyDescent="0.25"/>
  <cols>
    <col min="1" max="1" width="10" bestFit="1" customWidth="1"/>
    <col min="2" max="2" width="14.5546875" bestFit="1" customWidth="1"/>
    <col min="3" max="3" width="7.109375" bestFit="1" customWidth="1"/>
    <col min="4" max="4" width="10.109375" bestFit="1" customWidth="1"/>
    <col min="5" max="5" width="6.109375" bestFit="1" customWidth="1"/>
    <col min="6" max="7" width="8.5546875" bestFit="1" customWidth="1"/>
    <col min="8" max="8" width="12" bestFit="1" customWidth="1"/>
    <col min="9" max="10" width="9.109375" bestFit="1" customWidth="1"/>
    <col min="11" max="11" width="15" bestFit="1" customWidth="1"/>
    <col min="12" max="12" width="10" bestFit="1" customWidth="1"/>
    <col min="13" max="13" width="24.33203125" bestFit="1" customWidth="1"/>
    <col min="14" max="14" width="26.44140625" bestFit="1" customWidth="1"/>
  </cols>
  <sheetData>
    <row r="1" spans="1:14" x14ac:dyDescent="0.25">
      <c r="A1" t="s">
        <v>13</v>
      </c>
      <c r="B1" t="s">
        <v>14</v>
      </c>
      <c r="C1" t="s">
        <v>10</v>
      </c>
      <c r="D1" t="s">
        <v>9</v>
      </c>
      <c r="E1" t="s">
        <v>11</v>
      </c>
      <c r="F1" t="s">
        <v>1</v>
      </c>
      <c r="G1" t="s">
        <v>2</v>
      </c>
      <c r="H1" t="s">
        <v>3</v>
      </c>
      <c r="I1" t="s">
        <v>5</v>
      </c>
      <c r="J1" t="s">
        <v>4</v>
      </c>
      <c r="K1" t="s">
        <v>6</v>
      </c>
      <c r="L1" t="s">
        <v>113</v>
      </c>
      <c r="M1" t="s">
        <v>114</v>
      </c>
      <c r="N1" t="s">
        <v>115</v>
      </c>
    </row>
    <row r="2" spans="1:14" x14ac:dyDescent="0.25">
      <c r="A2" t="s">
        <v>104</v>
      </c>
      <c r="B2" t="s">
        <v>15</v>
      </c>
      <c r="C2" t="s">
        <v>32</v>
      </c>
      <c r="D2" s="5">
        <f>VLOOKUP(C2,haircut!$A$1:$B$54,2,FALSE)</f>
        <v>7.0000000000000007E-2</v>
      </c>
      <c r="E2">
        <v>950</v>
      </c>
      <c r="F2" t="e">
        <f t="shared" ref="F2:G9" si="0">$K2*I2/100</f>
        <v>#VALUE!</v>
      </c>
      <c r="G2" t="e">
        <f t="shared" si="0"/>
        <v>#VALUE!</v>
      </c>
      <c r="H2">
        <f t="shared" ref="H2:H9" si="1">IFERROR(I2/J2,0)</f>
        <v>0.83333333333333337</v>
      </c>
      <c r="I2">
        <v>50</v>
      </c>
      <c r="J2">
        <v>60</v>
      </c>
      <c r="K2" t="s">
        <v>20</v>
      </c>
    </row>
    <row r="3" spans="1:14" x14ac:dyDescent="0.25">
      <c r="A3" t="s">
        <v>103</v>
      </c>
      <c r="B3" t="s">
        <v>15</v>
      </c>
      <c r="C3" t="s">
        <v>54</v>
      </c>
      <c r="D3" s="5">
        <f>VLOOKUP(C3,haircut!$A$1:$B$54,2,FALSE)</f>
        <v>0.15</v>
      </c>
      <c r="E3">
        <v>800</v>
      </c>
      <c r="F3" t="e">
        <f t="shared" si="0"/>
        <v>#VALUE!</v>
      </c>
      <c r="G3" t="e">
        <f t="shared" si="0"/>
        <v>#VALUE!</v>
      </c>
      <c r="H3">
        <f t="shared" si="1"/>
        <v>0.83333333333333337</v>
      </c>
      <c r="I3">
        <v>50</v>
      </c>
      <c r="J3">
        <v>60</v>
      </c>
      <c r="K3" t="s">
        <v>20</v>
      </c>
    </row>
    <row r="4" spans="1:14" x14ac:dyDescent="0.25">
      <c r="A4" t="s">
        <v>92</v>
      </c>
      <c r="B4" t="s">
        <v>15</v>
      </c>
      <c r="C4" t="s">
        <v>70</v>
      </c>
      <c r="D4" s="5">
        <f>VLOOKUP(C4,haircut!$A$1:$B$54,2,FALSE)</f>
        <v>0.05</v>
      </c>
      <c r="E4">
        <v>300</v>
      </c>
      <c r="F4" t="e">
        <f t="shared" si="0"/>
        <v>#VALUE!</v>
      </c>
      <c r="G4" t="e">
        <f t="shared" si="0"/>
        <v>#VALUE!</v>
      </c>
      <c r="H4">
        <f t="shared" si="1"/>
        <v>0.83333333333333337</v>
      </c>
      <c r="I4">
        <v>50</v>
      </c>
      <c r="J4">
        <v>60</v>
      </c>
      <c r="K4" t="s">
        <v>20</v>
      </c>
    </row>
    <row r="5" spans="1:14" x14ac:dyDescent="0.25">
      <c r="A5" t="s">
        <v>93</v>
      </c>
      <c r="B5" t="s">
        <v>15</v>
      </c>
      <c r="C5" t="s">
        <v>17</v>
      </c>
      <c r="D5" s="5">
        <f>VLOOKUP(C5,haircut!$A$1:$B$54,2,FALSE)</f>
        <v>0</v>
      </c>
      <c r="E5">
        <v>200</v>
      </c>
      <c r="F5" t="e">
        <f t="shared" si="0"/>
        <v>#VALUE!</v>
      </c>
      <c r="G5" t="e">
        <f t="shared" si="0"/>
        <v>#VALUE!</v>
      </c>
      <c r="H5">
        <f t="shared" si="1"/>
        <v>0.7142857142857143</v>
      </c>
      <c r="I5">
        <v>50</v>
      </c>
      <c r="J5">
        <v>70</v>
      </c>
      <c r="K5" t="s">
        <v>19</v>
      </c>
    </row>
    <row r="6" spans="1:14" x14ac:dyDescent="0.25">
      <c r="A6" t="s">
        <v>91</v>
      </c>
      <c r="B6" t="s">
        <v>15</v>
      </c>
      <c r="C6" t="s">
        <v>17</v>
      </c>
      <c r="D6" s="5">
        <f>VLOOKUP(C6,haircut!$A$1:$B$54,2,FALSE)</f>
        <v>0</v>
      </c>
      <c r="E6">
        <v>100</v>
      </c>
      <c r="F6" t="e">
        <f t="shared" si="0"/>
        <v>#VALUE!</v>
      </c>
      <c r="G6" t="e">
        <f t="shared" si="0"/>
        <v>#VALUE!</v>
      </c>
      <c r="H6">
        <f t="shared" si="1"/>
        <v>0.625</v>
      </c>
      <c r="I6">
        <v>50</v>
      </c>
      <c r="J6">
        <v>80</v>
      </c>
      <c r="K6" t="s">
        <v>20</v>
      </c>
    </row>
    <row r="7" spans="1:14" x14ac:dyDescent="0.25">
      <c r="A7" t="s">
        <v>96</v>
      </c>
      <c r="B7" t="s">
        <v>16</v>
      </c>
      <c r="C7" t="s">
        <v>70</v>
      </c>
      <c r="D7" s="5">
        <f>VLOOKUP(C7,haircut!$A$1:$B$54,2,FALSE)</f>
        <v>0.05</v>
      </c>
      <c r="E7">
        <v>600</v>
      </c>
      <c r="F7" t="e">
        <f t="shared" si="0"/>
        <v>#VALUE!</v>
      </c>
      <c r="G7" t="e">
        <f t="shared" si="0"/>
        <v>#VALUE!</v>
      </c>
      <c r="H7">
        <f t="shared" si="1"/>
        <v>1</v>
      </c>
      <c r="I7">
        <v>90</v>
      </c>
      <c r="J7">
        <v>90</v>
      </c>
      <c r="K7" t="s">
        <v>20</v>
      </c>
    </row>
    <row r="8" spans="1:14" x14ac:dyDescent="0.25">
      <c r="A8" t="s">
        <v>95</v>
      </c>
      <c r="B8" t="s">
        <v>16</v>
      </c>
      <c r="C8" t="s">
        <v>17</v>
      </c>
      <c r="D8" s="5">
        <f>VLOOKUP(C8,haircut!$A$1:$B$54,2,FALSE)</f>
        <v>0</v>
      </c>
      <c r="E8">
        <v>400</v>
      </c>
      <c r="F8" t="e">
        <f t="shared" si="0"/>
        <v>#VALUE!</v>
      </c>
      <c r="G8" t="e">
        <f t="shared" si="0"/>
        <v>#VALUE!</v>
      </c>
      <c r="H8">
        <f t="shared" si="1"/>
        <v>1</v>
      </c>
      <c r="I8">
        <v>80</v>
      </c>
      <c r="J8">
        <v>80</v>
      </c>
      <c r="K8" t="s">
        <v>21</v>
      </c>
    </row>
    <row r="9" spans="1:14" x14ac:dyDescent="0.25">
      <c r="A9" t="s">
        <v>94</v>
      </c>
      <c r="B9" t="s">
        <v>16</v>
      </c>
      <c r="C9" t="s">
        <v>45</v>
      </c>
      <c r="D9" s="5">
        <f>VLOOKUP(C9,haircut!$A$1:$B$54,2,FALSE)</f>
        <v>0.15</v>
      </c>
      <c r="E9">
        <v>250</v>
      </c>
      <c r="F9" t="e">
        <f t="shared" si="0"/>
        <v>#VALUE!</v>
      </c>
      <c r="G9" t="e">
        <f t="shared" si="0"/>
        <v>#VALUE!</v>
      </c>
      <c r="H9">
        <f t="shared" si="1"/>
        <v>1</v>
      </c>
      <c r="I9">
        <v>70</v>
      </c>
      <c r="J9">
        <v>70</v>
      </c>
      <c r="K9" t="s">
        <v>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workbookViewId="0">
      <selection activeCell="G37" sqref="G37"/>
    </sheetView>
  </sheetViews>
  <sheetFormatPr defaultRowHeight="13.2" x14ac:dyDescent="0.25"/>
  <cols>
    <col min="1" max="1" width="3" bestFit="1" customWidth="1"/>
    <col min="2" max="2" width="2.5546875" bestFit="1" customWidth="1"/>
    <col min="3" max="3" width="2.5546875" customWidth="1"/>
    <col min="4" max="4" width="40.33203125" bestFit="1" customWidth="1"/>
    <col min="5" max="5" width="6.6640625" bestFit="1" customWidth="1"/>
    <col min="6" max="6" width="13.88671875" bestFit="1" customWidth="1"/>
    <col min="7" max="7" width="12.109375" bestFit="1" customWidth="1"/>
    <col min="9" max="9" width="36.44140625" bestFit="1" customWidth="1"/>
    <col min="10" max="10" width="7.6640625" bestFit="1" customWidth="1"/>
    <col min="11" max="11" width="13.5546875" bestFit="1" customWidth="1"/>
    <col min="12" max="12" width="15.44140625" bestFit="1" customWidth="1"/>
    <col min="16" max="16" width="24.109375" bestFit="1" customWidth="1"/>
    <col min="17" max="17" width="24.44140625" bestFit="1" customWidth="1"/>
    <col min="18" max="18" width="14.88671875" bestFit="1" customWidth="1"/>
    <col min="19" max="19" width="15.109375" bestFit="1" customWidth="1"/>
  </cols>
  <sheetData>
    <row r="1" spans="1:19" x14ac:dyDescent="0.25">
      <c r="D1" t="s">
        <v>116</v>
      </c>
      <c r="E1" t="s">
        <v>110</v>
      </c>
      <c r="F1" t="s">
        <v>153</v>
      </c>
      <c r="I1" t="s">
        <v>84</v>
      </c>
      <c r="J1" t="s">
        <v>110</v>
      </c>
      <c r="K1" t="s">
        <v>153</v>
      </c>
      <c r="P1" t="s">
        <v>13</v>
      </c>
      <c r="Q1" t="s">
        <v>188</v>
      </c>
      <c r="R1" t="s">
        <v>189</v>
      </c>
      <c r="S1" t="s">
        <v>190</v>
      </c>
    </row>
    <row r="2" spans="1:19" x14ac:dyDescent="0.25">
      <c r="A2">
        <v>65</v>
      </c>
      <c r="B2" t="str">
        <f>CHAR(A2)</f>
        <v>A</v>
      </c>
      <c r="D2" t="s">
        <v>193</v>
      </c>
      <c r="I2" t="s">
        <v>193</v>
      </c>
      <c r="J2" t="s">
        <v>146</v>
      </c>
    </row>
    <row r="3" spans="1:19" x14ac:dyDescent="0.25">
      <c r="A3">
        <v>66</v>
      </c>
      <c r="B3" t="str">
        <f t="shared" ref="B3:B27" si="0">CHAR(A3)</f>
        <v>B</v>
      </c>
      <c r="D3" t="s">
        <v>223</v>
      </c>
      <c r="E3" t="s">
        <v>146</v>
      </c>
      <c r="F3" t="str">
        <f>$R$43&amp;G3</f>
        <v>idARR</v>
      </c>
      <c r="G3" t="s">
        <v>197</v>
      </c>
      <c r="I3" t="s">
        <v>0</v>
      </c>
      <c r="J3" t="s">
        <v>146</v>
      </c>
      <c r="K3" t="s">
        <v>194</v>
      </c>
      <c r="P3" t="str">
        <f>"Public "&amp;F3&amp;" As "&amp;E3</f>
        <v>Public idARR As String</v>
      </c>
      <c r="Q3" t="str">
        <f>"Public "&amp;K3&amp;" As "&amp;J3</f>
        <v>Public client As String</v>
      </c>
      <c r="R3" t="str">
        <f t="shared" ref="R3:R8" si="1">F3&amp;" = """&amp;B3&amp;""""</f>
        <v>idARR = "B"</v>
      </c>
      <c r="S3" t="str">
        <f>K3&amp;" = """&amp;B3&amp;""""</f>
        <v>client = "B"</v>
      </c>
    </row>
    <row r="4" spans="1:19" x14ac:dyDescent="0.25">
      <c r="A4">
        <v>67</v>
      </c>
      <c r="B4" t="str">
        <f t="shared" si="0"/>
        <v>C</v>
      </c>
      <c r="D4" t="s">
        <v>224</v>
      </c>
      <c r="E4" t="s">
        <v>146</v>
      </c>
      <c r="F4" t="str">
        <f>$R$43&amp;G4</f>
        <v>idECI</v>
      </c>
      <c r="G4" t="s">
        <v>191</v>
      </c>
      <c r="I4" t="s">
        <v>243</v>
      </c>
      <c r="J4" t="s">
        <v>147</v>
      </c>
      <c r="K4" t="s">
        <v>195</v>
      </c>
      <c r="P4" t="str">
        <f t="shared" ref="P4:P26" si="2">"Public "&amp;F4&amp;" As "&amp;E4</f>
        <v>Public idECI As String</v>
      </c>
      <c r="Q4" t="e">
        <f>"Public "&amp;#REF!&amp;" As "&amp;#REF!</f>
        <v>#REF!</v>
      </c>
      <c r="R4" t="str">
        <f t="shared" si="1"/>
        <v>idECI = "C"</v>
      </c>
      <c r="S4" t="e">
        <f>#REF!&amp;" = """&amp;B4&amp;""""</f>
        <v>#REF!</v>
      </c>
    </row>
    <row r="5" spans="1:19" x14ac:dyDescent="0.25">
      <c r="A5">
        <v>68</v>
      </c>
      <c r="B5" t="str">
        <f t="shared" si="0"/>
        <v>D</v>
      </c>
      <c r="D5" t="s">
        <v>225</v>
      </c>
      <c r="E5" t="s">
        <v>146</v>
      </c>
      <c r="F5" t="str">
        <f>$R$43&amp;G5</f>
        <v>idACC</v>
      </c>
      <c r="G5" t="s">
        <v>228</v>
      </c>
      <c r="I5" t="s">
        <v>22</v>
      </c>
      <c r="J5" t="s">
        <v>147</v>
      </c>
      <c r="K5" t="s">
        <v>180</v>
      </c>
      <c r="P5" t="str">
        <f t="shared" si="2"/>
        <v>Public idACC As String</v>
      </c>
      <c r="Q5" t="str">
        <f>"Public "&amp;K6&amp;" As "&amp;J4</f>
        <v>Public CCY As Double</v>
      </c>
      <c r="R5" t="str">
        <f t="shared" si="1"/>
        <v>idACC = "D"</v>
      </c>
      <c r="S5" t="str">
        <f>K4&amp;" = """&amp;B5&amp;""""</f>
        <v>expoID = "D"</v>
      </c>
    </row>
    <row r="6" spans="1:19" ht="13.8" thickBot="1" x14ac:dyDescent="0.3">
      <c r="A6">
        <v>69</v>
      </c>
      <c r="B6" t="str">
        <f t="shared" si="0"/>
        <v>E</v>
      </c>
      <c r="D6" t="s">
        <v>226</v>
      </c>
      <c r="E6" t="s">
        <v>146</v>
      </c>
      <c r="F6" t="str">
        <f>$R$43&amp;G6</f>
        <v>idBSC</v>
      </c>
      <c r="G6" t="s">
        <v>229</v>
      </c>
      <c r="I6" t="s">
        <v>10</v>
      </c>
      <c r="J6" t="s">
        <v>146</v>
      </c>
      <c r="K6" t="s">
        <v>10</v>
      </c>
      <c r="P6" t="str">
        <f t="shared" si="2"/>
        <v>Public idBSC As String</v>
      </c>
      <c r="Q6" t="str">
        <f>"Public "&amp;K10&amp;" As "&amp;J5</f>
        <v>Public expoAmt As Double</v>
      </c>
      <c r="R6" t="str">
        <f t="shared" si="1"/>
        <v>idBSC = "E"</v>
      </c>
      <c r="S6" t="str">
        <f>K5&amp;" = """&amp;B6&amp;""""</f>
        <v>expoType = "E"</v>
      </c>
    </row>
    <row r="7" spans="1:19" ht="14.4" thickTop="1" thickBot="1" x14ac:dyDescent="0.3">
      <c r="A7">
        <v>70</v>
      </c>
      <c r="B7" t="str">
        <f t="shared" si="0"/>
        <v>F</v>
      </c>
      <c r="D7" t="s">
        <v>227</v>
      </c>
      <c r="E7" t="s">
        <v>146</v>
      </c>
      <c r="F7" t="str">
        <f>$R$43&amp;G7</f>
        <v>idINST</v>
      </c>
      <c r="G7" t="s">
        <v>230</v>
      </c>
      <c r="I7" s="17" t="s">
        <v>239</v>
      </c>
      <c r="J7" t="s">
        <v>147</v>
      </c>
      <c r="K7" t="str">
        <f>$R44&amp;L7</f>
        <v>hcOverrideFAC</v>
      </c>
      <c r="L7" t="s">
        <v>215</v>
      </c>
      <c r="P7" t="str">
        <f t="shared" si="2"/>
        <v>Public idINST As String</v>
      </c>
      <c r="Q7" t="str">
        <f>"Public "&amp;K11&amp;" As "&amp;J6</f>
        <v>Public  As String</v>
      </c>
      <c r="R7" t="str">
        <f t="shared" si="1"/>
        <v>idINST = "F"</v>
      </c>
      <c r="S7" t="str">
        <f>K6&amp;" = """&amp;B7&amp;""""</f>
        <v>CCY = "F"</v>
      </c>
    </row>
    <row r="8" spans="1:19" ht="14.4" thickTop="1" thickBot="1" x14ac:dyDescent="0.3">
      <c r="A8">
        <v>71</v>
      </c>
      <c r="B8" t="str">
        <f t="shared" si="0"/>
        <v>G</v>
      </c>
      <c r="D8" t="s">
        <v>0</v>
      </c>
      <c r="E8" t="s">
        <v>146</v>
      </c>
      <c r="F8" t="s">
        <v>192</v>
      </c>
      <c r="I8" s="18" t="s">
        <v>240</v>
      </c>
      <c r="J8" t="s">
        <v>217</v>
      </c>
      <c r="K8" t="str">
        <f>$R45&amp;L8</f>
        <v>hcExpiryFAC</v>
      </c>
      <c r="L8" t="s">
        <v>215</v>
      </c>
      <c r="P8" t="str">
        <f t="shared" si="2"/>
        <v>Public clientDesc As String</v>
      </c>
      <c r="Q8" t="str">
        <f>"Public "&amp;K12&amp;" As "&amp;J10</f>
        <v>Public  As Double</v>
      </c>
      <c r="R8" t="str">
        <f t="shared" si="1"/>
        <v>clientDesc = "G"</v>
      </c>
      <c r="S8" t="str">
        <f>K10&amp;" = """&amp;B8&amp;""""</f>
        <v>expoAmt = "G"</v>
      </c>
    </row>
    <row r="9" spans="1:19" ht="14.4" thickTop="1" thickBot="1" x14ac:dyDescent="0.3">
      <c r="A9">
        <v>72</v>
      </c>
      <c r="B9" t="str">
        <f t="shared" si="0"/>
        <v>H</v>
      </c>
      <c r="D9" t="s">
        <v>14</v>
      </c>
      <c r="E9" t="s">
        <v>147</v>
      </c>
      <c r="F9" t="s">
        <v>181</v>
      </c>
      <c r="I9" s="17" t="s">
        <v>241</v>
      </c>
      <c r="J9" t="s">
        <v>216</v>
      </c>
      <c r="K9" t="str">
        <f>$R46&amp;L9</f>
        <v>hcFlagFAC</v>
      </c>
      <c r="L9" t="s">
        <v>215</v>
      </c>
      <c r="P9" t="str">
        <f t="shared" si="2"/>
        <v>Public asstType As Double</v>
      </c>
      <c r="Q9" t="str">
        <f>"Public "&amp;K13&amp;" As "&amp;J11</f>
        <v xml:space="preserve">Public  As </v>
      </c>
      <c r="R9" t="e">
        <f>#REF!&amp;" = """&amp;B9&amp;""""</f>
        <v>#REF!</v>
      </c>
      <c r="S9" t="str">
        <f>K11&amp;" = """&amp;B9&amp;""""</f>
        <v xml:space="preserve"> = "H"</v>
      </c>
    </row>
    <row r="10" spans="1:19" ht="13.8" thickTop="1" x14ac:dyDescent="0.25">
      <c r="A10">
        <v>73</v>
      </c>
      <c r="B10" t="str">
        <f t="shared" si="0"/>
        <v>I</v>
      </c>
      <c r="D10" t="s">
        <v>10</v>
      </c>
      <c r="E10" t="s">
        <v>147</v>
      </c>
      <c r="F10" t="s">
        <v>10</v>
      </c>
      <c r="I10" t="s">
        <v>23</v>
      </c>
      <c r="J10" t="s">
        <v>147</v>
      </c>
      <c r="K10" t="s">
        <v>186</v>
      </c>
      <c r="P10" t="str">
        <f t="shared" si="2"/>
        <v>Public CCY As Double</v>
      </c>
      <c r="Q10" t="str">
        <f>"Public "&amp;K14&amp;" As "&amp;J12</f>
        <v xml:space="preserve">Public  As </v>
      </c>
      <c r="R10" t="str">
        <f t="shared" ref="R10:R18" si="3">F9&amp;" = """&amp;B10&amp;""""</f>
        <v>asstType = "I"</v>
      </c>
      <c r="S10" t="str">
        <f>K12&amp;" = """&amp;B10&amp;""""</f>
        <v xml:space="preserve"> = "I"</v>
      </c>
    </row>
    <row r="11" spans="1:19" x14ac:dyDescent="0.25">
      <c r="A11">
        <v>74</v>
      </c>
      <c r="B11" t="str">
        <f t="shared" si="0"/>
        <v>J</v>
      </c>
      <c r="D11" t="s">
        <v>9</v>
      </c>
      <c r="E11" t="s">
        <v>147</v>
      </c>
      <c r="F11" t="s">
        <v>184</v>
      </c>
      <c r="P11" t="str">
        <f t="shared" si="2"/>
        <v>Public hc As Double</v>
      </c>
      <c r="R11" t="str">
        <f t="shared" si="3"/>
        <v>CCY = "J"</v>
      </c>
    </row>
    <row r="12" spans="1:19" x14ac:dyDescent="0.25">
      <c r="A12">
        <v>75</v>
      </c>
      <c r="B12" t="str">
        <f t="shared" si="0"/>
        <v>K</v>
      </c>
      <c r="D12" t="s">
        <v>11</v>
      </c>
      <c r="E12" t="s">
        <v>147</v>
      </c>
      <c r="F12" t="s">
        <v>11</v>
      </c>
      <c r="P12" t="str">
        <f t="shared" si="2"/>
        <v>Public MV As Double</v>
      </c>
      <c r="R12" t="str">
        <f t="shared" si="3"/>
        <v>hc = "K"</v>
      </c>
    </row>
    <row r="13" spans="1:19" x14ac:dyDescent="0.25">
      <c r="A13">
        <v>76</v>
      </c>
      <c r="B13" t="str">
        <f t="shared" si="0"/>
        <v>L</v>
      </c>
      <c r="D13" t="s">
        <v>1</v>
      </c>
      <c r="E13" t="s">
        <v>147</v>
      </c>
      <c r="F13" t="s">
        <v>1</v>
      </c>
      <c r="P13" t="str">
        <f t="shared" si="2"/>
        <v>Public PLV As Double</v>
      </c>
      <c r="R13" t="str">
        <f t="shared" si="3"/>
        <v>MV = "L"</v>
      </c>
    </row>
    <row r="14" spans="1:19" x14ac:dyDescent="0.25">
      <c r="A14">
        <v>77</v>
      </c>
      <c r="B14" t="str">
        <f t="shared" si="0"/>
        <v>M</v>
      </c>
      <c r="D14" t="s">
        <v>2</v>
      </c>
      <c r="E14" t="s">
        <v>147</v>
      </c>
      <c r="F14" t="s">
        <v>2</v>
      </c>
      <c r="P14" t="str">
        <f t="shared" si="2"/>
        <v>Public ELV As Double</v>
      </c>
      <c r="R14" t="str">
        <f t="shared" si="3"/>
        <v>PLV = "M"</v>
      </c>
    </row>
    <row r="15" spans="1:19" x14ac:dyDescent="0.25">
      <c r="A15">
        <v>78</v>
      </c>
      <c r="B15" t="str">
        <f t="shared" si="0"/>
        <v>N</v>
      </c>
      <c r="D15" t="s">
        <v>3</v>
      </c>
      <c r="E15" t="s">
        <v>147</v>
      </c>
      <c r="F15" t="s">
        <v>168</v>
      </c>
      <c r="P15" t="str">
        <f t="shared" si="2"/>
        <v>Public LVratio As Double</v>
      </c>
      <c r="R15" t="str">
        <f t="shared" si="3"/>
        <v>ELV = "N"</v>
      </c>
    </row>
    <row r="16" spans="1:19" x14ac:dyDescent="0.25">
      <c r="A16">
        <v>79</v>
      </c>
      <c r="B16" t="str">
        <f t="shared" si="0"/>
        <v>O</v>
      </c>
      <c r="D16" t="s">
        <v>5</v>
      </c>
      <c r="E16" t="s">
        <v>147</v>
      </c>
      <c r="F16" t="s">
        <v>160</v>
      </c>
      <c r="P16" t="str">
        <f t="shared" si="2"/>
        <v>Public PLVpct As Double</v>
      </c>
      <c r="R16" t="str">
        <f t="shared" si="3"/>
        <v>LVratio = "O"</v>
      </c>
    </row>
    <row r="17" spans="1:18" x14ac:dyDescent="0.25">
      <c r="A17">
        <v>80</v>
      </c>
      <c r="B17" t="str">
        <f t="shared" si="0"/>
        <v>P</v>
      </c>
      <c r="D17" t="s">
        <v>4</v>
      </c>
      <c r="E17" t="s">
        <v>147</v>
      </c>
      <c r="F17" t="s">
        <v>164</v>
      </c>
      <c r="P17" t="str">
        <f t="shared" si="2"/>
        <v>Public ELVpct As Double</v>
      </c>
      <c r="R17" t="str">
        <f t="shared" si="3"/>
        <v>PLVpct = "P"</v>
      </c>
    </row>
    <row r="18" spans="1:18" x14ac:dyDescent="0.25">
      <c r="A18">
        <v>81</v>
      </c>
      <c r="B18" t="str">
        <f t="shared" si="0"/>
        <v>Q</v>
      </c>
      <c r="D18" s="23" t="s">
        <v>232</v>
      </c>
      <c r="E18" t="s">
        <v>147</v>
      </c>
      <c r="F18" t="str">
        <f>$R44&amp;G18</f>
        <v>hcOverrideARR</v>
      </c>
      <c r="G18" t="s">
        <v>197</v>
      </c>
      <c r="H18" t="s">
        <v>242</v>
      </c>
      <c r="P18" t="str">
        <f t="shared" si="2"/>
        <v>Public hcOverrideARR As Double</v>
      </c>
      <c r="R18" t="str">
        <f t="shared" si="3"/>
        <v>ELVpct = "Q"</v>
      </c>
    </row>
    <row r="19" spans="1:18" x14ac:dyDescent="0.25">
      <c r="A19">
        <v>82</v>
      </c>
      <c r="B19" t="str">
        <f t="shared" si="0"/>
        <v>R</v>
      </c>
      <c r="D19" s="22" t="s">
        <v>233</v>
      </c>
      <c r="E19" t="s">
        <v>217</v>
      </c>
      <c r="F19" t="str">
        <f>$R45&amp;G19</f>
        <v>hcExpiryARR</v>
      </c>
      <c r="G19" t="s">
        <v>197</v>
      </c>
      <c r="P19" t="str">
        <f t="shared" si="2"/>
        <v>Public hcExpiryARR As Date</v>
      </c>
    </row>
    <row r="20" spans="1:18" x14ac:dyDescent="0.25">
      <c r="A20">
        <v>83</v>
      </c>
      <c r="B20" t="str">
        <f t="shared" si="0"/>
        <v>S</v>
      </c>
      <c r="D20" s="24" t="s">
        <v>234</v>
      </c>
      <c r="E20" t="s">
        <v>216</v>
      </c>
      <c r="F20" t="str">
        <f>$R46&amp;G20</f>
        <v>hcFlagARR</v>
      </c>
      <c r="G20" t="s">
        <v>197</v>
      </c>
      <c r="P20" t="str">
        <f t="shared" si="2"/>
        <v>Public hcFlagARR As Boolean</v>
      </c>
    </row>
    <row r="21" spans="1:18" x14ac:dyDescent="0.25">
      <c r="A21">
        <v>84</v>
      </c>
      <c r="B21" t="str">
        <f t="shared" si="0"/>
        <v>T</v>
      </c>
      <c r="D21" s="24" t="s">
        <v>139</v>
      </c>
      <c r="E21" t="s">
        <v>147</v>
      </c>
      <c r="F21" t="str">
        <f>$R44&amp;G21</f>
        <v>hcOverrideCCY</v>
      </c>
      <c r="G21" t="s">
        <v>10</v>
      </c>
      <c r="P21" t="str">
        <f t="shared" si="2"/>
        <v>Public hcOverrideCCY As Double</v>
      </c>
    </row>
    <row r="22" spans="1:18" x14ac:dyDescent="0.25">
      <c r="A22">
        <v>85</v>
      </c>
      <c r="B22" t="str">
        <f t="shared" si="0"/>
        <v>U</v>
      </c>
      <c r="D22" s="22" t="s">
        <v>140</v>
      </c>
      <c r="E22" t="s">
        <v>217</v>
      </c>
      <c r="F22" t="str">
        <f>$R45&amp;G22</f>
        <v>hcExpiryCCY</v>
      </c>
      <c r="G22" t="s">
        <v>10</v>
      </c>
      <c r="P22" t="str">
        <f t="shared" si="2"/>
        <v>Public hcExpiryCCY As Date</v>
      </c>
    </row>
    <row r="23" spans="1:18" x14ac:dyDescent="0.25">
      <c r="A23">
        <v>86</v>
      </c>
      <c r="B23" t="str">
        <f t="shared" si="0"/>
        <v>V</v>
      </c>
      <c r="D23" s="21" t="s">
        <v>235</v>
      </c>
      <c r="E23" t="s">
        <v>216</v>
      </c>
      <c r="F23" t="str">
        <f>$R46&amp;G23</f>
        <v>hcFlagCCY</v>
      </c>
      <c r="G23" t="s">
        <v>10</v>
      </c>
      <c r="P23" t="str">
        <f t="shared" si="2"/>
        <v>Public hcFlagCCY As Boolean</v>
      </c>
    </row>
    <row r="24" spans="1:18" x14ac:dyDescent="0.25">
      <c r="A24">
        <v>87</v>
      </c>
      <c r="B24" t="str">
        <f t="shared" si="0"/>
        <v>W</v>
      </c>
      <c r="D24" s="24" t="s">
        <v>236</v>
      </c>
      <c r="E24" t="s">
        <v>147</v>
      </c>
      <c r="F24" t="str">
        <f>$R44&amp;G24</f>
        <v>hcOverridePOS</v>
      </c>
      <c r="G24" t="s">
        <v>198</v>
      </c>
      <c r="P24" t="str">
        <f t="shared" si="2"/>
        <v>Public hcOverridePOS As Double</v>
      </c>
    </row>
    <row r="25" spans="1:18" x14ac:dyDescent="0.25">
      <c r="A25">
        <v>88</v>
      </c>
      <c r="B25" t="str">
        <f t="shared" si="0"/>
        <v>X</v>
      </c>
      <c r="D25" s="22" t="s">
        <v>237</v>
      </c>
      <c r="E25" t="s">
        <v>217</v>
      </c>
      <c r="F25" t="str">
        <f>$R45&amp;G25</f>
        <v>hcExpiryPOS</v>
      </c>
      <c r="G25" t="s">
        <v>198</v>
      </c>
      <c r="P25" t="str">
        <f t="shared" si="2"/>
        <v>Public hcExpiryPOS As Date</v>
      </c>
    </row>
    <row r="26" spans="1:18" x14ac:dyDescent="0.25">
      <c r="A26">
        <v>89</v>
      </c>
      <c r="B26" t="str">
        <f t="shared" si="0"/>
        <v>Y</v>
      </c>
      <c r="D26" s="21" t="s">
        <v>238</v>
      </c>
      <c r="E26" t="s">
        <v>216</v>
      </c>
      <c r="F26" t="str">
        <f>$R46&amp;G26</f>
        <v>hcFlagPOS</v>
      </c>
      <c r="G26" t="s">
        <v>198</v>
      </c>
      <c r="P26" t="str">
        <f t="shared" si="2"/>
        <v>Public hcFlagPOS As Boolean</v>
      </c>
    </row>
    <row r="27" spans="1:18" x14ac:dyDescent="0.25">
      <c r="A27">
        <v>90</v>
      </c>
      <c r="B27" t="str">
        <f t="shared" si="0"/>
        <v>Z</v>
      </c>
    </row>
    <row r="43" spans="18:18" x14ac:dyDescent="0.25">
      <c r="R43" t="s">
        <v>231</v>
      </c>
    </row>
    <row r="44" spans="18:18" x14ac:dyDescent="0.25">
      <c r="R44" t="s">
        <v>172</v>
      </c>
    </row>
    <row r="45" spans="18:18" x14ac:dyDescent="0.25">
      <c r="R45" t="s">
        <v>173</v>
      </c>
    </row>
    <row r="46" spans="18:18" x14ac:dyDescent="0.25">
      <c r="R46" t="s">
        <v>174</v>
      </c>
    </row>
  </sheetData>
  <autoFilter ref="D1:H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44"/>
  <sheetViews>
    <sheetView zoomScaleNormal="100" workbookViewId="0">
      <selection activeCell="F6" sqref="F6"/>
    </sheetView>
  </sheetViews>
  <sheetFormatPr defaultRowHeight="13.2" x14ac:dyDescent="0.25"/>
  <cols>
    <col min="1" max="1" width="4" bestFit="1" customWidth="1"/>
    <col min="2" max="2" width="3.88671875" bestFit="1" customWidth="1"/>
    <col min="3" max="3" width="4" bestFit="1" customWidth="1"/>
    <col min="4" max="4" width="32.109375" style="25" bestFit="1" customWidth="1"/>
    <col min="5" max="5" width="7.6640625" bestFit="1" customWidth="1"/>
    <col min="6" max="6" width="13.88671875" bestFit="1" customWidth="1"/>
    <col min="7" max="7" width="24.33203125" bestFit="1" customWidth="1"/>
    <col min="8" max="8" width="13.5546875" bestFit="1" customWidth="1"/>
    <col min="9" max="9" width="29.109375" bestFit="1" customWidth="1"/>
    <col min="10" max="10" width="19" bestFit="1" customWidth="1"/>
    <col min="11" max="11" width="45.109375" bestFit="1" customWidth="1"/>
    <col min="12" max="12" width="28.33203125" bestFit="1" customWidth="1"/>
    <col min="13" max="13" width="30.88671875" bestFit="1" customWidth="1"/>
    <col min="14" max="14" width="41.44140625" bestFit="1" customWidth="1"/>
    <col min="15" max="15" width="45.88671875" bestFit="1" customWidth="1"/>
    <col min="16" max="16" width="24.33203125" customWidth="1"/>
    <col min="17" max="17" width="31.88671875" style="25" bestFit="1" customWidth="1"/>
    <col min="18" max="18" width="7.6640625" bestFit="1" customWidth="1"/>
    <col min="19" max="19" width="13.5546875" bestFit="1" customWidth="1"/>
    <col min="20" max="20" width="15.44140625" bestFit="1" customWidth="1"/>
    <col min="21" max="21" width="28.88671875" bestFit="1" customWidth="1"/>
    <col min="22" max="22" width="18.88671875" bestFit="1" customWidth="1"/>
    <col min="23" max="23" width="44.5546875" bestFit="1" customWidth="1"/>
    <col min="24" max="24" width="28" customWidth="1"/>
    <col min="25" max="25" width="30.33203125" bestFit="1" customWidth="1"/>
    <col min="26" max="26" width="58.33203125" bestFit="1" customWidth="1"/>
    <col min="27" max="27" width="46.6640625" bestFit="1" customWidth="1"/>
    <col min="28" max="28" width="15.5546875" customWidth="1"/>
    <col min="29" max="29" width="9.6640625" customWidth="1"/>
    <col min="30" max="30" width="10.6640625" customWidth="1"/>
    <col min="32" max="33" width="36.44140625" bestFit="1" customWidth="1"/>
    <col min="34" max="34" width="13.44140625" bestFit="1" customWidth="1"/>
    <col min="35" max="35" width="9.6640625" bestFit="1" customWidth="1"/>
    <col min="36" max="36" width="10.6640625" bestFit="1" customWidth="1"/>
    <col min="37" max="37" width="13.33203125" bestFit="1" customWidth="1"/>
    <col min="41" max="41" width="24.44140625" bestFit="1" customWidth="1"/>
    <col min="42" max="42" width="31" bestFit="1" customWidth="1"/>
    <col min="43" max="43" width="22.109375" bestFit="1" customWidth="1"/>
    <col min="44" max="44" width="23.88671875" bestFit="1" customWidth="1"/>
    <col min="45" max="45" width="21.44140625" bestFit="1" customWidth="1"/>
    <col min="46" max="46" width="45" bestFit="1" customWidth="1"/>
    <col min="47" max="47" width="37.6640625" bestFit="1" customWidth="1"/>
  </cols>
  <sheetData>
    <row r="1" spans="1:48" x14ac:dyDescent="0.25">
      <c r="C1" s="10"/>
      <c r="D1" s="10" t="s">
        <v>116</v>
      </c>
      <c r="E1" s="10" t="s">
        <v>110</v>
      </c>
      <c r="F1" s="10" t="s">
        <v>153</v>
      </c>
      <c r="H1" t="s">
        <v>274</v>
      </c>
      <c r="I1" t="s">
        <v>13</v>
      </c>
      <c r="L1" t="s">
        <v>275</v>
      </c>
      <c r="O1" t="s">
        <v>277</v>
      </c>
      <c r="Q1" s="25" t="s">
        <v>84</v>
      </c>
      <c r="R1" t="s">
        <v>110</v>
      </c>
      <c r="S1" t="s">
        <v>153</v>
      </c>
      <c r="U1" t="s">
        <v>188</v>
      </c>
      <c r="X1" t="s">
        <v>276</v>
      </c>
      <c r="AA1" t="s">
        <v>277</v>
      </c>
      <c r="AK1" t="s">
        <v>326</v>
      </c>
      <c r="AO1" t="s">
        <v>342</v>
      </c>
      <c r="AR1" t="s">
        <v>352</v>
      </c>
      <c r="AU1" t="s">
        <v>277</v>
      </c>
    </row>
    <row r="2" spans="1:48" x14ac:dyDescent="0.25">
      <c r="A2">
        <v>65</v>
      </c>
      <c r="B2" t="str">
        <f>IF(A2&lt;91,CHAR(A2),"A"&amp;CHAR(A2-26))</f>
        <v>A</v>
      </c>
      <c r="C2" t="s">
        <v>354</v>
      </c>
      <c r="D2" s="25" t="s">
        <v>223</v>
      </c>
      <c r="E2" t="s">
        <v>146</v>
      </c>
      <c r="F2" t="str">
        <f>$AI$2&amp;G2</f>
        <v>idARR</v>
      </c>
      <c r="G2" t="s">
        <v>197</v>
      </c>
      <c r="I2" t="str">
        <f t="shared" ref="I2:I44" si="0">"Public "&amp;F2&amp;" As "&amp;E2</f>
        <v>Public idARR As String</v>
      </c>
      <c r="J2" t="str">
        <f t="shared" ref="J2:J44" si="1">$J$1&amp;F2&amp;" = """&amp;B2&amp;""""</f>
        <v>idARR = "A"</v>
      </c>
      <c r="K2" t="str">
        <f t="shared" ref="K2:K44" si="2">$K$1&amp;F2&amp;" = """&amp;D2&amp;""""</f>
        <v>idARR = "ARRANGEMENT_ID"</v>
      </c>
      <c r="L2" t="str">
        <f t="shared" ref="L2:L44" si="3">"Public "&amp;F2&amp;" As String"</f>
        <v>Public idARR As String</v>
      </c>
      <c r="M2" t="str">
        <f>$M$1&amp;F2&amp;" = """&amp;F2&amp;""""</f>
        <v>idARR = "idARR"</v>
      </c>
      <c r="N2" t="str">
        <f t="shared" ref="N2:N44" si="4">"a."&amp; F2 &amp; "= assign(ac." &amp; F2 &amp; ", i)"</f>
        <v>a.idARR= assign(ac.idARR, i)</v>
      </c>
      <c r="O2" t="str">
        <f t="shared" ref="O2:O44" si="5">"Call "&amp;$O$1&amp;"(ac." &amp; F2 &amp; ", row, a."&amp; F2 &amp;")"</f>
        <v>Call store(ac.idARR, row, a.idARR)</v>
      </c>
      <c r="Q2" s="25" t="s">
        <v>223</v>
      </c>
      <c r="R2" t="s">
        <v>146</v>
      </c>
      <c r="S2" t="str">
        <f>$AI$2&amp;T2</f>
        <v>idARR</v>
      </c>
      <c r="T2" t="s">
        <v>197</v>
      </c>
      <c r="U2" t="str">
        <f>"Public "&amp;S2&amp;" As "&amp;R2</f>
        <v>Public idARR As String</v>
      </c>
      <c r="V2" t="str">
        <f>$V$1&amp;S2&amp;" = """&amp;B2&amp;""""</f>
        <v>idARR = "A"</v>
      </c>
      <c r="W2" t="str">
        <f>$W$1&amp;S2&amp;" = """&amp;Q2&amp;""""</f>
        <v>idARR = "ARRANGEMENT_ID"</v>
      </c>
      <c r="X2" t="str">
        <f>"Public "&amp;S2&amp;" As String"</f>
        <v>Public idARR As String</v>
      </c>
      <c r="Y2" t="str">
        <f>$W$1&amp;S2&amp;" = """&amp;S2&amp;""""</f>
        <v>idARR = "idARR"</v>
      </c>
      <c r="Z2" t="str">
        <f>IF(AND(R2 &lt;&gt; "Integer",R2 &lt;&gt; "Double",R2 &lt;&gt; "Long"),"e."&amp; S2 &amp;" = assign(ec." &amp; S2 &amp; ", i)","e."&amp; S2 &amp;" = e."&amp; S2 &amp;" + assign(ec." &amp; S2 &amp; ", i)")</f>
        <v>e.idARR = assign(ec.idARR, i)</v>
      </c>
      <c r="AA2" t="str">
        <f>"Call "&amp;$AA$1&amp;"(ec." &amp;S2 &amp; ", row, var." &amp; S2 &amp;")"</f>
        <v>Call store(ec.idARR, row, var.idARR)</v>
      </c>
      <c r="AI2" t="s">
        <v>231</v>
      </c>
      <c r="AK2" s="12" t="s">
        <v>81</v>
      </c>
      <c r="AL2" t="s">
        <v>146</v>
      </c>
      <c r="AM2" t="s">
        <v>331</v>
      </c>
      <c r="AO2" t="str">
        <f t="shared" ref="AO2:AO18" si="6">"Public "&amp;AM2&amp;" As "&amp;AL2</f>
        <v>Public step As String</v>
      </c>
      <c r="AP2" t="str">
        <f>$V$1&amp;AM2&amp;" = """&amp;B2&amp;""""</f>
        <v>step = "A"</v>
      </c>
      <c r="AQ2" t="str">
        <f>$W$1&amp;AM2&amp;" = """&amp;AK2&amp;""""</f>
        <v>step = "Step"</v>
      </c>
      <c r="AR2" t="str">
        <f>"Public "&amp;AM2&amp;" As String"</f>
        <v>Public step As String</v>
      </c>
      <c r="AS2" t="str">
        <f>$W$1&amp;AM2&amp;" = """&amp;AM2&amp;""""</f>
        <v>step = "step"</v>
      </c>
      <c r="AT2" t="str">
        <f>IF(AND(AL2 &lt;&gt; "Integer",AL2 &lt;&gt; "Double",AL2 &lt;&gt; "Long"),"e."&amp; AM2 &amp;" = assign(ec." &amp; AM2 &amp; ", i)","e."&amp; AM2 &amp;" = e."&amp; AM2 &amp;" + assign(ec." &amp; AM2 &amp; ", i)")</f>
        <v>e.step = assign(ec.step, i)</v>
      </c>
      <c r="AU2" t="str">
        <f>"Call "&amp;$AA$1&amp;"(ec." &amp;AM2 &amp; ", row, var." &amp; AM2 &amp;")"</f>
        <v>Call store(ec.step, row, var.step)</v>
      </c>
      <c r="AV2" t="str">
        <f>"s."&amp;AM2&amp;" = kod"</f>
        <v>s.step = kod</v>
      </c>
    </row>
    <row r="3" spans="1:48" x14ac:dyDescent="0.25">
      <c r="A3">
        <v>66</v>
      </c>
      <c r="B3" t="str">
        <f t="shared" ref="B3:B43" si="7">IF(A3&lt;91,CHAR(A3),"A"&amp;CHAR(A3-26))</f>
        <v>B</v>
      </c>
      <c r="C3" t="s">
        <v>354</v>
      </c>
      <c r="D3" s="25" t="s">
        <v>224</v>
      </c>
      <c r="E3" t="s">
        <v>146</v>
      </c>
      <c r="F3" t="str">
        <f>$AI$2&amp;G3</f>
        <v>idECI</v>
      </c>
      <c r="G3" t="s">
        <v>191</v>
      </c>
      <c r="I3" t="str">
        <f t="shared" si="0"/>
        <v>Public idECI As String</v>
      </c>
      <c r="J3" t="str">
        <f t="shared" si="1"/>
        <v>idECI = "B"</v>
      </c>
      <c r="K3" t="str">
        <f t="shared" si="2"/>
        <v>idECI = "CLNT_ECI_ID"</v>
      </c>
      <c r="L3" t="str">
        <f t="shared" si="3"/>
        <v>Public idECI As String</v>
      </c>
      <c r="M3" t="str">
        <f t="shared" ref="M3:M44" si="8">$M$1&amp;F3&amp;" = """&amp;F3&amp;""""</f>
        <v>idECI = "idECI"</v>
      </c>
      <c r="N3" t="str">
        <f t="shared" si="4"/>
        <v>a.idECI= assign(ac.idECI, i)</v>
      </c>
      <c r="O3" t="str">
        <f t="shared" si="5"/>
        <v>Call store(ac.idECI, row, a.idECI)</v>
      </c>
      <c r="Q3" s="25" t="s">
        <v>224</v>
      </c>
      <c r="R3" t="s">
        <v>146</v>
      </c>
      <c r="S3" t="str">
        <f>$AI$2&amp;T3</f>
        <v>idECI</v>
      </c>
      <c r="T3" t="s">
        <v>191</v>
      </c>
      <c r="U3" t="str">
        <f t="shared" ref="U3:U16" si="9">"Public "&amp;S3&amp;" As "&amp;R3</f>
        <v>Public idECI As String</v>
      </c>
      <c r="V3" t="str">
        <f t="shared" ref="V3:V16" si="10">$V$1&amp;S3&amp;" = """&amp;B3&amp;""""</f>
        <v>idECI = "B"</v>
      </c>
      <c r="W3" t="str">
        <f t="shared" ref="W3:W16" si="11">$W$1&amp;S3&amp;" = """&amp;Q3&amp;""""</f>
        <v>idECI = "CLNT_ECI_ID"</v>
      </c>
      <c r="X3" t="str">
        <f t="shared" ref="X3:X16" si="12">"Public "&amp;S3&amp;" As String"</f>
        <v>Public idECI As String</v>
      </c>
      <c r="Y3" t="str">
        <f t="shared" ref="Y3:Y16" si="13">$W$1&amp;S3&amp;" = """&amp;S3&amp;""""</f>
        <v>idECI = "idECI"</v>
      </c>
      <c r="Z3" t="str">
        <f t="shared" ref="Z3:Z16" si="14">IF(AND(R3 &lt;&gt; "Integer",R3 &lt;&gt; "Double",R3 &lt;&gt; "Long"),"e."&amp; S3 &amp;" = assign(ec." &amp; S3 &amp; ", i)","e."&amp; S3 &amp;" = e."&amp; S3 &amp;" + assign(ec." &amp; S3 &amp; ", i)")</f>
        <v>e.idECI = assign(ec.idECI, i)</v>
      </c>
      <c r="AA3" t="str">
        <f t="shared" ref="AA3:AA16" si="15">"Call "&amp;$AA$1&amp;"(ec." &amp;S3 &amp; ", row, var." &amp; S3 &amp;")"</f>
        <v>Call store(ec.idECI, row, var.idECI)</v>
      </c>
      <c r="AF3" t="s">
        <v>199</v>
      </c>
      <c r="AG3" s="24" t="s">
        <v>139</v>
      </c>
      <c r="AH3" t="s">
        <v>147</v>
      </c>
      <c r="AI3" t="s">
        <v>172</v>
      </c>
      <c r="AK3" s="10" t="s">
        <v>84</v>
      </c>
      <c r="AL3" t="s">
        <v>146</v>
      </c>
      <c r="AM3" t="s">
        <v>329</v>
      </c>
      <c r="AO3" t="str">
        <f t="shared" si="6"/>
        <v>Public idExpo As String</v>
      </c>
      <c r="AP3" t="str">
        <f t="shared" ref="AP3:AP18" si="16">$V$1&amp;AM3&amp;" = """&amp;B3&amp;""""</f>
        <v>idExpo = "B"</v>
      </c>
      <c r="AQ3" t="str">
        <f t="shared" ref="AQ3:AQ18" si="17">$W$1&amp;AM3&amp;" = """&amp;AK3&amp;""""</f>
        <v>idExpo = "Expo"</v>
      </c>
      <c r="AR3" t="str">
        <f t="shared" ref="AR3:AR18" si="18">"Public "&amp;AM3&amp;" As String"</f>
        <v>Public idExpo As String</v>
      </c>
      <c r="AS3" t="str">
        <f t="shared" ref="AS3:AS18" si="19">$W$1&amp;AM3&amp;" = """&amp;AM3&amp;""""</f>
        <v>idExpo = "idExpo"</v>
      </c>
      <c r="AT3" t="str">
        <f t="shared" ref="AT3:AT18" si="20">IF(AND(AL3 &lt;&gt; "Integer",AL3 &lt;&gt; "Double",AL3 &lt;&gt; "Long"),"e."&amp; AM3 &amp;" = assign(ec." &amp; AM3 &amp; ", i)","e."&amp; AM3 &amp;" = e."&amp; AM3 &amp;" + assign(ec." &amp; AM3 &amp; ", i)")</f>
        <v>e.idExpo = assign(ec.idExpo, i)</v>
      </c>
      <c r="AU3" t="str">
        <f t="shared" ref="AU3:AU18" si="21">"Call "&amp;$AA$1&amp;"(ec." &amp;AM3 &amp; ", row, var." &amp; AM3 &amp;")"</f>
        <v>Call store(ec.idExpo, row, var.idExpo)</v>
      </c>
      <c r="AV3" t="str">
        <f t="shared" ref="AV3:AV18" si="22">"s."&amp;AM3&amp;" = kod"</f>
        <v>s.idExpo = kod</v>
      </c>
    </row>
    <row r="4" spans="1:48" x14ac:dyDescent="0.25">
      <c r="A4">
        <v>67</v>
      </c>
      <c r="B4" t="str">
        <f t="shared" si="7"/>
        <v>C</v>
      </c>
      <c r="C4" t="s">
        <v>354</v>
      </c>
      <c r="D4" s="25" t="s">
        <v>225</v>
      </c>
      <c r="E4" t="s">
        <v>146</v>
      </c>
      <c r="F4" t="str">
        <f>$AI$2&amp;G4</f>
        <v>idACC</v>
      </c>
      <c r="G4" t="s">
        <v>228</v>
      </c>
      <c r="I4" t="str">
        <f t="shared" si="0"/>
        <v>Public idACC As String</v>
      </c>
      <c r="J4" t="str">
        <f t="shared" si="1"/>
        <v>idACC = "C"</v>
      </c>
      <c r="K4" t="str">
        <f t="shared" si="2"/>
        <v>idACC = "CLNT_RPT_ACC_NBR"</v>
      </c>
      <c r="L4" t="str">
        <f t="shared" si="3"/>
        <v>Public idACC As String</v>
      </c>
      <c r="M4" t="str">
        <f t="shared" si="8"/>
        <v>idACC = "idACC"</v>
      </c>
      <c r="N4" t="str">
        <f t="shared" si="4"/>
        <v>a.idACC= assign(ac.idACC, i)</v>
      </c>
      <c r="O4" t="str">
        <f t="shared" si="5"/>
        <v>Call store(ac.idACC, row, a.idACC)</v>
      </c>
      <c r="Q4" s="31" t="s">
        <v>353</v>
      </c>
      <c r="R4" t="s">
        <v>146</v>
      </c>
      <c r="S4" t="str">
        <f>$AI$2&amp;T4</f>
        <v>idEXP</v>
      </c>
      <c r="T4" t="s">
        <v>344</v>
      </c>
      <c r="U4" t="str">
        <f t="shared" si="9"/>
        <v>Public idEXP As String</v>
      </c>
      <c r="V4" t="str">
        <f t="shared" si="10"/>
        <v>idEXP = "C"</v>
      </c>
      <c r="W4" t="str">
        <f t="shared" si="11"/>
        <v>idEXP = "EXP_ID"</v>
      </c>
      <c r="X4" t="str">
        <f t="shared" si="12"/>
        <v>Public idEXP As String</v>
      </c>
      <c r="Y4" t="str">
        <f t="shared" si="13"/>
        <v>idEXP = "idEXP"</v>
      </c>
      <c r="Z4" t="str">
        <f t="shared" si="14"/>
        <v>e.idEXP = assign(ec.idEXP, i)</v>
      </c>
      <c r="AA4" t="str">
        <f t="shared" si="15"/>
        <v>Call store(ec.idEXP, row, var.idEXP)</v>
      </c>
      <c r="AF4" t="s">
        <v>200</v>
      </c>
      <c r="AG4" s="22" t="s">
        <v>140</v>
      </c>
      <c r="AH4" t="s">
        <v>147</v>
      </c>
      <c r="AI4" t="s">
        <v>173</v>
      </c>
      <c r="AK4" s="10" t="s">
        <v>82</v>
      </c>
      <c r="AL4" t="s">
        <v>146</v>
      </c>
      <c r="AM4" t="s">
        <v>330</v>
      </c>
      <c r="AO4" t="str">
        <f t="shared" si="6"/>
        <v>Public idAsst As String</v>
      </c>
      <c r="AP4" t="str">
        <f t="shared" si="16"/>
        <v>idAsst = "C"</v>
      </c>
      <c r="AQ4" t="str">
        <f t="shared" si="17"/>
        <v>idAsst = "Asset"</v>
      </c>
      <c r="AR4" t="str">
        <f t="shared" si="18"/>
        <v>Public idAsst As String</v>
      </c>
      <c r="AS4" t="str">
        <f t="shared" si="19"/>
        <v>idAsst = "idAsst"</v>
      </c>
      <c r="AT4" t="str">
        <f t="shared" si="20"/>
        <v>e.idAsst = assign(ec.idAsst, i)</v>
      </c>
      <c r="AU4" t="str">
        <f t="shared" si="21"/>
        <v>Call store(ec.idAsst, row, var.idAsst)</v>
      </c>
      <c r="AV4" t="str">
        <f t="shared" si="22"/>
        <v>s.idAsst = kod</v>
      </c>
    </row>
    <row r="5" spans="1:48" x14ac:dyDescent="0.25">
      <c r="A5">
        <v>68</v>
      </c>
      <c r="B5" t="str">
        <f t="shared" si="7"/>
        <v>D</v>
      </c>
      <c r="C5" t="s">
        <v>354</v>
      </c>
      <c r="D5" s="25" t="s">
        <v>226</v>
      </c>
      <c r="E5" t="s">
        <v>146</v>
      </c>
      <c r="F5" t="str">
        <f>$AI$2&amp;G5</f>
        <v>idBSC</v>
      </c>
      <c r="G5" t="s">
        <v>229</v>
      </c>
      <c r="I5" t="str">
        <f t="shared" si="0"/>
        <v>Public idBSC As String</v>
      </c>
      <c r="J5" t="str">
        <f t="shared" si="1"/>
        <v>idBSC = "D"</v>
      </c>
      <c r="K5" t="str">
        <f t="shared" si="2"/>
        <v>idBSC = "BUS_SYS_CODE"</v>
      </c>
      <c r="L5" t="str">
        <f t="shared" si="3"/>
        <v>Public idBSC As String</v>
      </c>
      <c r="M5" t="str">
        <f t="shared" si="8"/>
        <v>idBSC = "idBSC"</v>
      </c>
      <c r="N5" t="str">
        <f t="shared" si="4"/>
        <v>a.idBSC= assign(ac.idBSC, i)</v>
      </c>
      <c r="O5" t="str">
        <f t="shared" si="5"/>
        <v>Call store(ac.idBSC, row, a.idBSC)</v>
      </c>
      <c r="Q5" s="19" t="s">
        <v>110</v>
      </c>
      <c r="R5" t="s">
        <v>146</v>
      </c>
      <c r="S5" t="s">
        <v>180</v>
      </c>
      <c r="U5" t="str">
        <f t="shared" si="9"/>
        <v>Public expoType As String</v>
      </c>
      <c r="V5" t="str">
        <f t="shared" si="10"/>
        <v>expoType = "D"</v>
      </c>
      <c r="W5" t="str">
        <f t="shared" si="11"/>
        <v>expoType = "Type"</v>
      </c>
      <c r="X5" t="str">
        <f t="shared" si="12"/>
        <v>Public expoType As String</v>
      </c>
      <c r="Y5" t="str">
        <f t="shared" si="13"/>
        <v>expoType = "expoType"</v>
      </c>
      <c r="Z5" t="str">
        <f t="shared" si="14"/>
        <v>e.expoType = assign(ec.expoType, i)</v>
      </c>
      <c r="AA5" t="str">
        <f t="shared" si="15"/>
        <v>Call store(ec.expoType, row, var.expoType)</v>
      </c>
      <c r="AF5" t="s">
        <v>201</v>
      </c>
      <c r="AG5" s="23" t="s">
        <v>141</v>
      </c>
      <c r="AH5" t="s">
        <v>147</v>
      </c>
      <c r="AI5" t="s">
        <v>174</v>
      </c>
      <c r="AK5" t="s">
        <v>311</v>
      </c>
      <c r="AL5" t="s">
        <v>147</v>
      </c>
      <c r="AM5" t="s">
        <v>186</v>
      </c>
      <c r="AO5" t="str">
        <f t="shared" si="6"/>
        <v>Public expoAmt As Double</v>
      </c>
      <c r="AP5" t="str">
        <f t="shared" si="16"/>
        <v>expoAmt = "D"</v>
      </c>
      <c r="AQ5" t="str">
        <f t="shared" si="17"/>
        <v>expoAmt = "Expo Amt"</v>
      </c>
      <c r="AR5" t="str">
        <f t="shared" si="18"/>
        <v>Public expoAmt As String</v>
      </c>
      <c r="AS5" t="str">
        <f t="shared" si="19"/>
        <v>expoAmt = "expoAmt"</v>
      </c>
      <c r="AT5" t="str">
        <f t="shared" si="20"/>
        <v>e.expoAmt = e.expoAmt + assign(ec.expoAmt, i)</v>
      </c>
      <c r="AU5" t="str">
        <f t="shared" si="21"/>
        <v>Call store(ec.expoAmt, row, var.expoAmt)</v>
      </c>
      <c r="AV5" t="str">
        <f t="shared" si="22"/>
        <v>s.expoAmt = kod</v>
      </c>
    </row>
    <row r="6" spans="1:48" x14ac:dyDescent="0.25">
      <c r="A6">
        <v>69</v>
      </c>
      <c r="B6" t="str">
        <f t="shared" si="7"/>
        <v>E</v>
      </c>
      <c r="C6" t="s">
        <v>354</v>
      </c>
      <c r="D6" s="25" t="s">
        <v>227</v>
      </c>
      <c r="E6" t="s">
        <v>146</v>
      </c>
      <c r="F6" t="str">
        <f>$AI$2&amp;G6</f>
        <v>idINST</v>
      </c>
      <c r="G6" t="s">
        <v>230</v>
      </c>
      <c r="I6" t="str">
        <f t="shared" si="0"/>
        <v>Public idINST As String</v>
      </c>
      <c r="J6" t="str">
        <f t="shared" si="1"/>
        <v>idINST = "E"</v>
      </c>
      <c r="K6" t="str">
        <f t="shared" si="2"/>
        <v>idINST = "INST_UNIQUI_ID"</v>
      </c>
      <c r="L6" t="str">
        <f t="shared" si="3"/>
        <v>Public idINST As String</v>
      </c>
      <c r="M6" t="str">
        <f t="shared" si="8"/>
        <v>idINST = "idINST"</v>
      </c>
      <c r="N6" t="str">
        <f t="shared" si="4"/>
        <v>a.idINST= assign(ac.idINST, i)</v>
      </c>
      <c r="O6" t="str">
        <f t="shared" si="5"/>
        <v>Call store(ac.idINST, row, a.idINST)</v>
      </c>
      <c r="Q6" s="19" t="s">
        <v>25</v>
      </c>
      <c r="R6" t="s">
        <v>146</v>
      </c>
      <c r="S6" t="s">
        <v>10</v>
      </c>
      <c r="U6" t="str">
        <f t="shared" si="9"/>
        <v>Public CCY As String</v>
      </c>
      <c r="V6" t="str">
        <f t="shared" si="10"/>
        <v>CCY = "E"</v>
      </c>
      <c r="W6" t="str">
        <f t="shared" si="11"/>
        <v>CCY = "Currency"</v>
      </c>
      <c r="X6" t="str">
        <f t="shared" si="12"/>
        <v>Public CCY As String</v>
      </c>
      <c r="Y6" t="str">
        <f t="shared" si="13"/>
        <v>CCY = "CCY"</v>
      </c>
      <c r="Z6" t="str">
        <f t="shared" si="14"/>
        <v>e.CCY = assign(ec.CCY, i)</v>
      </c>
      <c r="AA6" t="str">
        <f t="shared" si="15"/>
        <v>Call store(ec.CCY, row, var.CCY)</v>
      </c>
      <c r="AF6" t="s">
        <v>202</v>
      </c>
      <c r="AG6" s="11" t="s">
        <v>316</v>
      </c>
      <c r="AK6" t="s">
        <v>89</v>
      </c>
      <c r="AL6" t="s">
        <v>146</v>
      </c>
      <c r="AM6" t="s">
        <v>332</v>
      </c>
      <c r="AO6" t="str">
        <f t="shared" si="6"/>
        <v>Public expoCCY As String</v>
      </c>
      <c r="AP6" t="str">
        <f t="shared" si="16"/>
        <v>expoCCY = "E"</v>
      </c>
      <c r="AQ6" t="str">
        <f t="shared" si="17"/>
        <v>expoCCY = "Expo CCY"</v>
      </c>
      <c r="AR6" t="str">
        <f t="shared" si="18"/>
        <v>Public expoCCY As String</v>
      </c>
      <c r="AS6" t="str">
        <f t="shared" si="19"/>
        <v>expoCCY = "expoCCY"</v>
      </c>
      <c r="AT6" t="str">
        <f t="shared" si="20"/>
        <v>e.expoCCY = assign(ec.expoCCY, i)</v>
      </c>
      <c r="AU6" t="str">
        <f t="shared" si="21"/>
        <v>Call store(ec.expoCCY, row, var.expoCCY)</v>
      </c>
      <c r="AV6" t="str">
        <f t="shared" si="22"/>
        <v>s.expoCCY = kod</v>
      </c>
    </row>
    <row r="7" spans="1:48" x14ac:dyDescent="0.25">
      <c r="A7">
        <v>70</v>
      </c>
      <c r="B7" t="str">
        <f t="shared" si="7"/>
        <v>F</v>
      </c>
      <c r="D7" s="13" t="s">
        <v>117</v>
      </c>
      <c r="E7" t="s">
        <v>146</v>
      </c>
      <c r="F7" t="s">
        <v>155</v>
      </c>
      <c r="I7" t="str">
        <f t="shared" si="0"/>
        <v>Public posDesc As String</v>
      </c>
      <c r="J7" t="str">
        <f t="shared" si="1"/>
        <v>posDesc = "F"</v>
      </c>
      <c r="K7" t="str">
        <f t="shared" si="2"/>
        <v>posDesc = "Position Description"</v>
      </c>
      <c r="L7" t="str">
        <f t="shared" si="3"/>
        <v>Public posDesc As String</v>
      </c>
      <c r="M7" t="str">
        <f t="shared" si="8"/>
        <v>posDesc = "posDesc"</v>
      </c>
      <c r="N7" t="str">
        <f t="shared" si="4"/>
        <v>a.posDesc= assign(ac.posDesc, i)</v>
      </c>
      <c r="O7" t="str">
        <f t="shared" si="5"/>
        <v>Call store(ac.posDesc, row, a.posDesc)</v>
      </c>
      <c r="Q7" s="19" t="s">
        <v>24</v>
      </c>
      <c r="R7" t="s">
        <v>147</v>
      </c>
      <c r="S7" t="s">
        <v>171</v>
      </c>
      <c r="T7" t="s">
        <v>183</v>
      </c>
      <c r="U7" t="str">
        <f t="shared" si="9"/>
        <v>Public hcCCY As Double</v>
      </c>
      <c r="V7" t="str">
        <f t="shared" si="10"/>
        <v>hcCCY = "F"</v>
      </c>
      <c r="W7" t="str">
        <f t="shared" si="11"/>
        <v>hcCCY = "Haircut"</v>
      </c>
      <c r="X7" t="str">
        <f t="shared" si="12"/>
        <v>Public hcCCY As String</v>
      </c>
      <c r="Y7" t="str">
        <f t="shared" si="13"/>
        <v>hcCCY = "hcCCY"</v>
      </c>
      <c r="Z7" t="str">
        <f t="shared" si="14"/>
        <v>e.hcCCY = e.hcCCY + assign(ec.hcCCY, i)</v>
      </c>
      <c r="AA7" t="str">
        <f t="shared" si="15"/>
        <v>Call store(ec.hcCCY, row, var.hcCCY)</v>
      </c>
      <c r="AF7" t="s">
        <v>203</v>
      </c>
      <c r="AG7" t="s">
        <v>218</v>
      </c>
      <c r="AH7" t="s">
        <v>222</v>
      </c>
      <c r="AK7" t="s">
        <v>90</v>
      </c>
      <c r="AL7" t="s">
        <v>146</v>
      </c>
      <c r="AM7" t="s">
        <v>333</v>
      </c>
      <c r="AO7" t="str">
        <f t="shared" si="6"/>
        <v>Public asstCCY As String</v>
      </c>
      <c r="AP7" t="str">
        <f t="shared" si="16"/>
        <v>asstCCY = "F"</v>
      </c>
      <c r="AQ7" t="str">
        <f t="shared" si="17"/>
        <v>asstCCY = "Asset CCY"</v>
      </c>
      <c r="AR7" t="str">
        <f t="shared" si="18"/>
        <v>Public asstCCY As String</v>
      </c>
      <c r="AS7" t="str">
        <f t="shared" si="19"/>
        <v>asstCCY = "asstCCY"</v>
      </c>
      <c r="AT7" t="str">
        <f t="shared" si="20"/>
        <v>e.asstCCY = assign(ec.asstCCY, i)</v>
      </c>
      <c r="AU7" t="str">
        <f t="shared" si="21"/>
        <v>Call store(ec.asstCCY, row, var.asstCCY)</v>
      </c>
      <c r="AV7" t="str">
        <f t="shared" si="22"/>
        <v>s.asstCCY = kod</v>
      </c>
    </row>
    <row r="8" spans="1:48" x14ac:dyDescent="0.25">
      <c r="A8">
        <v>71</v>
      </c>
      <c r="B8" t="str">
        <f t="shared" si="7"/>
        <v>G</v>
      </c>
      <c r="D8" s="13" t="s">
        <v>118</v>
      </c>
      <c r="E8" t="s">
        <v>146</v>
      </c>
      <c r="F8" t="s">
        <v>156</v>
      </c>
      <c r="I8" t="str">
        <f t="shared" si="0"/>
        <v>Public asstClass As String</v>
      </c>
      <c r="J8" t="str">
        <f t="shared" si="1"/>
        <v>asstClass = "G"</v>
      </c>
      <c r="K8" t="str">
        <f t="shared" si="2"/>
        <v>asstClass = "Asset Class"</v>
      </c>
      <c r="L8" t="str">
        <f t="shared" si="3"/>
        <v>Public asstClass As String</v>
      </c>
      <c r="M8" t="str">
        <f t="shared" si="8"/>
        <v>asstClass = "asstClass"</v>
      </c>
      <c r="N8" t="str">
        <f t="shared" si="4"/>
        <v>a.asstClass= assign(ac.asstClass, i)</v>
      </c>
      <c r="O8" t="str">
        <f t="shared" si="5"/>
        <v>Call store(ac.asstClass, row, a.asstClass)</v>
      </c>
      <c r="Q8" s="19" t="s">
        <v>152</v>
      </c>
      <c r="R8" t="s">
        <v>147</v>
      </c>
      <c r="S8" t="s">
        <v>186</v>
      </c>
      <c r="U8" t="str">
        <f t="shared" si="9"/>
        <v>Public expoAmt As Double</v>
      </c>
      <c r="V8" t="str">
        <f t="shared" si="10"/>
        <v>expoAmt = "G"</v>
      </c>
      <c r="W8" t="str">
        <f t="shared" si="11"/>
        <v>expoAmt = "Exposure Amount"</v>
      </c>
      <c r="X8" t="str">
        <f t="shared" si="12"/>
        <v>Public expoAmt As String</v>
      </c>
      <c r="Y8" t="str">
        <f t="shared" si="13"/>
        <v>expoAmt = "expoAmt"</v>
      </c>
      <c r="Z8" t="str">
        <f t="shared" si="14"/>
        <v>e.expoAmt = e.expoAmt + assign(ec.expoAmt, i)</v>
      </c>
      <c r="AA8" t="str">
        <f t="shared" si="15"/>
        <v>Call store(ec.expoAmt, row, var.expoAmt)</v>
      </c>
      <c r="AF8" t="s">
        <v>204</v>
      </c>
      <c r="AG8" t="s">
        <v>219</v>
      </c>
      <c r="AH8" t="s">
        <v>221</v>
      </c>
      <c r="AK8" t="s">
        <v>312</v>
      </c>
      <c r="AL8" t="s">
        <v>146</v>
      </c>
      <c r="AM8" t="s">
        <v>180</v>
      </c>
      <c r="AO8" t="str">
        <f t="shared" si="6"/>
        <v>Public expoType As String</v>
      </c>
      <c r="AP8" t="str">
        <f t="shared" si="16"/>
        <v>expoType = "G"</v>
      </c>
      <c r="AQ8" t="str">
        <f t="shared" si="17"/>
        <v>expoType = "Expo Type"</v>
      </c>
      <c r="AR8" t="str">
        <f t="shared" si="18"/>
        <v>Public expoType As String</v>
      </c>
      <c r="AS8" t="str">
        <f t="shared" si="19"/>
        <v>expoType = "expoType"</v>
      </c>
      <c r="AT8" t="str">
        <f t="shared" si="20"/>
        <v>e.expoType = assign(ec.expoType, i)</v>
      </c>
      <c r="AU8" t="str">
        <f t="shared" si="21"/>
        <v>Call store(ec.expoType, row, var.expoType)</v>
      </c>
      <c r="AV8" t="str">
        <f t="shared" si="22"/>
        <v>s.expoType = kod</v>
      </c>
    </row>
    <row r="9" spans="1:48" x14ac:dyDescent="0.25">
      <c r="A9">
        <v>72</v>
      </c>
      <c r="B9" t="str">
        <f t="shared" si="7"/>
        <v>H</v>
      </c>
      <c r="C9" t="s">
        <v>354</v>
      </c>
      <c r="D9" s="13" t="s">
        <v>119</v>
      </c>
      <c r="E9" t="s">
        <v>146</v>
      </c>
      <c r="F9" t="s">
        <v>181</v>
      </c>
      <c r="I9" t="str">
        <f t="shared" si="0"/>
        <v>Public asstType As String</v>
      </c>
      <c r="J9" t="str">
        <f t="shared" si="1"/>
        <v>asstType = "H"</v>
      </c>
      <c r="K9" t="str">
        <f t="shared" si="2"/>
        <v>asstType = "Margin Stock Indicator"</v>
      </c>
      <c r="L9" t="str">
        <f t="shared" si="3"/>
        <v>Public asstType As String</v>
      </c>
      <c r="M9" t="str">
        <f t="shared" si="8"/>
        <v>asstType = "asstType"</v>
      </c>
      <c r="N9" t="str">
        <f t="shared" si="4"/>
        <v>a.asstType= assign(ac.asstType, i)</v>
      </c>
      <c r="O9" t="str">
        <f t="shared" si="5"/>
        <v>Call store(ac.asstType, row, a.asstType)</v>
      </c>
      <c r="Q9" s="21" t="s">
        <v>292</v>
      </c>
      <c r="R9" t="s">
        <v>147</v>
      </c>
      <c r="S9" t="str">
        <f>$AI3&amp;T9</f>
        <v>hcOverrideFAC</v>
      </c>
      <c r="T9" t="s">
        <v>215</v>
      </c>
      <c r="U9" t="str">
        <f t="shared" si="9"/>
        <v>Public hcOverrideFAC As Double</v>
      </c>
      <c r="V9" t="str">
        <f t="shared" si="10"/>
        <v>hcOverrideFAC = "H"</v>
      </c>
      <c r="W9" t="str">
        <f t="shared" si="11"/>
        <v>hcOverrideFAC = "FAC Haircut Override"</v>
      </c>
      <c r="X9" t="str">
        <f t="shared" si="12"/>
        <v>Public hcOverrideFAC As String</v>
      </c>
      <c r="Y9" t="str">
        <f t="shared" si="13"/>
        <v>hcOverrideFAC = "hcOverrideFAC"</v>
      </c>
      <c r="Z9" t="str">
        <f t="shared" si="14"/>
        <v>e.hcOverrideFAC = e.hcOverrideFAC + assign(ec.hcOverrideFAC, i)</v>
      </c>
      <c r="AA9" t="str">
        <f t="shared" si="15"/>
        <v>Call store(ec.hcOverrideFAC, row, var.hcOverrideFAC)</v>
      </c>
      <c r="AF9" t="s">
        <v>205</v>
      </c>
      <c r="AG9" t="s">
        <v>220</v>
      </c>
      <c r="AH9" t="s">
        <v>255</v>
      </c>
      <c r="AK9" t="s">
        <v>313</v>
      </c>
      <c r="AL9" t="s">
        <v>146</v>
      </c>
      <c r="AM9" t="s">
        <v>181</v>
      </c>
      <c r="AO9" t="str">
        <f t="shared" si="6"/>
        <v>Public asstType As String</v>
      </c>
      <c r="AP9" t="str">
        <f t="shared" si="16"/>
        <v>asstType = "H"</v>
      </c>
      <c r="AQ9" t="str">
        <f t="shared" si="17"/>
        <v>asstType = "Asst Type"</v>
      </c>
      <c r="AR9" t="str">
        <f t="shared" si="18"/>
        <v>Public asstType As String</v>
      </c>
      <c r="AS9" t="str">
        <f t="shared" si="19"/>
        <v>asstType = "asstType"</v>
      </c>
      <c r="AT9" t="str">
        <f t="shared" si="20"/>
        <v>e.asstType = assign(ec.asstType, i)</v>
      </c>
      <c r="AU9" t="str">
        <f t="shared" si="21"/>
        <v>Call store(ec.asstType, row, var.asstType)</v>
      </c>
      <c r="AV9" t="str">
        <f t="shared" si="22"/>
        <v>s.asstType = kod</v>
      </c>
    </row>
    <row r="10" spans="1:48" x14ac:dyDescent="0.25">
      <c r="A10">
        <v>73</v>
      </c>
      <c r="B10" t="str">
        <f t="shared" si="7"/>
        <v>I</v>
      </c>
      <c r="D10" s="13" t="s">
        <v>25</v>
      </c>
      <c r="E10" t="s">
        <v>146</v>
      </c>
      <c r="F10" t="s">
        <v>10</v>
      </c>
      <c r="I10" t="str">
        <f t="shared" si="0"/>
        <v>Public CCY As String</v>
      </c>
      <c r="J10" t="str">
        <f t="shared" si="1"/>
        <v>CCY = "I"</v>
      </c>
      <c r="K10" t="str">
        <f t="shared" si="2"/>
        <v>CCY = "Currency"</v>
      </c>
      <c r="L10" t="str">
        <f t="shared" si="3"/>
        <v>Public CCY As String</v>
      </c>
      <c r="M10" t="str">
        <f t="shared" si="8"/>
        <v>CCY = "CCY"</v>
      </c>
      <c r="N10" t="str">
        <f t="shared" si="4"/>
        <v>a.CCY= assign(ac.CCY, i)</v>
      </c>
      <c r="O10" t="str">
        <f t="shared" si="5"/>
        <v>Call store(ac.CCY, row, a.CCY)</v>
      </c>
      <c r="Q10" s="26" t="s">
        <v>293</v>
      </c>
      <c r="R10" t="s">
        <v>217</v>
      </c>
      <c r="S10" t="str">
        <f>$AI4&amp;T10</f>
        <v>hcExpiryFAC</v>
      </c>
      <c r="T10" t="s">
        <v>215</v>
      </c>
      <c r="U10" t="str">
        <f t="shared" si="9"/>
        <v>Public hcExpiryFAC As Date</v>
      </c>
      <c r="V10" t="str">
        <f t="shared" si="10"/>
        <v>hcExpiryFAC = "I"</v>
      </c>
      <c r="W10" t="str">
        <f t="shared" si="11"/>
        <v>hcExpiryFAC = "FAC Haircut Override Expiry Date"</v>
      </c>
      <c r="X10" t="str">
        <f t="shared" si="12"/>
        <v>Public hcExpiryFAC As String</v>
      </c>
      <c r="Y10" t="str">
        <f t="shared" si="13"/>
        <v>hcExpiryFAC = "hcExpiryFAC"</v>
      </c>
      <c r="Z10" t="str">
        <f t="shared" si="14"/>
        <v>e.hcExpiryFAC = assign(ec.hcExpiryFAC, i)</v>
      </c>
      <c r="AA10" t="str">
        <f t="shared" si="15"/>
        <v>Call store(ec.hcExpiryFAC, row, var.hcExpiryFAC)</v>
      </c>
      <c r="AF10" t="s">
        <v>206</v>
      </c>
      <c r="AG10" t="s">
        <v>324</v>
      </c>
      <c r="AH10" t="s">
        <v>325</v>
      </c>
      <c r="AK10" t="s">
        <v>315</v>
      </c>
      <c r="AL10" t="s">
        <v>147</v>
      </c>
      <c r="AM10" t="s">
        <v>334</v>
      </c>
      <c r="AO10" t="str">
        <f t="shared" si="6"/>
        <v>Public initLV As Double</v>
      </c>
      <c r="AP10" t="str">
        <f t="shared" si="16"/>
        <v>initLV = "I"</v>
      </c>
      <c r="AQ10" t="str">
        <f t="shared" si="17"/>
        <v>initLV = "init LV wo HC"</v>
      </c>
      <c r="AR10" t="str">
        <f t="shared" si="18"/>
        <v>Public initLV As String</v>
      </c>
      <c r="AS10" t="str">
        <f t="shared" si="19"/>
        <v>initLV = "initLV"</v>
      </c>
      <c r="AT10" t="str">
        <f t="shared" si="20"/>
        <v>e.initLV = e.initLV + assign(ec.initLV, i)</v>
      </c>
      <c r="AU10" t="str">
        <f t="shared" si="21"/>
        <v>Call store(ec.initLV, row, var.initLV)</v>
      </c>
      <c r="AV10" t="str">
        <f t="shared" si="22"/>
        <v>s.initLV = kod</v>
      </c>
    </row>
    <row r="11" spans="1:48" x14ac:dyDescent="0.25">
      <c r="A11">
        <v>74</v>
      </c>
      <c r="B11" t="str">
        <f t="shared" si="7"/>
        <v>J</v>
      </c>
      <c r="D11" s="13" t="s">
        <v>257</v>
      </c>
      <c r="E11" t="s">
        <v>147</v>
      </c>
      <c r="F11" t="s">
        <v>258</v>
      </c>
      <c r="I11" t="str">
        <f t="shared" si="0"/>
        <v>Public unitPrice As Double</v>
      </c>
      <c r="J11" t="str">
        <f t="shared" si="1"/>
        <v>unitPrice = "J"</v>
      </c>
      <c r="K11" t="str">
        <f t="shared" si="2"/>
        <v>unitPrice = "Unit Price"</v>
      </c>
      <c r="L11" t="str">
        <f t="shared" si="3"/>
        <v>Public unitPrice As String</v>
      </c>
      <c r="M11" t="str">
        <f t="shared" si="8"/>
        <v>unitPrice = "unitPrice"</v>
      </c>
      <c r="N11" t="str">
        <f t="shared" si="4"/>
        <v>a.unitPrice= assign(ac.unitPrice, i)</v>
      </c>
      <c r="O11" t="str">
        <f t="shared" si="5"/>
        <v>Call store(ac.unitPrice, row, a.unitPrice)</v>
      </c>
      <c r="Q11" s="21" t="s">
        <v>294</v>
      </c>
      <c r="R11" t="s">
        <v>216</v>
      </c>
      <c r="S11" t="str">
        <f>$AI5&amp;T11</f>
        <v>hcFlagFAC</v>
      </c>
      <c r="T11" t="s">
        <v>215</v>
      </c>
      <c r="U11" t="str">
        <f t="shared" si="9"/>
        <v>Public hcFlagFAC As Boolean</v>
      </c>
      <c r="V11" t="str">
        <f t="shared" si="10"/>
        <v>hcFlagFAC = "J"</v>
      </c>
      <c r="W11" t="str">
        <f t="shared" si="11"/>
        <v>hcFlagFAC = "FAC Haircut On / Off"</v>
      </c>
      <c r="X11" t="str">
        <f t="shared" si="12"/>
        <v>Public hcFlagFAC As String</v>
      </c>
      <c r="Y11" t="str">
        <f t="shared" si="13"/>
        <v>hcFlagFAC = "hcFlagFAC"</v>
      </c>
      <c r="Z11" t="str">
        <f t="shared" si="14"/>
        <v>e.hcFlagFAC = assign(ec.hcFlagFAC, i)</v>
      </c>
      <c r="AA11" t="str">
        <f t="shared" si="15"/>
        <v>Call store(ec.hcFlagFAC, row, var.hcFlagFAC)</v>
      </c>
      <c r="AG11" s="11" t="s">
        <v>317</v>
      </c>
      <c r="AK11" t="s">
        <v>88</v>
      </c>
      <c r="AL11" t="s">
        <v>147</v>
      </c>
      <c r="AM11" t="s">
        <v>175</v>
      </c>
      <c r="AO11" t="str">
        <f t="shared" si="6"/>
        <v>Public hcApplied As Double</v>
      </c>
      <c r="AP11" t="str">
        <f t="shared" si="16"/>
        <v>hcApplied = "J"</v>
      </c>
      <c r="AQ11" t="str">
        <f t="shared" si="17"/>
        <v>hcApplied = "HC Choice"</v>
      </c>
      <c r="AR11" t="str">
        <f t="shared" si="18"/>
        <v>Public hcApplied As String</v>
      </c>
      <c r="AS11" t="str">
        <f t="shared" si="19"/>
        <v>hcApplied = "hcApplied"</v>
      </c>
      <c r="AT11" t="str">
        <f t="shared" si="20"/>
        <v>e.hcApplied = e.hcApplied + assign(ec.hcApplied, i)</v>
      </c>
      <c r="AU11" t="str">
        <f t="shared" si="21"/>
        <v>Call store(ec.hcApplied, row, var.hcApplied)</v>
      </c>
      <c r="AV11" t="str">
        <f t="shared" si="22"/>
        <v>s.hcApplied = kod</v>
      </c>
    </row>
    <row r="12" spans="1:48" x14ac:dyDescent="0.25">
      <c r="A12">
        <v>75</v>
      </c>
      <c r="B12" t="str">
        <f t="shared" si="7"/>
        <v>K</v>
      </c>
      <c r="D12" s="13" t="s">
        <v>120</v>
      </c>
      <c r="E12" t="s">
        <v>147</v>
      </c>
      <c r="F12" t="s">
        <v>157</v>
      </c>
      <c r="I12" t="str">
        <f t="shared" si="0"/>
        <v>Public qty As Double</v>
      </c>
      <c r="J12" t="str">
        <f t="shared" si="1"/>
        <v>qty = "K"</v>
      </c>
      <c r="K12" t="str">
        <f t="shared" si="2"/>
        <v>qty = "Quantity"</v>
      </c>
      <c r="L12" t="str">
        <f t="shared" si="3"/>
        <v>Public qty As String</v>
      </c>
      <c r="M12" t="str">
        <f t="shared" si="8"/>
        <v>qty = "qty"</v>
      </c>
      <c r="N12" t="str">
        <f t="shared" si="4"/>
        <v>a.qty= assign(ac.qty, i)</v>
      </c>
      <c r="O12" t="str">
        <f t="shared" si="5"/>
        <v>Call store(ac.qty, row, a.qty)</v>
      </c>
      <c r="Q12" s="20" t="s">
        <v>100</v>
      </c>
      <c r="R12" t="s">
        <v>148</v>
      </c>
      <c r="S12" t="s">
        <v>179</v>
      </c>
      <c r="U12" t="str">
        <f t="shared" si="9"/>
        <v>Public expoGroup As Long</v>
      </c>
      <c r="V12" t="str">
        <f t="shared" si="10"/>
        <v>expoGroup = "K"</v>
      </c>
      <c r="W12" t="str">
        <f t="shared" si="11"/>
        <v>expoGroup = "Group"</v>
      </c>
      <c r="X12" t="str">
        <f t="shared" si="12"/>
        <v>Public expoGroup As String</v>
      </c>
      <c r="Y12" t="str">
        <f t="shared" si="13"/>
        <v>expoGroup = "expoGroup"</v>
      </c>
      <c r="Z12" t="str">
        <f t="shared" si="14"/>
        <v>e.expoGroup = e.expoGroup + assign(ec.expoGroup, i)</v>
      </c>
      <c r="AA12" t="str">
        <f t="shared" si="15"/>
        <v>Call store(ec.expoGroup, row, var.expoGroup)</v>
      </c>
      <c r="AF12" t="s">
        <v>207</v>
      </c>
      <c r="AG12" t="s">
        <v>321</v>
      </c>
      <c r="AH12" t="s">
        <v>320</v>
      </c>
      <c r="AK12" t="s">
        <v>86</v>
      </c>
      <c r="AL12" t="s">
        <v>147</v>
      </c>
      <c r="AM12" t="s">
        <v>336</v>
      </c>
      <c r="AO12" t="str">
        <f t="shared" si="6"/>
        <v>Public hcLV As Double</v>
      </c>
      <c r="AP12" t="str">
        <f t="shared" si="16"/>
        <v>hcLV = "K"</v>
      </c>
      <c r="AQ12" t="str">
        <f t="shared" si="17"/>
        <v>hcLV = "LV w HC"</v>
      </c>
      <c r="AR12" t="str">
        <f t="shared" si="18"/>
        <v>Public hcLV As String</v>
      </c>
      <c r="AS12" t="str">
        <f t="shared" si="19"/>
        <v>hcLV = "hcLV"</v>
      </c>
      <c r="AT12" t="str">
        <f t="shared" si="20"/>
        <v>e.hcLV = e.hcLV + assign(ec.hcLV, i)</v>
      </c>
      <c r="AU12" t="str">
        <f t="shared" si="21"/>
        <v>Call store(ec.hcLV, row, var.hcLV)</v>
      </c>
      <c r="AV12" t="str">
        <f t="shared" si="22"/>
        <v>s.hcLV = kod</v>
      </c>
    </row>
    <row r="13" spans="1:48" x14ac:dyDescent="0.25">
      <c r="A13">
        <v>76</v>
      </c>
      <c r="B13" t="str">
        <f t="shared" si="7"/>
        <v>L</v>
      </c>
      <c r="C13" t="s">
        <v>354</v>
      </c>
      <c r="D13" s="13" t="s">
        <v>122</v>
      </c>
      <c r="E13" t="s">
        <v>147</v>
      </c>
      <c r="F13" t="s">
        <v>11</v>
      </c>
      <c r="I13" t="str">
        <f t="shared" si="0"/>
        <v>Public MV As Double</v>
      </c>
      <c r="J13" t="str">
        <f t="shared" si="1"/>
        <v>MV = "L"</v>
      </c>
      <c r="K13" t="str">
        <f t="shared" si="2"/>
        <v>MV = "Market Value"</v>
      </c>
      <c r="L13" t="str">
        <f t="shared" si="3"/>
        <v>Public MV As String</v>
      </c>
      <c r="M13" t="str">
        <f t="shared" si="8"/>
        <v>MV = "MV"</v>
      </c>
      <c r="N13" t="str">
        <f t="shared" si="4"/>
        <v>a.MV= assign(ac.MV, i)</v>
      </c>
      <c r="O13" t="str">
        <f t="shared" si="5"/>
        <v>Call store(ac.MV, row, a.MV)</v>
      </c>
      <c r="Q13" s="20" t="s">
        <v>150</v>
      </c>
      <c r="R13" t="s">
        <v>146</v>
      </c>
      <c r="S13" t="s">
        <v>185</v>
      </c>
      <c r="U13" t="str">
        <f t="shared" si="9"/>
        <v>Public status As String</v>
      </c>
      <c r="V13" t="str">
        <f t="shared" si="10"/>
        <v>status = "L"</v>
      </c>
      <c r="W13" t="str">
        <f t="shared" si="11"/>
        <v>status = "Status"</v>
      </c>
      <c r="X13" t="str">
        <f t="shared" si="12"/>
        <v>Public status As String</v>
      </c>
      <c r="Y13" t="str">
        <f t="shared" si="13"/>
        <v>status = "status"</v>
      </c>
      <c r="Z13" t="str">
        <f t="shared" si="14"/>
        <v>e.status = assign(ec.status, i)</v>
      </c>
      <c r="AA13" t="str">
        <f t="shared" si="15"/>
        <v>Call store(ec.status, row, var.status)</v>
      </c>
      <c r="AF13" t="s">
        <v>208</v>
      </c>
      <c r="AG13" t="s">
        <v>322</v>
      </c>
      <c r="AH13" t="s">
        <v>323</v>
      </c>
      <c r="AK13" t="s">
        <v>108</v>
      </c>
      <c r="AL13" t="s">
        <v>147</v>
      </c>
      <c r="AM13" t="s">
        <v>337</v>
      </c>
      <c r="AO13" t="str">
        <f t="shared" si="6"/>
        <v>Public remExpo As Double</v>
      </c>
      <c r="AP13" t="str">
        <f t="shared" si="16"/>
        <v>remExpo = "L"</v>
      </c>
      <c r="AQ13" t="str">
        <f t="shared" si="17"/>
        <v>remExpo = "Rem Expo"</v>
      </c>
      <c r="AR13" t="str">
        <f t="shared" si="18"/>
        <v>Public remExpo As String</v>
      </c>
      <c r="AS13" t="str">
        <f t="shared" si="19"/>
        <v>remExpo = "remExpo"</v>
      </c>
      <c r="AT13" t="str">
        <f t="shared" si="20"/>
        <v>e.remExpo = e.remExpo + assign(ec.remExpo, i)</v>
      </c>
      <c r="AU13" t="str">
        <f t="shared" si="21"/>
        <v>Call store(ec.remExpo, row, var.remExpo)</v>
      </c>
      <c r="AV13" t="str">
        <f t="shared" si="22"/>
        <v>s.remExpo = kod</v>
      </c>
    </row>
    <row r="14" spans="1:48" x14ac:dyDescent="0.25">
      <c r="A14">
        <v>77</v>
      </c>
      <c r="B14" t="str">
        <f t="shared" si="7"/>
        <v>M</v>
      </c>
      <c r="D14" s="13" t="s">
        <v>138</v>
      </c>
      <c r="E14" t="s">
        <v>147</v>
      </c>
      <c r="F14" t="s">
        <v>171</v>
      </c>
      <c r="I14" t="str">
        <f t="shared" si="0"/>
        <v>Public hcCCY As Double</v>
      </c>
      <c r="J14" t="str">
        <f t="shared" si="1"/>
        <v>hcCCY = "M"</v>
      </c>
      <c r="K14" t="str">
        <f t="shared" si="2"/>
        <v>hcCCY = "Currency Haircut"</v>
      </c>
      <c r="L14" t="str">
        <f t="shared" si="3"/>
        <v>Public hcCCY As String</v>
      </c>
      <c r="M14" t="str">
        <f t="shared" si="8"/>
        <v>hcCCY = "hcCCY"</v>
      </c>
      <c r="N14" t="str">
        <f t="shared" si="4"/>
        <v>a.hcCCY= assign(ac.hcCCY, i)</v>
      </c>
      <c r="O14" t="str">
        <f t="shared" si="5"/>
        <v>Call store(ac.hcCCY, row, a.hcCCY)</v>
      </c>
      <c r="Q14" s="20" t="s">
        <v>151</v>
      </c>
      <c r="R14" t="s">
        <v>147</v>
      </c>
      <c r="S14" t="s">
        <v>187</v>
      </c>
      <c r="U14" t="str">
        <f t="shared" si="9"/>
        <v>Public remAmt As Double</v>
      </c>
      <c r="V14" t="str">
        <f t="shared" si="10"/>
        <v>remAmt = "M"</v>
      </c>
      <c r="W14" t="str">
        <f t="shared" si="11"/>
        <v>remAmt = "Remaining Amount"</v>
      </c>
      <c r="X14" t="str">
        <f t="shared" si="12"/>
        <v>Public remAmt As String</v>
      </c>
      <c r="Y14" t="str">
        <f t="shared" si="13"/>
        <v>remAmt = "remAmt"</v>
      </c>
      <c r="Z14" t="str">
        <f t="shared" si="14"/>
        <v>e.remAmt = e.remAmt + assign(ec.remAmt, i)</v>
      </c>
      <c r="AA14" t="str">
        <f t="shared" si="15"/>
        <v>Call store(ec.remAmt, row, var.remAmt)</v>
      </c>
      <c r="AF14" t="s">
        <v>209</v>
      </c>
      <c r="AG14" t="s">
        <v>328</v>
      </c>
      <c r="AH14" t="s">
        <v>327</v>
      </c>
      <c r="AK14" t="s">
        <v>109</v>
      </c>
      <c r="AL14" t="s">
        <v>147</v>
      </c>
      <c r="AM14" t="s">
        <v>338</v>
      </c>
      <c r="AO14" t="str">
        <f t="shared" si="6"/>
        <v>Public remLV As Double</v>
      </c>
      <c r="AP14" t="str">
        <f t="shared" si="16"/>
        <v>remLV = "M"</v>
      </c>
      <c r="AQ14" t="str">
        <f t="shared" si="17"/>
        <v>remLV = "Rem LV"</v>
      </c>
      <c r="AR14" t="str">
        <f t="shared" si="18"/>
        <v>Public remLV As String</v>
      </c>
      <c r="AS14" t="str">
        <f t="shared" si="19"/>
        <v>remLV = "remLV"</v>
      </c>
      <c r="AT14" t="str">
        <f t="shared" si="20"/>
        <v>e.remLV = e.remLV + assign(ec.remLV, i)</v>
      </c>
      <c r="AU14" t="str">
        <f t="shared" si="21"/>
        <v>Call store(ec.remLV, row, var.remLV)</v>
      </c>
      <c r="AV14" t="str">
        <f t="shared" si="22"/>
        <v>s.remLV = kod</v>
      </c>
    </row>
    <row r="15" spans="1:48" x14ac:dyDescent="0.25">
      <c r="A15">
        <v>78</v>
      </c>
      <c r="B15" t="str">
        <f t="shared" si="7"/>
        <v>N</v>
      </c>
      <c r="D15" s="13" t="s">
        <v>121</v>
      </c>
      <c r="E15" t="s">
        <v>147</v>
      </c>
      <c r="F15" t="s">
        <v>158</v>
      </c>
      <c r="I15" t="str">
        <f t="shared" si="0"/>
        <v>Public qtyWithLV As Double</v>
      </c>
      <c r="J15" t="str">
        <f t="shared" si="1"/>
        <v>qtyWithLV = "N"</v>
      </c>
      <c r="K15" t="str">
        <f t="shared" si="2"/>
        <v>qtyWithLV = "Quantity with LV"</v>
      </c>
      <c r="L15" t="str">
        <f t="shared" si="3"/>
        <v>Public qtyWithLV As String</v>
      </c>
      <c r="M15" t="str">
        <f t="shared" si="8"/>
        <v>qtyWithLV = "qtyWithLV"</v>
      </c>
      <c r="N15" t="str">
        <f t="shared" si="4"/>
        <v>a.qtyWithLV= assign(ac.qtyWithLV, i)</v>
      </c>
      <c r="O15" t="str">
        <f t="shared" si="5"/>
        <v>Call store(ac.qtyWithLV, row, a.qtyWithLV)</v>
      </c>
      <c r="Q15" s="20" t="s">
        <v>149</v>
      </c>
      <c r="R15" t="s">
        <v>146</v>
      </c>
      <c r="S15" t="s">
        <v>182</v>
      </c>
      <c r="U15" t="str">
        <f t="shared" si="9"/>
        <v>Public asstList As String</v>
      </c>
      <c r="V15" t="str">
        <f t="shared" si="10"/>
        <v>asstList = "N"</v>
      </c>
      <c r="W15" t="str">
        <f t="shared" si="11"/>
        <v>asstList = "AssetList"</v>
      </c>
      <c r="X15" t="str">
        <f t="shared" si="12"/>
        <v>Public asstList As String</v>
      </c>
      <c r="Y15" t="str">
        <f t="shared" si="13"/>
        <v>asstList = "asstList"</v>
      </c>
      <c r="Z15" t="str">
        <f t="shared" si="14"/>
        <v>e.asstList = assign(ec.asstList, i)</v>
      </c>
      <c r="AA15" t="str">
        <f t="shared" si="15"/>
        <v>Call store(ec.asstList, row, var.asstList)</v>
      </c>
      <c r="AF15" t="s">
        <v>210</v>
      </c>
      <c r="AK15" t="s">
        <v>314</v>
      </c>
      <c r="AL15" t="s">
        <v>147</v>
      </c>
      <c r="AM15" t="s">
        <v>335</v>
      </c>
      <c r="AO15" t="str">
        <f t="shared" si="6"/>
        <v>Public finLV As Double</v>
      </c>
      <c r="AP15" t="str">
        <f t="shared" si="16"/>
        <v>finLV = "N"</v>
      </c>
      <c r="AQ15" t="str">
        <f t="shared" si="17"/>
        <v>finLV = "final LV wo HC"</v>
      </c>
      <c r="AR15" t="str">
        <f t="shared" si="18"/>
        <v>Public finLV As String</v>
      </c>
      <c r="AS15" t="str">
        <f t="shared" si="19"/>
        <v>finLV = "finLV"</v>
      </c>
      <c r="AT15" t="str">
        <f t="shared" si="20"/>
        <v>e.finLV = e.finLV + assign(ec.finLV, i)</v>
      </c>
      <c r="AU15" t="str">
        <f t="shared" si="21"/>
        <v>Call store(ec.finLV, row, var.finLV)</v>
      </c>
      <c r="AV15" t="str">
        <f t="shared" si="22"/>
        <v>s.finLV = kod</v>
      </c>
    </row>
    <row r="16" spans="1:48" x14ac:dyDescent="0.25">
      <c r="A16">
        <v>79</v>
      </c>
      <c r="B16" t="str">
        <f t="shared" si="7"/>
        <v>O</v>
      </c>
      <c r="D16" s="13" t="s">
        <v>123</v>
      </c>
      <c r="E16" t="s">
        <v>147</v>
      </c>
      <c r="F16" t="s">
        <v>159</v>
      </c>
      <c r="I16" t="str">
        <f t="shared" si="0"/>
        <v>Public MVwithLV As Double</v>
      </c>
      <c r="J16" t="str">
        <f t="shared" si="1"/>
        <v>MVwithLV = "O"</v>
      </c>
      <c r="K16" t="str">
        <f t="shared" si="2"/>
        <v>MVwithLV = "Market Value with LV"</v>
      </c>
      <c r="L16" t="str">
        <f t="shared" si="3"/>
        <v>Public MVwithLV As String</v>
      </c>
      <c r="M16" t="str">
        <f t="shared" si="8"/>
        <v>MVwithLV = "MVwithLV"</v>
      </c>
      <c r="N16" t="str">
        <f t="shared" si="4"/>
        <v>a.MVwithLV= assign(ac.MVwithLV, i)</v>
      </c>
      <c r="O16" t="str">
        <f t="shared" si="5"/>
        <v>Call store(ac.MVwithLV, row, a.MVwithLV)</v>
      </c>
      <c r="Q16" s="20" t="s">
        <v>295</v>
      </c>
      <c r="R16" t="s">
        <v>146</v>
      </c>
      <c r="S16" t="s">
        <v>296</v>
      </c>
      <c r="U16" t="str">
        <f t="shared" si="9"/>
        <v>Public expoList As String</v>
      </c>
      <c r="V16" t="str">
        <f t="shared" si="10"/>
        <v>expoList = "O"</v>
      </c>
      <c r="W16" t="str">
        <f t="shared" si="11"/>
        <v>expoList = "Exposure List"</v>
      </c>
      <c r="X16" t="str">
        <f t="shared" si="12"/>
        <v>Public expoList As String</v>
      </c>
      <c r="Y16" t="str">
        <f t="shared" si="13"/>
        <v>expoList = "expoList"</v>
      </c>
      <c r="Z16" t="str">
        <f t="shared" si="14"/>
        <v>e.expoList = assign(ec.expoList, i)</v>
      </c>
      <c r="AA16" t="str">
        <f t="shared" si="15"/>
        <v>Call store(ec.expoList, row, var.expoList)</v>
      </c>
      <c r="AF16" t="s">
        <v>211</v>
      </c>
      <c r="AJ16" t="s">
        <v>319</v>
      </c>
      <c r="AK16" s="11" t="s">
        <v>317</v>
      </c>
      <c r="AL16" t="s">
        <v>146</v>
      </c>
      <c r="AM16" t="s">
        <v>339</v>
      </c>
      <c r="AO16" t="str">
        <f t="shared" si="6"/>
        <v>Public expoTag As String</v>
      </c>
      <c r="AP16" t="str">
        <f t="shared" si="16"/>
        <v>expoTag = "O"</v>
      </c>
      <c r="AQ16" t="str">
        <f t="shared" si="17"/>
        <v>expoTag = "Expo Tag"</v>
      </c>
      <c r="AR16" t="str">
        <f t="shared" si="18"/>
        <v>Public expoTag As String</v>
      </c>
      <c r="AS16" t="str">
        <f t="shared" si="19"/>
        <v>expoTag = "expoTag"</v>
      </c>
      <c r="AT16" t="str">
        <f t="shared" si="20"/>
        <v>e.expoTag = assign(ec.expoTag, i)</v>
      </c>
      <c r="AU16" t="str">
        <f t="shared" si="21"/>
        <v>Call store(ec.expoTag, row, var.expoTag)</v>
      </c>
      <c r="AV16" t="str">
        <f t="shared" si="22"/>
        <v>s.expoTag = kod</v>
      </c>
    </row>
    <row r="17" spans="1:48" x14ac:dyDescent="0.25">
      <c r="A17">
        <v>80</v>
      </c>
      <c r="B17" t="str">
        <f t="shared" si="7"/>
        <v>P</v>
      </c>
      <c r="D17" s="21" t="s">
        <v>244</v>
      </c>
      <c r="E17" t="s">
        <v>147</v>
      </c>
      <c r="F17" t="str">
        <f>$AI3&amp;G17</f>
        <v>hcOverrideARR</v>
      </c>
      <c r="G17" t="s">
        <v>197</v>
      </c>
      <c r="I17" t="str">
        <f t="shared" si="0"/>
        <v>Public hcOverrideARR As Double</v>
      </c>
      <c r="J17" t="str">
        <f t="shared" si="1"/>
        <v>hcOverrideARR = "P"</v>
      </c>
      <c r="K17" t="str">
        <f t="shared" si="2"/>
        <v>hcOverrideARR = "ARR Haircut Override"</v>
      </c>
      <c r="L17" t="str">
        <f t="shared" si="3"/>
        <v>Public hcOverrideARR As String</v>
      </c>
      <c r="M17" t="str">
        <f t="shared" si="8"/>
        <v>hcOverrideARR = "hcOverrideARR"</v>
      </c>
      <c r="N17" t="str">
        <f t="shared" si="4"/>
        <v>a.hcOverrideARR= assign(ac.hcOverrideARR, i)</v>
      </c>
      <c r="O17" t="str">
        <f t="shared" si="5"/>
        <v>Call store(ac.hcOverrideARR, row, a.hcOverrideARR)</v>
      </c>
      <c r="Q17"/>
      <c r="AF17" t="s">
        <v>212</v>
      </c>
      <c r="AJ17" t="s">
        <v>318</v>
      </c>
      <c r="AK17" s="11" t="s">
        <v>316</v>
      </c>
      <c r="AL17" t="s">
        <v>146</v>
      </c>
      <c r="AM17" t="s">
        <v>340</v>
      </c>
      <c r="AO17" t="str">
        <f t="shared" si="6"/>
        <v>Public asstTag As String</v>
      </c>
      <c r="AP17" t="str">
        <f t="shared" si="16"/>
        <v>asstTag = "P"</v>
      </c>
      <c r="AQ17" t="str">
        <f t="shared" si="17"/>
        <v>asstTag = "Asst Tag"</v>
      </c>
      <c r="AR17" t="str">
        <f t="shared" si="18"/>
        <v>Public asstTag As String</v>
      </c>
      <c r="AS17" t="str">
        <f t="shared" si="19"/>
        <v>asstTag = "asstTag"</v>
      </c>
      <c r="AT17" t="str">
        <f t="shared" si="20"/>
        <v>e.asstTag = assign(ec.asstTag, i)</v>
      </c>
      <c r="AU17" t="str">
        <f t="shared" si="21"/>
        <v>Call store(ec.asstTag, row, var.asstTag)</v>
      </c>
      <c r="AV17" t="str">
        <f t="shared" si="22"/>
        <v>s.asstTag = kod</v>
      </c>
    </row>
    <row r="18" spans="1:48" x14ac:dyDescent="0.25">
      <c r="A18">
        <v>81</v>
      </c>
      <c r="B18" t="str">
        <f t="shared" si="7"/>
        <v>Q</v>
      </c>
      <c r="D18" s="26" t="s">
        <v>245</v>
      </c>
      <c r="E18" t="s">
        <v>217</v>
      </c>
      <c r="F18" t="str">
        <f>$AI4&amp;G18</f>
        <v>hcExpiryARR</v>
      </c>
      <c r="G18" t="s">
        <v>197</v>
      </c>
      <c r="I18" t="str">
        <f t="shared" si="0"/>
        <v>Public hcExpiryARR As Date</v>
      </c>
      <c r="J18" t="str">
        <f t="shared" si="1"/>
        <v>hcExpiryARR = "Q"</v>
      </c>
      <c r="K18" t="str">
        <f t="shared" si="2"/>
        <v>hcExpiryARR = "ARR Haircut Override Expiry Date"</v>
      </c>
      <c r="L18" t="str">
        <f t="shared" si="3"/>
        <v>Public hcExpiryARR As String</v>
      </c>
      <c r="M18" t="str">
        <f t="shared" si="8"/>
        <v>hcExpiryARR = "hcExpiryARR"</v>
      </c>
      <c r="N18" t="str">
        <f t="shared" si="4"/>
        <v>a.hcExpiryARR= assign(ac.hcExpiryARR, i)</v>
      </c>
      <c r="O18" t="str">
        <f t="shared" si="5"/>
        <v>Call store(ac.hcExpiryARR, row, a.hcExpiryARR)</v>
      </c>
      <c r="AF18" t="s">
        <v>213</v>
      </c>
      <c r="AK18" t="s">
        <v>106</v>
      </c>
      <c r="AL18" t="s">
        <v>146</v>
      </c>
      <c r="AM18" t="s">
        <v>341</v>
      </c>
      <c r="AO18" t="str">
        <f t="shared" si="6"/>
        <v>Public comment As String</v>
      </c>
      <c r="AP18" t="str">
        <f t="shared" si="16"/>
        <v>comment = "Q"</v>
      </c>
      <c r="AQ18" t="str">
        <f t="shared" si="17"/>
        <v>comment = "commnet"</v>
      </c>
      <c r="AR18" t="str">
        <f t="shared" si="18"/>
        <v>Public comment As String</v>
      </c>
      <c r="AS18" t="str">
        <f t="shared" si="19"/>
        <v>comment = "comment"</v>
      </c>
      <c r="AT18" t="str">
        <f t="shared" si="20"/>
        <v>e.comment = assign(ec.comment, i)</v>
      </c>
      <c r="AU18" t="str">
        <f t="shared" si="21"/>
        <v>Call store(ec.comment, row, var.comment)</v>
      </c>
      <c r="AV18" t="str">
        <f t="shared" si="22"/>
        <v>s.comment = kod</v>
      </c>
    </row>
    <row r="19" spans="1:48" x14ac:dyDescent="0.25">
      <c r="A19">
        <v>82</v>
      </c>
      <c r="B19" t="str">
        <f t="shared" si="7"/>
        <v>R</v>
      </c>
      <c r="D19" s="21" t="s">
        <v>246</v>
      </c>
      <c r="E19" t="s">
        <v>216</v>
      </c>
      <c r="F19" t="str">
        <f>$AI5&amp;G19</f>
        <v>hcFlagARR</v>
      </c>
      <c r="G19" t="s">
        <v>197</v>
      </c>
      <c r="I19" t="str">
        <f t="shared" si="0"/>
        <v>Public hcFlagARR As Boolean</v>
      </c>
      <c r="J19" t="str">
        <f t="shared" si="1"/>
        <v>hcFlagARR = "R"</v>
      </c>
      <c r="K19" t="str">
        <f t="shared" si="2"/>
        <v>hcFlagARR = "ARR Haircut On / Off"</v>
      </c>
      <c r="L19" t="str">
        <f t="shared" si="3"/>
        <v>Public hcFlagARR As String</v>
      </c>
      <c r="M19" t="str">
        <f t="shared" si="8"/>
        <v>hcFlagARR = "hcFlagARR"</v>
      </c>
      <c r="N19" t="str">
        <f t="shared" si="4"/>
        <v>a.hcFlagARR= assign(ac.hcFlagARR, i)</v>
      </c>
      <c r="O19" t="str">
        <f t="shared" si="5"/>
        <v>Call store(ac.hcFlagARR, row, a.hcFlagARR)</v>
      </c>
      <c r="AF19" t="s">
        <v>214</v>
      </c>
    </row>
    <row r="20" spans="1:48" x14ac:dyDescent="0.25">
      <c r="A20">
        <v>83</v>
      </c>
      <c r="B20" t="str">
        <f t="shared" si="7"/>
        <v>S</v>
      </c>
      <c r="D20" s="21" t="s">
        <v>247</v>
      </c>
      <c r="E20" t="s">
        <v>147</v>
      </c>
      <c r="F20" t="str">
        <f>$AI3&amp;G20</f>
        <v>hcOverrideCCY</v>
      </c>
      <c r="G20" t="s">
        <v>10</v>
      </c>
      <c r="I20" t="str">
        <f t="shared" si="0"/>
        <v>Public hcOverrideCCY As Double</v>
      </c>
      <c r="J20" t="str">
        <f t="shared" si="1"/>
        <v>hcOverrideCCY = "S"</v>
      </c>
      <c r="K20" t="str">
        <f t="shared" si="2"/>
        <v>hcOverrideCCY = "CCY Haircut Override"</v>
      </c>
      <c r="L20" t="str">
        <f t="shared" si="3"/>
        <v>Public hcOverrideCCY As String</v>
      </c>
      <c r="M20" t="str">
        <f t="shared" si="8"/>
        <v>hcOverrideCCY = "hcOverrideCCY"</v>
      </c>
      <c r="N20" t="str">
        <f t="shared" si="4"/>
        <v>a.hcOverrideCCY= assign(ac.hcOverrideCCY, i)</v>
      </c>
      <c r="O20" t="str">
        <f t="shared" si="5"/>
        <v>Call store(ac.hcOverrideCCY, row, a.hcOverrideCCY)</v>
      </c>
    </row>
    <row r="21" spans="1:48" x14ac:dyDescent="0.25">
      <c r="A21">
        <v>84</v>
      </c>
      <c r="B21" t="str">
        <f t="shared" si="7"/>
        <v>T</v>
      </c>
      <c r="D21" s="26" t="s">
        <v>248</v>
      </c>
      <c r="E21" t="s">
        <v>217</v>
      </c>
      <c r="F21" t="str">
        <f>$AI4&amp;G21</f>
        <v>hcExpiryCCY</v>
      </c>
      <c r="G21" t="s">
        <v>10</v>
      </c>
      <c r="I21" t="str">
        <f t="shared" si="0"/>
        <v>Public hcExpiryCCY As Date</v>
      </c>
      <c r="J21" t="str">
        <f t="shared" si="1"/>
        <v>hcExpiryCCY = "T"</v>
      </c>
      <c r="K21" t="str">
        <f t="shared" si="2"/>
        <v>hcExpiryCCY = "CCY Haircut Override Expiry Date"</v>
      </c>
      <c r="L21" t="str">
        <f t="shared" si="3"/>
        <v>Public hcExpiryCCY As String</v>
      </c>
      <c r="M21" t="str">
        <f t="shared" si="8"/>
        <v>hcExpiryCCY = "hcExpiryCCY"</v>
      </c>
      <c r="N21" t="str">
        <f t="shared" si="4"/>
        <v>a.hcExpiryCCY= assign(ac.hcExpiryCCY, i)</v>
      </c>
      <c r="O21" t="str">
        <f t="shared" si="5"/>
        <v>Call store(ac.hcExpiryCCY, row, a.hcExpiryCCY)</v>
      </c>
    </row>
    <row r="22" spans="1:48" x14ac:dyDescent="0.25">
      <c r="A22">
        <v>85</v>
      </c>
      <c r="B22" t="str">
        <f t="shared" si="7"/>
        <v>U</v>
      </c>
      <c r="D22" s="21" t="s">
        <v>249</v>
      </c>
      <c r="E22" t="s">
        <v>216</v>
      </c>
      <c r="F22" t="str">
        <f>$AI5&amp;G22</f>
        <v>hcFlagCCY</v>
      </c>
      <c r="G22" t="s">
        <v>10</v>
      </c>
      <c r="I22" t="str">
        <f t="shared" si="0"/>
        <v>Public hcFlagCCY As Boolean</v>
      </c>
      <c r="J22" t="str">
        <f t="shared" si="1"/>
        <v>hcFlagCCY = "U"</v>
      </c>
      <c r="K22" t="str">
        <f t="shared" si="2"/>
        <v>hcFlagCCY = "CCY Haircut On / Off"</v>
      </c>
      <c r="L22" t="str">
        <f t="shared" si="3"/>
        <v>Public hcFlagCCY As String</v>
      </c>
      <c r="M22" t="str">
        <f t="shared" si="8"/>
        <v>hcFlagCCY = "hcFlagCCY"</v>
      </c>
      <c r="N22" t="str">
        <f t="shared" si="4"/>
        <v>a.hcFlagCCY= assign(ac.hcFlagCCY, i)</v>
      </c>
      <c r="O22" t="str">
        <f t="shared" si="5"/>
        <v>Call store(ac.hcFlagCCY, row, a.hcFlagCCY)</v>
      </c>
    </row>
    <row r="23" spans="1:48" x14ac:dyDescent="0.25">
      <c r="A23">
        <v>86</v>
      </c>
      <c r="B23" t="str">
        <f t="shared" si="7"/>
        <v>V</v>
      </c>
      <c r="D23" s="21" t="s">
        <v>250</v>
      </c>
      <c r="E23" t="s">
        <v>147</v>
      </c>
      <c r="F23" t="str">
        <f>$AI3&amp;G23</f>
        <v>hcOverridePOS</v>
      </c>
      <c r="G23" t="s">
        <v>198</v>
      </c>
      <c r="I23" t="str">
        <f t="shared" si="0"/>
        <v>Public hcOverridePOS As Double</v>
      </c>
      <c r="J23" t="str">
        <f t="shared" si="1"/>
        <v>hcOverridePOS = "V"</v>
      </c>
      <c r="K23" t="str">
        <f t="shared" si="2"/>
        <v>hcOverridePOS = "POS Haircut Override"</v>
      </c>
      <c r="L23" t="str">
        <f t="shared" si="3"/>
        <v>Public hcOverridePOS As String</v>
      </c>
      <c r="M23" t="str">
        <f t="shared" si="8"/>
        <v>hcOverridePOS = "hcOverridePOS"</v>
      </c>
      <c r="N23" t="str">
        <f t="shared" si="4"/>
        <v>a.hcOverridePOS= assign(ac.hcOverridePOS, i)</v>
      </c>
      <c r="O23" t="str">
        <f t="shared" si="5"/>
        <v>Call store(ac.hcOverridePOS, row, a.hcOverridePOS)</v>
      </c>
    </row>
    <row r="24" spans="1:48" x14ac:dyDescent="0.25">
      <c r="A24">
        <v>87</v>
      </c>
      <c r="B24" t="str">
        <f t="shared" si="7"/>
        <v>W</v>
      </c>
      <c r="D24" s="26" t="s">
        <v>251</v>
      </c>
      <c r="E24" t="s">
        <v>217</v>
      </c>
      <c r="F24" t="str">
        <f>$AI4&amp;G24</f>
        <v>hcExpiryPOS</v>
      </c>
      <c r="G24" t="s">
        <v>198</v>
      </c>
      <c r="I24" t="str">
        <f t="shared" si="0"/>
        <v>Public hcExpiryPOS As Date</v>
      </c>
      <c r="J24" t="str">
        <f t="shared" si="1"/>
        <v>hcExpiryPOS = "W"</v>
      </c>
      <c r="K24" t="str">
        <f t="shared" si="2"/>
        <v>hcExpiryPOS = "POS Haircut Override Expiry Date"</v>
      </c>
      <c r="L24" t="str">
        <f t="shared" si="3"/>
        <v>Public hcExpiryPOS As String</v>
      </c>
      <c r="M24" t="str">
        <f t="shared" si="8"/>
        <v>hcExpiryPOS = "hcExpiryPOS"</v>
      </c>
      <c r="N24" t="str">
        <f t="shared" si="4"/>
        <v>a.hcExpiryPOS= assign(ac.hcExpiryPOS, i)</v>
      </c>
      <c r="O24" t="str">
        <f t="shared" si="5"/>
        <v>Call store(ac.hcExpiryPOS, row, a.hcExpiryPOS)</v>
      </c>
    </row>
    <row r="25" spans="1:48" x14ac:dyDescent="0.25">
      <c r="A25">
        <v>88</v>
      </c>
      <c r="B25" t="str">
        <f t="shared" si="7"/>
        <v>X</v>
      </c>
      <c r="D25" s="21" t="s">
        <v>252</v>
      </c>
      <c r="E25" t="s">
        <v>216</v>
      </c>
      <c r="F25" t="str">
        <f>$AI5&amp;G25</f>
        <v>hcFlagPOS</v>
      </c>
      <c r="G25" t="s">
        <v>198</v>
      </c>
      <c r="I25" t="str">
        <f t="shared" si="0"/>
        <v>Public hcFlagPOS As Boolean</v>
      </c>
      <c r="J25" t="str">
        <f t="shared" si="1"/>
        <v>hcFlagPOS = "X"</v>
      </c>
      <c r="K25" t="str">
        <f t="shared" si="2"/>
        <v>hcFlagPOS = "POS Haircut On / Off"</v>
      </c>
      <c r="L25" t="str">
        <f t="shared" si="3"/>
        <v>Public hcFlagPOS As String</v>
      </c>
      <c r="M25" t="str">
        <f t="shared" si="8"/>
        <v>hcFlagPOS = "hcFlagPOS"</v>
      </c>
      <c r="N25" t="str">
        <f t="shared" si="4"/>
        <v>a.hcFlagPOS= assign(ac.hcFlagPOS, i)</v>
      </c>
      <c r="O25" t="str">
        <f t="shared" si="5"/>
        <v>Call store(ac.hcFlagPOS, row, a.hcFlagPOS)</v>
      </c>
    </row>
    <row r="26" spans="1:48" x14ac:dyDescent="0.25">
      <c r="A26">
        <v>89</v>
      </c>
      <c r="B26" t="str">
        <f t="shared" si="7"/>
        <v>Y</v>
      </c>
      <c r="D26" s="27" t="s">
        <v>124</v>
      </c>
      <c r="E26" t="s">
        <v>147</v>
      </c>
      <c r="F26" t="s">
        <v>160</v>
      </c>
      <c r="I26" t="str">
        <f t="shared" si="0"/>
        <v>Public PLVpct As Double</v>
      </c>
      <c r="J26" t="str">
        <f t="shared" si="1"/>
        <v>PLVpct = "Y"</v>
      </c>
      <c r="K26" t="str">
        <f t="shared" si="2"/>
        <v>PLVpct = "Purpose LV %"</v>
      </c>
      <c r="L26" t="str">
        <f t="shared" si="3"/>
        <v>Public PLVpct As String</v>
      </c>
      <c r="M26" t="str">
        <f t="shared" si="8"/>
        <v>PLVpct = "PLVpct"</v>
      </c>
      <c r="N26" t="str">
        <f t="shared" si="4"/>
        <v>a.PLVpct= assign(ac.PLVpct, i)</v>
      </c>
      <c r="O26" t="str">
        <f t="shared" si="5"/>
        <v>Call store(ac.PLVpct, row, a.PLVpct)</v>
      </c>
    </row>
    <row r="27" spans="1:48" x14ac:dyDescent="0.25">
      <c r="A27">
        <v>90</v>
      </c>
      <c r="B27" t="str">
        <f t="shared" si="7"/>
        <v>Z</v>
      </c>
      <c r="D27" s="27" t="s">
        <v>125</v>
      </c>
      <c r="E27" t="s">
        <v>147</v>
      </c>
      <c r="F27" t="s">
        <v>1</v>
      </c>
      <c r="I27" t="str">
        <f t="shared" si="0"/>
        <v>Public PLV As Double</v>
      </c>
      <c r="J27" t="str">
        <f t="shared" si="1"/>
        <v>PLV = "Z"</v>
      </c>
      <c r="K27" t="str">
        <f t="shared" si="2"/>
        <v>PLV = "Purpose LV"</v>
      </c>
      <c r="L27" t="str">
        <f t="shared" si="3"/>
        <v>Public PLV As String</v>
      </c>
      <c r="M27" t="str">
        <f t="shared" si="8"/>
        <v>PLV = "PLV"</v>
      </c>
      <c r="N27" t="str">
        <f t="shared" si="4"/>
        <v>a.PLV= assign(ac.PLV, i)</v>
      </c>
      <c r="O27" t="str">
        <f t="shared" si="5"/>
        <v>Call store(ac.PLV, row, a.PLV)</v>
      </c>
    </row>
    <row r="28" spans="1:48" x14ac:dyDescent="0.25">
      <c r="A28">
        <v>91</v>
      </c>
      <c r="B28" t="str">
        <f t="shared" si="7"/>
        <v>AA</v>
      </c>
      <c r="D28" s="27" t="s">
        <v>128</v>
      </c>
      <c r="E28" t="s">
        <v>147</v>
      </c>
      <c r="F28" t="s">
        <v>164</v>
      </c>
      <c r="I28" t="str">
        <f t="shared" si="0"/>
        <v>Public ELVpct As Double</v>
      </c>
      <c r="J28" t="str">
        <f t="shared" si="1"/>
        <v>ELVpct = "AA"</v>
      </c>
      <c r="K28" t="str">
        <f t="shared" si="2"/>
        <v>ELVpct = "Effective LV %"</v>
      </c>
      <c r="L28" t="str">
        <f t="shared" si="3"/>
        <v>Public ELVpct As String</v>
      </c>
      <c r="M28" t="str">
        <f t="shared" si="8"/>
        <v>ELVpct = "ELVpct"</v>
      </c>
      <c r="N28" t="str">
        <f t="shared" si="4"/>
        <v>a.ELVpct= assign(ac.ELVpct, i)</v>
      </c>
      <c r="O28" t="str">
        <f t="shared" si="5"/>
        <v>Call store(ac.ELVpct, row, a.ELVpct)</v>
      </c>
    </row>
    <row r="29" spans="1:48" x14ac:dyDescent="0.25">
      <c r="A29">
        <v>92</v>
      </c>
      <c r="B29" t="str">
        <f t="shared" si="7"/>
        <v>AB</v>
      </c>
      <c r="D29" s="27" t="s">
        <v>129</v>
      </c>
      <c r="E29" t="s">
        <v>147</v>
      </c>
      <c r="F29" t="s">
        <v>2</v>
      </c>
      <c r="I29" t="str">
        <f t="shared" si="0"/>
        <v>Public ELV As Double</v>
      </c>
      <c r="J29" t="str">
        <f t="shared" si="1"/>
        <v>ELV = "AB"</v>
      </c>
      <c r="K29" t="str">
        <f t="shared" si="2"/>
        <v>ELV = "Effective LV"</v>
      </c>
      <c r="L29" t="str">
        <f t="shared" si="3"/>
        <v>Public ELV As String</v>
      </c>
      <c r="M29" t="str">
        <f t="shared" si="8"/>
        <v>ELV = "ELV"</v>
      </c>
      <c r="N29" t="str">
        <f t="shared" si="4"/>
        <v>a.ELV= assign(ac.ELV, i)</v>
      </c>
      <c r="O29" t="str">
        <f t="shared" si="5"/>
        <v>Call store(ac.ELV, row, a.ELV)</v>
      </c>
    </row>
    <row r="30" spans="1:48" x14ac:dyDescent="0.25">
      <c r="A30">
        <v>93</v>
      </c>
      <c r="B30" t="str">
        <f t="shared" si="7"/>
        <v>AC</v>
      </c>
      <c r="D30" s="13" t="s">
        <v>135</v>
      </c>
      <c r="E30" t="s">
        <v>147</v>
      </c>
      <c r="F30" t="s">
        <v>168</v>
      </c>
      <c r="I30" t="str">
        <f t="shared" si="0"/>
        <v>Public LVratio As Double</v>
      </c>
      <c r="J30" t="str">
        <f t="shared" si="1"/>
        <v>LVratio = "AC"</v>
      </c>
      <c r="K30" t="str">
        <f t="shared" si="2"/>
        <v>LVratio = "PLV/ELV % Ratio"</v>
      </c>
      <c r="L30" t="str">
        <f t="shared" si="3"/>
        <v>Public LVratio As String</v>
      </c>
      <c r="M30" t="str">
        <f t="shared" si="8"/>
        <v>LVratio = "LVratio"</v>
      </c>
      <c r="N30" t="str">
        <f t="shared" si="4"/>
        <v>a.LVratio= assign(ac.LVratio, i)</v>
      </c>
      <c r="O30" t="str">
        <f t="shared" si="5"/>
        <v>Call store(ac.LVratio, row, a.LVratio)</v>
      </c>
    </row>
    <row r="31" spans="1:48" x14ac:dyDescent="0.25">
      <c r="A31">
        <v>94</v>
      </c>
      <c r="B31" t="str">
        <f t="shared" si="7"/>
        <v>AD</v>
      </c>
      <c r="C31">
        <v>-1</v>
      </c>
      <c r="D31" s="21" t="s">
        <v>253</v>
      </c>
      <c r="E31" t="s">
        <v>147</v>
      </c>
      <c r="F31" t="s">
        <v>254</v>
      </c>
      <c r="H31" t="str">
        <f t="shared" ref="H31:H43" si="23">""&amp;F31&amp;" = "&amp;C31</f>
        <v>hcValue = -1</v>
      </c>
      <c r="I31" t="str">
        <f t="shared" si="0"/>
        <v>Public hcValue As Double</v>
      </c>
      <c r="J31" t="str">
        <f t="shared" si="1"/>
        <v>hcValue = "AD"</v>
      </c>
      <c r="K31" t="str">
        <f t="shared" si="2"/>
        <v>hcValue = "Final Haircut Value"</v>
      </c>
      <c r="L31" t="str">
        <f t="shared" si="3"/>
        <v>Public hcValue As String</v>
      </c>
      <c r="M31" t="str">
        <f t="shared" si="8"/>
        <v>hcValue = "hcValue"</v>
      </c>
      <c r="N31" t="str">
        <f t="shared" si="4"/>
        <v>a.hcValue= assign(ac.hcValue, i)</v>
      </c>
      <c r="O31" t="str">
        <f t="shared" si="5"/>
        <v>Call store(ac.hcValue, row, a.hcValue)</v>
      </c>
    </row>
    <row r="32" spans="1:48" x14ac:dyDescent="0.25">
      <c r="A32">
        <v>95</v>
      </c>
      <c r="B32" t="str">
        <f t="shared" si="7"/>
        <v>AE</v>
      </c>
      <c r="C32">
        <v>-1</v>
      </c>
      <c r="D32" s="28" t="s">
        <v>142</v>
      </c>
      <c r="E32" t="s">
        <v>147</v>
      </c>
      <c r="F32" s="29" t="s">
        <v>175</v>
      </c>
      <c r="G32" t="s">
        <v>256</v>
      </c>
      <c r="H32" t="str">
        <f t="shared" si="23"/>
        <v>hcApplied = -1</v>
      </c>
      <c r="I32" t="str">
        <f t="shared" si="0"/>
        <v>Public hcApplied As Double</v>
      </c>
      <c r="J32" t="str">
        <f t="shared" si="1"/>
        <v>hcApplied = "AE"</v>
      </c>
      <c r="K32" t="str">
        <f t="shared" si="2"/>
        <v>hcApplied = "Applied Haircut"</v>
      </c>
      <c r="L32" t="str">
        <f t="shared" si="3"/>
        <v>Public hcApplied As String</v>
      </c>
      <c r="M32" t="str">
        <f t="shared" si="8"/>
        <v>hcApplied = "hcApplied"</v>
      </c>
      <c r="N32" t="str">
        <f t="shared" si="4"/>
        <v>a.hcApplied= assign(ac.hcApplied, i)</v>
      </c>
      <c r="O32" t="str">
        <f t="shared" si="5"/>
        <v>Call store(ac.hcApplied, row, a.hcApplied)</v>
      </c>
    </row>
    <row r="33" spans="1:15" x14ac:dyDescent="0.25">
      <c r="A33">
        <v>96</v>
      </c>
      <c r="B33" t="str">
        <f t="shared" si="7"/>
        <v>AF</v>
      </c>
      <c r="C33" t="s">
        <v>273</v>
      </c>
      <c r="D33" s="28" t="s">
        <v>143</v>
      </c>
      <c r="E33" t="s">
        <v>146</v>
      </c>
      <c r="F33" s="29" t="s">
        <v>176</v>
      </c>
      <c r="G33" t="s">
        <v>256</v>
      </c>
      <c r="H33" t="str">
        <f t="shared" si="23"/>
        <v>hcRule = "-1"</v>
      </c>
      <c r="I33" t="str">
        <f t="shared" si="0"/>
        <v>Public hcRule As String</v>
      </c>
      <c r="J33" t="str">
        <f t="shared" si="1"/>
        <v>hcRule = "AF"</v>
      </c>
      <c r="K33" t="str">
        <f t="shared" si="2"/>
        <v>hcRule = "Haircut Application Rule"</v>
      </c>
      <c r="L33" t="str">
        <f t="shared" si="3"/>
        <v>Public hcRule As String</v>
      </c>
      <c r="M33" t="str">
        <f t="shared" si="8"/>
        <v>hcRule = "hcRule"</v>
      </c>
      <c r="N33" t="str">
        <f t="shared" si="4"/>
        <v>a.hcRule= assign(ac.hcRule, i)</v>
      </c>
      <c r="O33" t="str">
        <f t="shared" si="5"/>
        <v>Call store(ac.hcRule, row, a.hcRule)</v>
      </c>
    </row>
    <row r="34" spans="1:15" x14ac:dyDescent="0.25">
      <c r="A34">
        <v>97</v>
      </c>
      <c r="B34" t="str">
        <f t="shared" si="7"/>
        <v>AG</v>
      </c>
      <c r="C34">
        <v>-1</v>
      </c>
      <c r="D34" s="28" t="s">
        <v>144</v>
      </c>
      <c r="E34" t="s">
        <v>147</v>
      </c>
      <c r="F34" t="s">
        <v>177</v>
      </c>
      <c r="H34" t="str">
        <f t="shared" si="23"/>
        <v>hcPreLV = -1</v>
      </c>
      <c r="I34" t="str">
        <f t="shared" si="0"/>
        <v>Public hcPreLV As Double</v>
      </c>
      <c r="J34" t="str">
        <f t="shared" si="1"/>
        <v>hcPreLV = "AG"</v>
      </c>
      <c r="K34" t="str">
        <f t="shared" si="2"/>
        <v>hcPreLV = "Pre-Haircut LV"</v>
      </c>
      <c r="L34" t="str">
        <f t="shared" si="3"/>
        <v>Public hcPreLV As String</v>
      </c>
      <c r="M34" t="str">
        <f t="shared" si="8"/>
        <v>hcPreLV = "hcPreLV"</v>
      </c>
      <c r="N34" t="str">
        <f t="shared" si="4"/>
        <v>a.hcPreLV= assign(ac.hcPreLV, i)</v>
      </c>
      <c r="O34" t="str">
        <f t="shared" si="5"/>
        <v>Call store(ac.hcPreLV, row, a.hcPreLV)</v>
      </c>
    </row>
    <row r="35" spans="1:15" x14ac:dyDescent="0.25">
      <c r="A35">
        <v>98</v>
      </c>
      <c r="B35" t="str">
        <f t="shared" si="7"/>
        <v>AH</v>
      </c>
      <c r="C35">
        <v>-1</v>
      </c>
      <c r="D35" s="28" t="s">
        <v>126</v>
      </c>
      <c r="E35" t="s">
        <v>147</v>
      </c>
      <c r="F35" t="s">
        <v>161</v>
      </c>
      <c r="H35" t="str">
        <f t="shared" si="23"/>
        <v>APLVpct = -1</v>
      </c>
      <c r="I35" t="str">
        <f t="shared" si="0"/>
        <v>Public APLVpct As Double</v>
      </c>
      <c r="J35" t="str">
        <f t="shared" si="1"/>
        <v>APLVpct = "AH"</v>
      </c>
      <c r="K35" t="str">
        <f t="shared" si="2"/>
        <v>APLVpct = "Applied Purpose LV %"</v>
      </c>
      <c r="L35" t="str">
        <f t="shared" si="3"/>
        <v>Public APLVpct As String</v>
      </c>
      <c r="M35" t="str">
        <f t="shared" si="8"/>
        <v>APLVpct = "APLVpct"</v>
      </c>
      <c r="N35" t="str">
        <f t="shared" si="4"/>
        <v>a.APLVpct= assign(ac.APLVpct, i)</v>
      </c>
      <c r="O35" t="str">
        <f t="shared" si="5"/>
        <v>Call store(ac.APLVpct, row, a.APLVpct)</v>
      </c>
    </row>
    <row r="36" spans="1:15" x14ac:dyDescent="0.25">
      <c r="A36">
        <v>99</v>
      </c>
      <c r="B36" t="str">
        <f t="shared" si="7"/>
        <v>AI</v>
      </c>
      <c r="C36">
        <v>-1</v>
      </c>
      <c r="D36" s="28" t="s">
        <v>127</v>
      </c>
      <c r="E36" t="s">
        <v>147</v>
      </c>
      <c r="F36" t="s">
        <v>162</v>
      </c>
      <c r="H36" t="str">
        <f t="shared" si="23"/>
        <v>APLV = -1</v>
      </c>
      <c r="I36" t="str">
        <f t="shared" si="0"/>
        <v>Public APLV As Double</v>
      </c>
      <c r="J36" t="str">
        <f t="shared" si="1"/>
        <v>APLV = "AI"</v>
      </c>
      <c r="K36" t="str">
        <f t="shared" si="2"/>
        <v>APLV = "Applied Purpose LV"</v>
      </c>
      <c r="L36" t="str">
        <f t="shared" si="3"/>
        <v>Public APLV As String</v>
      </c>
      <c r="M36" t="str">
        <f t="shared" si="8"/>
        <v>APLV = "APLV"</v>
      </c>
      <c r="N36" t="str">
        <f t="shared" si="4"/>
        <v>a.APLV= assign(ac.APLV, i)</v>
      </c>
      <c r="O36" t="str">
        <f t="shared" si="5"/>
        <v>Call store(ac.APLV, row, a.APLV)</v>
      </c>
    </row>
    <row r="37" spans="1:15" x14ac:dyDescent="0.25">
      <c r="A37">
        <v>100</v>
      </c>
      <c r="B37" t="str">
        <f t="shared" si="7"/>
        <v>AJ</v>
      </c>
      <c r="C37">
        <v>-1</v>
      </c>
      <c r="D37" s="28" t="s">
        <v>130</v>
      </c>
      <c r="E37" t="s">
        <v>147</v>
      </c>
      <c r="F37" t="s">
        <v>165</v>
      </c>
      <c r="H37" t="str">
        <f t="shared" si="23"/>
        <v>AELVpct = -1</v>
      </c>
      <c r="I37" t="str">
        <f t="shared" si="0"/>
        <v>Public AELVpct As Double</v>
      </c>
      <c r="J37" t="str">
        <f t="shared" si="1"/>
        <v>AELVpct = "AJ"</v>
      </c>
      <c r="K37" t="str">
        <f t="shared" si="2"/>
        <v>AELVpct = "Applied Effective LV %"</v>
      </c>
      <c r="L37" t="str">
        <f t="shared" si="3"/>
        <v>Public AELVpct As String</v>
      </c>
      <c r="M37" t="str">
        <f t="shared" si="8"/>
        <v>AELVpct = "AELVpct"</v>
      </c>
      <c r="N37" t="str">
        <f t="shared" si="4"/>
        <v>a.AELVpct= assign(ac.AELVpct, i)</v>
      </c>
      <c r="O37" t="str">
        <f t="shared" si="5"/>
        <v>Call store(ac.AELVpct, row, a.AELVpct)</v>
      </c>
    </row>
    <row r="38" spans="1:15" x14ac:dyDescent="0.25">
      <c r="A38">
        <v>101</v>
      </c>
      <c r="B38" t="str">
        <f t="shared" si="7"/>
        <v>AK</v>
      </c>
      <c r="C38">
        <v>-1</v>
      </c>
      <c r="D38" s="28" t="s">
        <v>131</v>
      </c>
      <c r="E38" t="s">
        <v>147</v>
      </c>
      <c r="F38" t="s">
        <v>163</v>
      </c>
      <c r="H38" t="str">
        <f t="shared" si="23"/>
        <v>AELV = -1</v>
      </c>
      <c r="I38" t="str">
        <f t="shared" si="0"/>
        <v>Public AELV As Double</v>
      </c>
      <c r="J38" t="str">
        <f t="shared" si="1"/>
        <v>AELV = "AK"</v>
      </c>
      <c r="K38" t="str">
        <f t="shared" si="2"/>
        <v>AELV = "Applied Effective LV"</v>
      </c>
      <c r="L38" t="str">
        <f t="shared" si="3"/>
        <v>Public AELV As String</v>
      </c>
      <c r="M38" t="str">
        <f t="shared" si="8"/>
        <v>AELV = "AELV"</v>
      </c>
      <c r="N38" t="str">
        <f t="shared" si="4"/>
        <v>a.AELV= assign(ac.AELV, i)</v>
      </c>
      <c r="O38" t="str">
        <f t="shared" si="5"/>
        <v>Call store(ac.AELV, row, a.AELV)</v>
      </c>
    </row>
    <row r="39" spans="1:15" x14ac:dyDescent="0.25">
      <c r="A39">
        <v>102</v>
      </c>
      <c r="B39" t="str">
        <f t="shared" si="7"/>
        <v>AL</v>
      </c>
      <c r="C39" t="s">
        <v>273</v>
      </c>
      <c r="D39" s="28" t="s">
        <v>132</v>
      </c>
      <c r="E39" t="s">
        <v>146</v>
      </c>
      <c r="F39" t="s">
        <v>166</v>
      </c>
      <c r="H39" t="str">
        <f t="shared" si="23"/>
        <v>expoCov = "-1"</v>
      </c>
      <c r="I39" t="str">
        <f t="shared" si="0"/>
        <v>Public expoCov As String</v>
      </c>
      <c r="J39" t="str">
        <f t="shared" si="1"/>
        <v>expoCov = "AL"</v>
      </c>
      <c r="K39" t="str">
        <f t="shared" si="2"/>
        <v>expoCov = "Exposure Coverage"</v>
      </c>
      <c r="L39" t="str">
        <f t="shared" si="3"/>
        <v>Public expoCov As String</v>
      </c>
      <c r="M39" t="str">
        <f t="shared" si="8"/>
        <v>expoCov = "expoCov"</v>
      </c>
      <c r="N39" t="str">
        <f t="shared" si="4"/>
        <v>a.expoCov= assign(ac.expoCov, i)</v>
      </c>
      <c r="O39" t="str">
        <f t="shared" si="5"/>
        <v>Call store(ac.expoCov, row, a.expoCov)</v>
      </c>
    </row>
    <row r="40" spans="1:15" x14ac:dyDescent="0.25">
      <c r="A40">
        <v>103</v>
      </c>
      <c r="B40" t="str">
        <f t="shared" si="7"/>
        <v>AM</v>
      </c>
      <c r="C40">
        <v>-1</v>
      </c>
      <c r="D40" s="28" t="s">
        <v>134</v>
      </c>
      <c r="E40" t="s">
        <v>148</v>
      </c>
      <c r="F40" t="s">
        <v>167</v>
      </c>
      <c r="H40" t="str">
        <f t="shared" si="23"/>
        <v>consOrder = -1</v>
      </c>
      <c r="I40" t="str">
        <f t="shared" si="0"/>
        <v>Public consOrder As Long</v>
      </c>
      <c r="J40" t="str">
        <f t="shared" si="1"/>
        <v>consOrder = "AM"</v>
      </c>
      <c r="K40" t="str">
        <f t="shared" si="2"/>
        <v>consOrder = "Consumption Order"</v>
      </c>
      <c r="L40" t="str">
        <f t="shared" si="3"/>
        <v>Public consOrder As String</v>
      </c>
      <c r="M40" t="str">
        <f t="shared" si="8"/>
        <v>consOrder = "consOrder"</v>
      </c>
      <c r="N40" t="str">
        <f t="shared" si="4"/>
        <v>a.consOrder= assign(ac.consOrder, i)</v>
      </c>
      <c r="O40" t="str">
        <f t="shared" si="5"/>
        <v>Call store(ac.consOrder, row, a.consOrder)</v>
      </c>
    </row>
    <row r="41" spans="1:15" x14ac:dyDescent="0.25">
      <c r="A41">
        <v>104</v>
      </c>
      <c r="B41" t="str">
        <f t="shared" si="7"/>
        <v>AN</v>
      </c>
      <c r="C41">
        <v>-1</v>
      </c>
      <c r="D41" s="28" t="s">
        <v>136</v>
      </c>
      <c r="E41" t="s">
        <v>147</v>
      </c>
      <c r="F41" t="s">
        <v>169</v>
      </c>
      <c r="H41" t="str">
        <f t="shared" si="23"/>
        <v>PBA = -1</v>
      </c>
      <c r="I41" t="str">
        <f t="shared" si="0"/>
        <v>Public PBA As Double</v>
      </c>
      <c r="J41" t="str">
        <f t="shared" si="1"/>
        <v>PBA = "AN"</v>
      </c>
      <c r="K41" t="str">
        <f t="shared" si="2"/>
        <v>PBA = "Purpose Borrowing Availability"</v>
      </c>
      <c r="L41" t="str">
        <f t="shared" si="3"/>
        <v>Public PBA As String</v>
      </c>
      <c r="M41" t="str">
        <f t="shared" si="8"/>
        <v>PBA = "PBA"</v>
      </c>
      <c r="N41" t="str">
        <f t="shared" si="4"/>
        <v>a.PBA= assign(ac.PBA, i)</v>
      </c>
      <c r="O41" t="str">
        <f t="shared" si="5"/>
        <v>Call store(ac.PBA, row, a.PBA)</v>
      </c>
    </row>
    <row r="42" spans="1:15" x14ac:dyDescent="0.25">
      <c r="A42">
        <v>105</v>
      </c>
      <c r="B42" t="str">
        <f t="shared" si="7"/>
        <v>AO</v>
      </c>
      <c r="C42">
        <v>-1</v>
      </c>
      <c r="D42" s="28" t="s">
        <v>137</v>
      </c>
      <c r="E42" t="s">
        <v>147</v>
      </c>
      <c r="F42" t="s">
        <v>170</v>
      </c>
      <c r="H42" t="str">
        <f t="shared" si="23"/>
        <v>NPBA = -1</v>
      </c>
      <c r="I42" t="str">
        <f t="shared" si="0"/>
        <v>Public NPBA As Double</v>
      </c>
      <c r="J42" t="str">
        <f t="shared" si="1"/>
        <v>NPBA = "AO"</v>
      </c>
      <c r="K42" t="str">
        <f t="shared" si="2"/>
        <v>NPBA = "Non-Purpose Borrowing Availability"</v>
      </c>
      <c r="L42" t="str">
        <f t="shared" si="3"/>
        <v>Public NPBA As String</v>
      </c>
      <c r="M42" t="str">
        <f t="shared" si="8"/>
        <v>NPBA = "NPBA"</v>
      </c>
      <c r="N42" t="str">
        <f t="shared" si="4"/>
        <v>a.NPBA= assign(ac.NPBA, i)</v>
      </c>
      <c r="O42" t="str">
        <f t="shared" si="5"/>
        <v>Call store(ac.NPBA, row, a.NPBA)</v>
      </c>
    </row>
    <row r="43" spans="1:15" x14ac:dyDescent="0.25">
      <c r="A43">
        <v>106</v>
      </c>
      <c r="B43" t="str">
        <f t="shared" si="7"/>
        <v>AP</v>
      </c>
      <c r="C43">
        <v>-1</v>
      </c>
      <c r="D43" s="28" t="s">
        <v>145</v>
      </c>
      <c r="E43" t="s">
        <v>146</v>
      </c>
      <c r="F43" t="s">
        <v>178</v>
      </c>
      <c r="H43" t="str">
        <f t="shared" si="23"/>
        <v>consFlag = -1</v>
      </c>
      <c r="I43" t="str">
        <f t="shared" si="0"/>
        <v>Public consFlag As String</v>
      </c>
      <c r="J43" t="str">
        <f t="shared" si="1"/>
        <v>consFlag = "AP"</v>
      </c>
      <c r="K43" t="str">
        <f t="shared" si="2"/>
        <v>consFlag = "Consumption Flag"</v>
      </c>
      <c r="L43" t="str">
        <f t="shared" si="3"/>
        <v>Public consFlag As String</v>
      </c>
      <c r="M43" t="str">
        <f t="shared" si="8"/>
        <v>consFlag = "consFlag"</v>
      </c>
      <c r="N43" t="str">
        <f t="shared" si="4"/>
        <v>a.consFlag= assign(ac.consFlag, i)</v>
      </c>
      <c r="O43" t="str">
        <f t="shared" si="5"/>
        <v>Call store(ac.consFlag, row, a.consFlag)</v>
      </c>
    </row>
    <row r="44" spans="1:15" x14ac:dyDescent="0.25">
      <c r="A44">
        <v>107</v>
      </c>
      <c r="B44" t="str">
        <f>IF(A44&lt;91,CHAR(A44),"A"&amp;CHAR(A44-26))</f>
        <v>AQ</v>
      </c>
      <c r="D44" s="28" t="s">
        <v>231</v>
      </c>
      <c r="E44" t="s">
        <v>146</v>
      </c>
      <c r="F44" t="s">
        <v>231</v>
      </c>
      <c r="I44" t="str">
        <f t="shared" si="0"/>
        <v>Public id As String</v>
      </c>
      <c r="J44" t="str">
        <f t="shared" si="1"/>
        <v>id = "AQ"</v>
      </c>
      <c r="K44" t="str">
        <f t="shared" si="2"/>
        <v>id = "id"</v>
      </c>
      <c r="L44" t="str">
        <f t="shared" si="3"/>
        <v>Public id As String</v>
      </c>
      <c r="M44" t="str">
        <f t="shared" si="8"/>
        <v>id = "id"</v>
      </c>
      <c r="N44" t="str">
        <f t="shared" si="4"/>
        <v>a.id= assign(ac.id, i)</v>
      </c>
      <c r="O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H11"/>
  <sheetViews>
    <sheetView workbookViewId="0">
      <selection activeCell="D19" sqref="D19"/>
    </sheetView>
  </sheetViews>
  <sheetFormatPr defaultRowHeight="13.2" x14ac:dyDescent="0.25"/>
  <cols>
    <col min="4" max="4" width="55.6640625" bestFit="1" customWidth="1"/>
    <col min="6" max="6" width="9.88671875" bestFit="1" customWidth="1"/>
  </cols>
  <sheetData>
    <row r="2" spans="2:8" x14ac:dyDescent="0.25">
      <c r="B2" t="s">
        <v>82</v>
      </c>
      <c r="C2" t="s">
        <v>259</v>
      </c>
      <c r="E2" t="s">
        <v>261</v>
      </c>
      <c r="F2" t="s">
        <v>262</v>
      </c>
      <c r="G2" t="s">
        <v>188</v>
      </c>
      <c r="H2" t="s">
        <v>260</v>
      </c>
    </row>
    <row r="3" spans="2:8" x14ac:dyDescent="0.25">
      <c r="B3" t="s">
        <v>263</v>
      </c>
      <c r="C3" t="s">
        <v>266</v>
      </c>
    </row>
    <row r="4" spans="2:8" x14ac:dyDescent="0.25">
      <c r="B4" t="s">
        <v>264</v>
      </c>
    </row>
    <row r="5" spans="2:8" x14ac:dyDescent="0.25">
      <c r="B5" t="s">
        <v>265</v>
      </c>
    </row>
    <row r="7" spans="2:8" x14ac:dyDescent="0.25">
      <c r="C7" t="s">
        <v>271</v>
      </c>
      <c r="D7" t="s">
        <v>268</v>
      </c>
    </row>
    <row r="8" spans="2:8" x14ac:dyDescent="0.25">
      <c r="C8" t="s">
        <v>267</v>
      </c>
      <c r="D8" t="s">
        <v>270</v>
      </c>
    </row>
    <row r="9" spans="2:8" x14ac:dyDescent="0.25">
      <c r="D9" t="s">
        <v>269</v>
      </c>
    </row>
    <row r="11" spans="2:8" x14ac:dyDescent="0.25">
      <c r="B11" t="s">
        <v>272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O6"/>
  <sheetViews>
    <sheetView workbookViewId="0"/>
  </sheetViews>
  <sheetFormatPr defaultRowHeight="13.2" x14ac:dyDescent="0.25"/>
  <cols>
    <col min="1" max="1" width="8.5546875" bestFit="1" customWidth="1"/>
    <col min="2" max="2" width="7.6640625" bestFit="1" customWidth="1"/>
    <col min="3" max="3" width="8.33203125" bestFit="1" customWidth="1"/>
    <col min="4" max="4" width="11.33203125" bestFit="1" customWidth="1"/>
    <col min="5" max="5" width="7.109375" bestFit="1" customWidth="1"/>
    <col min="7" max="7" width="10.6640625" bestFit="1" customWidth="1"/>
    <col min="8" max="8" width="15.88671875" bestFit="1" customWidth="1"/>
    <col min="9" max="9" width="14.33203125" bestFit="1" customWidth="1"/>
    <col min="10" max="10" width="12.5546875" bestFit="1" customWidth="1"/>
    <col min="11" max="11" width="12.33203125" bestFit="1" customWidth="1"/>
    <col min="12" max="12" width="10.44140625" bestFit="1" customWidth="1"/>
    <col min="13" max="14" width="9.88671875" bestFit="1" customWidth="1"/>
    <col min="15" max="15" width="10.33203125" bestFit="1" customWidth="1"/>
  </cols>
  <sheetData>
    <row r="1" spans="1:15" x14ac:dyDescent="0.25">
      <c r="A1" t="s">
        <v>278</v>
      </c>
      <c r="B1" t="s">
        <v>279</v>
      </c>
      <c r="C1" t="s">
        <v>356</v>
      </c>
      <c r="D1" t="s">
        <v>180</v>
      </c>
      <c r="E1" t="s">
        <v>10</v>
      </c>
      <c r="F1" t="s">
        <v>171</v>
      </c>
      <c r="G1" t="s">
        <v>186</v>
      </c>
      <c r="H1" t="s">
        <v>297</v>
      </c>
      <c r="I1" t="s">
        <v>298</v>
      </c>
      <c r="J1" t="s">
        <v>299</v>
      </c>
      <c r="K1" t="s">
        <v>179</v>
      </c>
      <c r="L1" t="s">
        <v>185</v>
      </c>
      <c r="M1" t="s">
        <v>187</v>
      </c>
      <c r="N1" t="s">
        <v>182</v>
      </c>
      <c r="O1" t="s">
        <v>296</v>
      </c>
    </row>
    <row r="2" spans="1:15" x14ac:dyDescent="0.25">
      <c r="A2">
        <v>6</v>
      </c>
      <c r="B2" t="s">
        <v>12</v>
      </c>
      <c r="C2" t="s">
        <v>347</v>
      </c>
      <c r="D2" t="s">
        <v>7</v>
      </c>
      <c r="E2" t="s">
        <v>45</v>
      </c>
      <c r="F2">
        <v>0.15</v>
      </c>
      <c r="G2">
        <v>-500</v>
      </c>
      <c r="H2">
        <v>0</v>
      </c>
      <c r="I2" s="30">
        <v>0</v>
      </c>
      <c r="J2" t="b">
        <v>0</v>
      </c>
      <c r="K2">
        <v>2</v>
      </c>
      <c r="L2" t="s">
        <v>300</v>
      </c>
      <c r="M2">
        <v>0</v>
      </c>
      <c r="N2" t="s">
        <v>357</v>
      </c>
      <c r="O2" t="s">
        <v>347</v>
      </c>
    </row>
    <row r="3" spans="1:15" x14ac:dyDescent="0.25">
      <c r="A3">
        <v>6</v>
      </c>
      <c r="B3" t="s">
        <v>12</v>
      </c>
      <c r="C3" t="s">
        <v>348</v>
      </c>
      <c r="D3" t="s">
        <v>7</v>
      </c>
      <c r="E3" t="s">
        <v>66</v>
      </c>
      <c r="F3">
        <v>0.2</v>
      </c>
      <c r="G3">
        <v>-400</v>
      </c>
      <c r="H3">
        <v>0</v>
      </c>
      <c r="I3" s="30">
        <v>0</v>
      </c>
      <c r="J3" t="b">
        <v>0</v>
      </c>
      <c r="K3">
        <v>3</v>
      </c>
      <c r="L3" t="s">
        <v>300</v>
      </c>
      <c r="M3">
        <v>0</v>
      </c>
      <c r="N3" t="s">
        <v>357</v>
      </c>
      <c r="O3" t="s">
        <v>348</v>
      </c>
    </row>
    <row r="4" spans="1:15" x14ac:dyDescent="0.25">
      <c r="A4">
        <v>6</v>
      </c>
      <c r="B4" t="s">
        <v>12</v>
      </c>
      <c r="C4" t="s">
        <v>349</v>
      </c>
      <c r="D4" t="s">
        <v>8</v>
      </c>
      <c r="E4" t="s">
        <v>17</v>
      </c>
      <c r="F4">
        <v>0</v>
      </c>
      <c r="G4">
        <v>-200</v>
      </c>
      <c r="H4">
        <v>0</v>
      </c>
      <c r="I4" s="30">
        <v>0</v>
      </c>
      <c r="J4" t="b">
        <v>0</v>
      </c>
      <c r="K4">
        <v>4</v>
      </c>
      <c r="L4" t="s">
        <v>300</v>
      </c>
      <c r="M4">
        <v>0</v>
      </c>
      <c r="N4" t="s">
        <v>357</v>
      </c>
      <c r="O4" t="s">
        <v>349</v>
      </c>
    </row>
    <row r="5" spans="1:15" x14ac:dyDescent="0.25">
      <c r="A5">
        <v>6</v>
      </c>
      <c r="B5" t="s">
        <v>12</v>
      </c>
      <c r="C5" t="s">
        <v>350</v>
      </c>
      <c r="D5" t="s">
        <v>8</v>
      </c>
      <c r="E5" t="s">
        <v>70</v>
      </c>
      <c r="F5">
        <v>0.05</v>
      </c>
      <c r="G5">
        <v>-100</v>
      </c>
      <c r="H5">
        <v>0</v>
      </c>
      <c r="I5" s="30">
        <v>0</v>
      </c>
      <c r="J5" t="b">
        <v>0</v>
      </c>
      <c r="K5">
        <v>5</v>
      </c>
      <c r="L5" t="s">
        <v>300</v>
      </c>
      <c r="M5">
        <v>0</v>
      </c>
      <c r="N5" t="s">
        <v>357</v>
      </c>
      <c r="O5" t="s">
        <v>350</v>
      </c>
    </row>
    <row r="6" spans="1:15" x14ac:dyDescent="0.25">
      <c r="A6">
        <v>6</v>
      </c>
      <c r="B6" t="s">
        <v>12</v>
      </c>
      <c r="C6" t="s">
        <v>350</v>
      </c>
      <c r="D6" t="s">
        <v>8</v>
      </c>
      <c r="E6" t="s">
        <v>70</v>
      </c>
      <c r="F6">
        <v>0.05</v>
      </c>
      <c r="G6">
        <v>-100</v>
      </c>
      <c r="H6">
        <v>0</v>
      </c>
      <c r="I6" s="30">
        <v>0</v>
      </c>
      <c r="J6" t="b">
        <v>0</v>
      </c>
      <c r="K6">
        <v>5</v>
      </c>
      <c r="L6" t="s">
        <v>300</v>
      </c>
      <c r="M6">
        <v>0</v>
      </c>
      <c r="N6" t="s">
        <v>357</v>
      </c>
      <c r="O6" t="s">
        <v>350</v>
      </c>
    </row>
  </sheetData>
  <autoFilter ref="A1:O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O2"/>
  <sheetViews>
    <sheetView workbookViewId="0"/>
  </sheetViews>
  <sheetFormatPr defaultRowHeight="13.2" x14ac:dyDescent="0.25"/>
  <cols>
    <col min="1" max="1" width="20.5546875" bestFit="1" customWidth="1"/>
    <col min="2" max="2" width="14.5546875" bestFit="1" customWidth="1"/>
    <col min="3" max="3" width="9.5546875" bestFit="1" customWidth="1"/>
    <col min="4" max="4" width="7.33203125" bestFit="1" customWidth="1"/>
    <col min="5" max="5" width="10.6640625" bestFit="1" customWidth="1"/>
    <col min="7" max="7" width="18.33203125" bestFit="1" customWidth="1"/>
    <col min="8" max="8" width="21" bestFit="1" customWidth="1"/>
    <col min="9" max="9" width="31.5546875" bestFit="1" customWidth="1"/>
    <col min="10" max="10" width="20.6640625" bestFit="1" customWidth="1"/>
    <col min="11" max="11" width="8.33203125" bestFit="1" customWidth="1"/>
    <col min="12" max="12" width="10.44140625" bestFit="1" customWidth="1"/>
    <col min="13" max="13" width="19.109375" bestFit="1" customWidth="1"/>
    <col min="14" max="14" width="11.109375" bestFit="1" customWidth="1"/>
    <col min="15" max="15" width="14.6640625" bestFit="1" customWidth="1"/>
  </cols>
  <sheetData>
    <row r="1" spans="1:15" x14ac:dyDescent="0.25">
      <c r="A1" t="s">
        <v>223</v>
      </c>
      <c r="B1" t="s">
        <v>224</v>
      </c>
      <c r="C1" t="s">
        <v>353</v>
      </c>
      <c r="D1" t="s">
        <v>110</v>
      </c>
      <c r="E1" t="s">
        <v>25</v>
      </c>
      <c r="F1" t="s">
        <v>24</v>
      </c>
      <c r="G1" t="s">
        <v>152</v>
      </c>
      <c r="H1" t="s">
        <v>292</v>
      </c>
      <c r="I1" t="s">
        <v>293</v>
      </c>
      <c r="J1" t="s">
        <v>294</v>
      </c>
      <c r="K1" t="s">
        <v>100</v>
      </c>
      <c r="L1" t="s">
        <v>150</v>
      </c>
      <c r="M1" t="s">
        <v>151</v>
      </c>
      <c r="N1" t="s">
        <v>149</v>
      </c>
      <c r="O1" t="s">
        <v>295</v>
      </c>
    </row>
    <row r="2" spans="1:15" x14ac:dyDescent="0.25">
      <c r="A2">
        <v>6</v>
      </c>
      <c r="B2" t="s">
        <v>12</v>
      </c>
      <c r="C2" t="s">
        <v>346</v>
      </c>
      <c r="D2" t="s">
        <v>7</v>
      </c>
      <c r="E2" t="s">
        <v>17</v>
      </c>
      <c r="F2">
        <v>0</v>
      </c>
      <c r="G2">
        <v>-900</v>
      </c>
      <c r="H2">
        <v>0</v>
      </c>
      <c r="I2" s="30">
        <v>0</v>
      </c>
      <c r="J2" t="b">
        <v>0</v>
      </c>
      <c r="K2">
        <v>1</v>
      </c>
      <c r="L2" t="s">
        <v>300</v>
      </c>
      <c r="M2">
        <v>0</v>
      </c>
      <c r="N2" t="s">
        <v>357</v>
      </c>
      <c r="O2" t="s">
        <v>351</v>
      </c>
    </row>
  </sheetData>
  <autoFilter ref="A1:O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AQ4"/>
  <sheetViews>
    <sheetView workbookViewId="0"/>
  </sheetViews>
  <sheetFormatPr defaultRowHeight="13.2" x14ac:dyDescent="0.25"/>
  <cols>
    <col min="1" max="1" width="20.5546875" bestFit="1" customWidth="1"/>
    <col min="2" max="2" width="14.5546875" bestFit="1" customWidth="1"/>
    <col min="3" max="3" width="22.44140625" bestFit="1" customWidth="1"/>
    <col min="4" max="4" width="18.44140625" bestFit="1" customWidth="1"/>
    <col min="5" max="5" width="17.33203125" bestFit="1" customWidth="1"/>
    <col min="6" max="6" width="20.109375" bestFit="1" customWidth="1"/>
    <col min="7" max="7" width="15" bestFit="1" customWidth="1"/>
    <col min="8" max="8" width="22.109375" bestFit="1" customWidth="1"/>
    <col min="9" max="9" width="10.6640625" bestFit="1" customWidth="1"/>
    <col min="10" max="10" width="11.44140625" bestFit="1" customWidth="1"/>
    <col min="11" max="11" width="10.33203125" bestFit="1" customWidth="1"/>
    <col min="12" max="12" width="14.33203125" bestFit="1" customWidth="1"/>
    <col min="13" max="13" width="17.33203125" bestFit="1" customWidth="1"/>
    <col min="14" max="14" width="17.109375" bestFit="1" customWidth="1"/>
    <col min="15" max="15" width="21.33203125" bestFit="1" customWidth="1"/>
    <col min="16" max="16" width="21.109375" bestFit="1" customWidth="1"/>
    <col min="17" max="17" width="31.6640625" bestFit="1" customWidth="1"/>
    <col min="18" max="18" width="20.88671875" bestFit="1" customWidth="1"/>
    <col min="19" max="19" width="21.109375" bestFit="1" customWidth="1"/>
    <col min="20" max="20" width="31.6640625" bestFit="1" customWidth="1"/>
    <col min="21" max="21" width="20.88671875" bestFit="1" customWidth="1"/>
    <col min="22" max="22" width="21.33203125" bestFit="1" customWidth="1"/>
    <col min="23" max="23" width="32" bestFit="1" customWidth="1"/>
    <col min="24" max="24" width="21" bestFit="1" customWidth="1"/>
    <col min="25" max="25" width="15.44140625" bestFit="1" customWidth="1"/>
    <col min="26" max="26" width="13" bestFit="1" customWidth="1"/>
    <col min="27" max="27" width="15.44140625" bestFit="1" customWidth="1"/>
    <col min="28" max="28" width="13" bestFit="1" customWidth="1"/>
    <col min="29" max="29" width="18.33203125" bestFit="1" customWidth="1"/>
    <col min="30" max="30" width="19.109375" bestFit="1" customWidth="1"/>
    <col min="31" max="31" width="16" bestFit="1" customWidth="1"/>
    <col min="32" max="32" width="23.44140625" bestFit="1" customWidth="1"/>
    <col min="33" max="33" width="15.5546875" bestFit="1" customWidth="1"/>
    <col min="34" max="34" width="22.33203125" bestFit="1" customWidth="1"/>
    <col min="35" max="35" width="20" bestFit="1" customWidth="1"/>
    <col min="36" max="36" width="22.33203125" bestFit="1" customWidth="1"/>
    <col min="37" max="37" width="20" bestFit="1" customWidth="1"/>
    <col min="38" max="39" width="19.5546875" bestFit="1" customWidth="1"/>
    <col min="40" max="40" width="28.6640625" bestFit="1" customWidth="1"/>
    <col min="41" max="41" width="32.6640625" bestFit="1" customWidth="1"/>
    <col min="42" max="42" width="18.44140625" bestFit="1" customWidth="1"/>
    <col min="43" max="43" width="5" bestFit="1" customWidth="1"/>
  </cols>
  <sheetData>
    <row r="1" spans="1:43" x14ac:dyDescent="0.25">
      <c r="A1" t="s">
        <v>223</v>
      </c>
      <c r="B1" t="s">
        <v>224</v>
      </c>
      <c r="C1" t="s">
        <v>225</v>
      </c>
      <c r="D1" t="s">
        <v>226</v>
      </c>
      <c r="E1" t="s">
        <v>227</v>
      </c>
      <c r="F1" t="s">
        <v>117</v>
      </c>
      <c r="G1" t="s">
        <v>118</v>
      </c>
      <c r="H1" t="s">
        <v>119</v>
      </c>
      <c r="I1" t="s">
        <v>25</v>
      </c>
      <c r="J1" t="s">
        <v>257</v>
      </c>
      <c r="K1" t="s">
        <v>120</v>
      </c>
      <c r="L1" t="s">
        <v>122</v>
      </c>
      <c r="M1" t="s">
        <v>138</v>
      </c>
      <c r="N1" t="s">
        <v>121</v>
      </c>
      <c r="O1" t="s">
        <v>123</v>
      </c>
      <c r="P1" t="s">
        <v>244</v>
      </c>
      <c r="Q1" t="s">
        <v>245</v>
      </c>
      <c r="R1" t="s">
        <v>246</v>
      </c>
      <c r="S1" t="s">
        <v>247</v>
      </c>
      <c r="T1" t="s">
        <v>248</v>
      </c>
      <c r="U1" t="s">
        <v>249</v>
      </c>
      <c r="V1" t="s">
        <v>250</v>
      </c>
      <c r="W1" t="s">
        <v>251</v>
      </c>
      <c r="X1" t="s">
        <v>252</v>
      </c>
      <c r="Y1" t="s">
        <v>124</v>
      </c>
      <c r="Z1" t="s">
        <v>125</v>
      </c>
      <c r="AA1" t="s">
        <v>128</v>
      </c>
      <c r="AB1" t="s">
        <v>129</v>
      </c>
      <c r="AC1" t="s">
        <v>135</v>
      </c>
      <c r="AD1" t="s">
        <v>253</v>
      </c>
      <c r="AE1" t="s">
        <v>142</v>
      </c>
      <c r="AF1" t="s">
        <v>143</v>
      </c>
      <c r="AG1" t="s">
        <v>144</v>
      </c>
      <c r="AH1" t="s">
        <v>126</v>
      </c>
      <c r="AI1" t="s">
        <v>127</v>
      </c>
      <c r="AJ1" t="s">
        <v>130</v>
      </c>
      <c r="AK1" t="s">
        <v>131</v>
      </c>
      <c r="AL1" t="s">
        <v>132</v>
      </c>
      <c r="AM1" t="s">
        <v>134</v>
      </c>
      <c r="AN1" t="s">
        <v>136</v>
      </c>
      <c r="AO1" t="s">
        <v>137</v>
      </c>
      <c r="AP1" t="s">
        <v>145</v>
      </c>
      <c r="AQ1" t="s">
        <v>343</v>
      </c>
    </row>
    <row r="2" spans="1:43" x14ac:dyDescent="0.25">
      <c r="A2">
        <v>6</v>
      </c>
      <c r="B2" t="s">
        <v>12</v>
      </c>
      <c r="C2" t="s">
        <v>301</v>
      </c>
      <c r="D2" t="s">
        <v>302</v>
      </c>
      <c r="E2" t="s">
        <v>91</v>
      </c>
      <c r="F2">
        <v>1</v>
      </c>
      <c r="G2" t="s">
        <v>20</v>
      </c>
      <c r="H2" t="s">
        <v>15</v>
      </c>
      <c r="I2" t="s">
        <v>17</v>
      </c>
      <c r="J2">
        <v>100</v>
      </c>
      <c r="K2">
        <v>1</v>
      </c>
      <c r="L2">
        <v>100</v>
      </c>
      <c r="M2">
        <v>0</v>
      </c>
      <c r="N2">
        <v>1</v>
      </c>
      <c r="O2">
        <v>100</v>
      </c>
      <c r="P2">
        <v>0</v>
      </c>
      <c r="Q2" s="30">
        <v>0</v>
      </c>
      <c r="R2" t="b">
        <v>0</v>
      </c>
      <c r="S2">
        <v>0</v>
      </c>
      <c r="T2" s="30">
        <v>0</v>
      </c>
      <c r="U2" t="b">
        <v>0</v>
      </c>
      <c r="V2">
        <v>0</v>
      </c>
      <c r="W2" s="30">
        <v>0</v>
      </c>
      <c r="X2" t="b">
        <v>0</v>
      </c>
      <c r="Y2">
        <v>50</v>
      </c>
      <c r="Z2">
        <v>50</v>
      </c>
      <c r="AA2">
        <v>80</v>
      </c>
      <c r="AB2">
        <v>80</v>
      </c>
      <c r="AC2">
        <v>0.625</v>
      </c>
      <c r="AD2">
        <v>0</v>
      </c>
      <c r="AE2">
        <v>0</v>
      </c>
      <c r="AF2">
        <v>0</v>
      </c>
      <c r="AG2">
        <v>-1</v>
      </c>
      <c r="AH2">
        <v>0</v>
      </c>
      <c r="AI2">
        <v>0</v>
      </c>
      <c r="AJ2">
        <v>0</v>
      </c>
      <c r="AK2">
        <v>0</v>
      </c>
      <c r="AL2">
        <v>0</v>
      </c>
      <c r="AM2">
        <v>-1</v>
      </c>
      <c r="AN2">
        <v>50</v>
      </c>
      <c r="AO2">
        <v>80</v>
      </c>
      <c r="AP2" t="s">
        <v>321</v>
      </c>
      <c r="AQ2">
        <v>1</v>
      </c>
    </row>
    <row r="3" spans="1:43" x14ac:dyDescent="0.25">
      <c r="A3">
        <v>6</v>
      </c>
      <c r="B3" t="s">
        <v>12</v>
      </c>
      <c r="C3" t="s">
        <v>307</v>
      </c>
      <c r="D3" t="s">
        <v>302</v>
      </c>
      <c r="E3" t="s">
        <v>93</v>
      </c>
      <c r="F3">
        <v>5</v>
      </c>
      <c r="G3" t="s">
        <v>19</v>
      </c>
      <c r="H3" t="s">
        <v>15</v>
      </c>
      <c r="I3" t="s">
        <v>17</v>
      </c>
      <c r="J3">
        <v>200</v>
      </c>
      <c r="K3">
        <v>1</v>
      </c>
      <c r="L3">
        <v>200</v>
      </c>
      <c r="M3">
        <v>0</v>
      </c>
      <c r="N3">
        <v>1</v>
      </c>
      <c r="O3">
        <v>200</v>
      </c>
      <c r="P3">
        <v>0</v>
      </c>
      <c r="Q3" s="30">
        <v>0</v>
      </c>
      <c r="R3" t="b">
        <v>0</v>
      </c>
      <c r="S3">
        <v>0</v>
      </c>
      <c r="T3" s="30">
        <v>0</v>
      </c>
      <c r="U3" t="b">
        <v>0</v>
      </c>
      <c r="V3">
        <v>0</v>
      </c>
      <c r="W3" s="30">
        <v>0</v>
      </c>
      <c r="X3" t="b">
        <v>0</v>
      </c>
      <c r="Y3">
        <v>50</v>
      </c>
      <c r="Z3">
        <v>100</v>
      </c>
      <c r="AA3">
        <v>70</v>
      </c>
      <c r="AB3">
        <v>140</v>
      </c>
      <c r="AC3">
        <v>0.7142857142857143</v>
      </c>
      <c r="AD3">
        <v>0</v>
      </c>
      <c r="AE3">
        <v>0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L3">
        <v>0</v>
      </c>
      <c r="AM3">
        <v>-1</v>
      </c>
      <c r="AN3">
        <v>100</v>
      </c>
      <c r="AO3">
        <v>140</v>
      </c>
      <c r="AP3" t="s">
        <v>321</v>
      </c>
      <c r="AQ3">
        <v>3</v>
      </c>
    </row>
    <row r="4" spans="1:43" x14ac:dyDescent="0.25">
      <c r="A4">
        <v>6</v>
      </c>
      <c r="B4" t="s">
        <v>12</v>
      </c>
      <c r="C4" t="s">
        <v>306</v>
      </c>
      <c r="D4" t="s">
        <v>304</v>
      </c>
      <c r="E4" t="s">
        <v>92</v>
      </c>
      <c r="F4">
        <v>4</v>
      </c>
      <c r="G4" t="s">
        <v>20</v>
      </c>
      <c r="H4" t="s">
        <v>15</v>
      </c>
      <c r="I4" t="s">
        <v>70</v>
      </c>
      <c r="J4">
        <v>300</v>
      </c>
      <c r="K4">
        <v>1</v>
      </c>
      <c r="L4">
        <v>300</v>
      </c>
      <c r="M4">
        <v>0.05</v>
      </c>
      <c r="N4">
        <v>1</v>
      </c>
      <c r="O4">
        <v>300</v>
      </c>
      <c r="P4">
        <v>0</v>
      </c>
      <c r="Q4" s="30">
        <v>0</v>
      </c>
      <c r="R4" t="b">
        <v>0</v>
      </c>
      <c r="S4">
        <v>0</v>
      </c>
      <c r="T4" s="30">
        <v>0</v>
      </c>
      <c r="U4" t="b">
        <v>0</v>
      </c>
      <c r="V4">
        <v>0</v>
      </c>
      <c r="W4" s="30">
        <v>0</v>
      </c>
      <c r="X4" t="b">
        <v>0</v>
      </c>
      <c r="Y4">
        <v>50</v>
      </c>
      <c r="Z4">
        <v>150</v>
      </c>
      <c r="AA4">
        <v>60</v>
      </c>
      <c r="AB4">
        <v>180</v>
      </c>
      <c r="AC4">
        <v>0.83333333333333337</v>
      </c>
      <c r="AD4">
        <v>0.05</v>
      </c>
      <c r="AE4">
        <v>0.05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L4">
        <v>0</v>
      </c>
      <c r="AM4">
        <v>-1</v>
      </c>
      <c r="AN4">
        <v>150</v>
      </c>
      <c r="AO4">
        <v>180</v>
      </c>
      <c r="AP4" t="s">
        <v>321</v>
      </c>
      <c r="AQ4">
        <v>2</v>
      </c>
    </row>
  </sheetData>
  <autoFilter ref="A1:AQ4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AR6"/>
  <sheetViews>
    <sheetView workbookViewId="0">
      <selection activeCell="V7" sqref="V7"/>
    </sheetView>
  </sheetViews>
  <sheetFormatPr defaultRowHeight="13.2" x14ac:dyDescent="0.25"/>
  <cols>
    <col min="1" max="1" width="8.5546875" bestFit="1" customWidth="1"/>
    <col min="2" max="2" width="7.6640625" bestFit="1" customWidth="1"/>
    <col min="3" max="4" width="8.5546875" bestFit="1" customWidth="1"/>
    <col min="5" max="5" width="8.6640625" bestFit="1" customWidth="1"/>
    <col min="6" max="6" width="10.5546875" bestFit="1" customWidth="1"/>
    <col min="7" max="7" width="12.109375" bestFit="1" customWidth="1"/>
    <col min="8" max="8" width="10.88671875" bestFit="1" customWidth="1"/>
    <col min="9" max="9" width="7.109375" bestFit="1" customWidth="1"/>
    <col min="10" max="10" width="10.5546875" bestFit="1" customWidth="1"/>
    <col min="11" max="11" width="5.88671875" bestFit="1" customWidth="1"/>
    <col min="12" max="12" width="6.109375" bestFit="1" customWidth="1"/>
    <col min="14" max="14" width="12" bestFit="1" customWidth="1"/>
    <col min="15" max="15" width="11.6640625" bestFit="1" customWidth="1"/>
    <col min="16" max="16" width="16" bestFit="1" customWidth="1"/>
    <col min="17" max="17" width="14.44140625" bestFit="1" customWidth="1"/>
    <col min="18" max="18" width="12.6640625" bestFit="1" customWidth="1"/>
    <col min="19" max="19" width="16" bestFit="1" customWidth="1"/>
    <col min="20" max="20" width="14.44140625" bestFit="1" customWidth="1"/>
    <col min="21" max="21" width="12.6640625" bestFit="1" customWidth="1"/>
    <col min="22" max="22" width="16.109375" bestFit="1" customWidth="1"/>
    <col min="23" max="23" width="14.5546875" bestFit="1" customWidth="1"/>
    <col min="24" max="24" width="12.88671875" bestFit="1" customWidth="1"/>
    <col min="25" max="25" width="9.44140625" bestFit="1" customWidth="1"/>
    <col min="26" max="26" width="6.88671875" bestFit="1" customWidth="1"/>
    <col min="27" max="27" width="9.44140625" bestFit="1" customWidth="1"/>
    <col min="28" max="28" width="6.88671875" bestFit="1" customWidth="1"/>
    <col min="29" max="29" width="12" bestFit="1" customWidth="1"/>
    <col min="30" max="30" width="10" bestFit="1" customWidth="1"/>
    <col min="31" max="31" width="11.44140625" bestFit="1" customWidth="1"/>
    <col min="32" max="32" width="9" bestFit="1" customWidth="1"/>
    <col min="33" max="33" width="10.44140625" bestFit="1" customWidth="1"/>
    <col min="34" max="34" width="10.6640625" bestFit="1" customWidth="1"/>
    <col min="35" max="35" width="8.109375" bestFit="1" customWidth="1"/>
    <col min="36" max="36" width="10.6640625" bestFit="1" customWidth="1"/>
    <col min="37" max="37" width="8.109375" bestFit="1" customWidth="1"/>
    <col min="38" max="38" width="10.33203125" bestFit="1" customWidth="1"/>
    <col min="39" max="39" width="11.88671875" bestFit="1" customWidth="1"/>
    <col min="40" max="40" width="7.109375" bestFit="1" customWidth="1"/>
    <col min="41" max="41" width="8.44140625" bestFit="1" customWidth="1"/>
    <col min="42" max="42" width="10.88671875" bestFit="1" customWidth="1"/>
    <col min="43" max="43" width="4.6640625" bestFit="1" customWidth="1"/>
  </cols>
  <sheetData>
    <row r="1" spans="1:44" x14ac:dyDescent="0.25">
      <c r="A1" t="s">
        <v>278</v>
      </c>
      <c r="B1" t="s">
        <v>279</v>
      </c>
      <c r="C1" t="s">
        <v>280</v>
      </c>
      <c r="D1" t="s">
        <v>281</v>
      </c>
      <c r="E1" s="10" t="s">
        <v>282</v>
      </c>
      <c r="F1" t="s">
        <v>155</v>
      </c>
      <c r="G1" t="s">
        <v>156</v>
      </c>
      <c r="H1" s="10" t="s">
        <v>181</v>
      </c>
      <c r="I1" s="10" t="s">
        <v>10</v>
      </c>
      <c r="J1" t="s">
        <v>258</v>
      </c>
      <c r="K1" t="s">
        <v>157</v>
      </c>
      <c r="L1" s="10" t="s">
        <v>11</v>
      </c>
      <c r="M1" t="s">
        <v>171</v>
      </c>
      <c r="N1" t="s">
        <v>158</v>
      </c>
      <c r="O1" t="s">
        <v>159</v>
      </c>
      <c r="P1" t="s">
        <v>283</v>
      </c>
      <c r="Q1" t="s">
        <v>284</v>
      </c>
      <c r="R1" t="s">
        <v>285</v>
      </c>
      <c r="S1" t="s">
        <v>286</v>
      </c>
      <c r="T1" t="s">
        <v>287</v>
      </c>
      <c r="U1" t="s">
        <v>288</v>
      </c>
      <c r="V1" t="s">
        <v>289</v>
      </c>
      <c r="W1" t="s">
        <v>290</v>
      </c>
      <c r="X1" t="s">
        <v>291</v>
      </c>
      <c r="Y1" t="s">
        <v>160</v>
      </c>
      <c r="Z1" t="s">
        <v>1</v>
      </c>
      <c r="AA1" s="10" t="s">
        <v>164</v>
      </c>
      <c r="AB1" t="s">
        <v>2</v>
      </c>
      <c r="AC1" s="10" t="s">
        <v>168</v>
      </c>
      <c r="AD1" s="10" t="s">
        <v>254</v>
      </c>
      <c r="AE1" t="s">
        <v>175</v>
      </c>
      <c r="AF1" t="s">
        <v>176</v>
      </c>
      <c r="AG1" t="s">
        <v>177</v>
      </c>
      <c r="AH1" t="s">
        <v>161</v>
      </c>
      <c r="AI1" t="s">
        <v>162</v>
      </c>
      <c r="AJ1" t="s">
        <v>165</v>
      </c>
      <c r="AK1" t="s">
        <v>163</v>
      </c>
      <c r="AL1" t="s">
        <v>166</v>
      </c>
      <c r="AM1" t="s">
        <v>167</v>
      </c>
      <c r="AN1" t="s">
        <v>169</v>
      </c>
      <c r="AO1" t="s">
        <v>170</v>
      </c>
      <c r="AP1" t="s">
        <v>178</v>
      </c>
      <c r="AQ1" t="s">
        <v>231</v>
      </c>
      <c r="AR1" s="6" t="s">
        <v>154</v>
      </c>
    </row>
    <row r="2" spans="1:44" x14ac:dyDescent="0.25">
      <c r="A2">
        <v>6</v>
      </c>
      <c r="B2" t="s">
        <v>12</v>
      </c>
      <c r="C2" t="s">
        <v>303</v>
      </c>
      <c r="D2" t="s">
        <v>304</v>
      </c>
      <c r="E2" t="s">
        <v>104</v>
      </c>
      <c r="F2">
        <v>2</v>
      </c>
      <c r="G2" t="s">
        <v>20</v>
      </c>
      <c r="H2" t="s">
        <v>15</v>
      </c>
      <c r="I2" t="s">
        <v>32</v>
      </c>
      <c r="J2">
        <v>950</v>
      </c>
      <c r="K2">
        <v>1</v>
      </c>
      <c r="L2">
        <v>950</v>
      </c>
      <c r="M2">
        <v>7.0000000000000007E-2</v>
      </c>
      <c r="N2">
        <v>1</v>
      </c>
      <c r="O2">
        <v>950</v>
      </c>
      <c r="P2">
        <v>0</v>
      </c>
      <c r="Q2" s="30">
        <v>0</v>
      </c>
      <c r="R2" t="b">
        <v>0</v>
      </c>
      <c r="S2">
        <v>0</v>
      </c>
      <c r="T2" s="30">
        <v>0</v>
      </c>
      <c r="U2" t="b">
        <v>0</v>
      </c>
      <c r="V2">
        <v>0</v>
      </c>
      <c r="W2" s="30">
        <v>0</v>
      </c>
      <c r="X2" t="b">
        <v>0</v>
      </c>
      <c r="Y2">
        <v>50</v>
      </c>
      <c r="Z2">
        <v>475</v>
      </c>
      <c r="AA2">
        <v>60</v>
      </c>
      <c r="AB2">
        <v>570</v>
      </c>
      <c r="AC2">
        <v>0.83333333333333337</v>
      </c>
      <c r="AD2">
        <v>7.0000000000000007E-2</v>
      </c>
      <c r="AE2">
        <v>7.0000000000000007E-2</v>
      </c>
      <c r="AF2">
        <v>0</v>
      </c>
      <c r="AG2">
        <v>-1</v>
      </c>
      <c r="AH2">
        <v>0</v>
      </c>
      <c r="AI2">
        <v>0</v>
      </c>
      <c r="AJ2">
        <v>0</v>
      </c>
      <c r="AK2">
        <v>0</v>
      </c>
      <c r="AL2">
        <v>0</v>
      </c>
      <c r="AM2">
        <v>-1</v>
      </c>
      <c r="AN2">
        <v>475</v>
      </c>
      <c r="AO2">
        <v>570</v>
      </c>
      <c r="AP2" t="s">
        <v>321</v>
      </c>
      <c r="AQ2">
        <v>8</v>
      </c>
      <c r="AR2">
        <v>1</v>
      </c>
    </row>
    <row r="3" spans="1:44" x14ac:dyDescent="0.25">
      <c r="A3">
        <v>6</v>
      </c>
      <c r="B3" t="s">
        <v>12</v>
      </c>
      <c r="C3" t="s">
        <v>305</v>
      </c>
      <c r="D3" t="s">
        <v>304</v>
      </c>
      <c r="E3" t="s">
        <v>103</v>
      </c>
      <c r="F3">
        <v>3</v>
      </c>
      <c r="G3" t="s">
        <v>20</v>
      </c>
      <c r="H3" t="s">
        <v>15</v>
      </c>
      <c r="I3" t="s">
        <v>54</v>
      </c>
      <c r="J3">
        <v>800</v>
      </c>
      <c r="K3">
        <v>1</v>
      </c>
      <c r="L3">
        <v>800</v>
      </c>
      <c r="M3">
        <v>0.15</v>
      </c>
      <c r="N3">
        <v>1</v>
      </c>
      <c r="O3">
        <v>800</v>
      </c>
      <c r="P3">
        <v>0</v>
      </c>
      <c r="Q3" s="30">
        <v>0</v>
      </c>
      <c r="R3" t="b">
        <v>0</v>
      </c>
      <c r="S3">
        <v>0</v>
      </c>
      <c r="T3" s="30">
        <v>0</v>
      </c>
      <c r="U3" t="b">
        <v>0</v>
      </c>
      <c r="V3">
        <v>0</v>
      </c>
      <c r="W3" s="30">
        <v>0</v>
      </c>
      <c r="X3" t="b">
        <v>0</v>
      </c>
      <c r="Y3">
        <v>50</v>
      </c>
      <c r="Z3">
        <v>400</v>
      </c>
      <c r="AA3">
        <v>60</v>
      </c>
      <c r="AB3">
        <v>480</v>
      </c>
      <c r="AC3">
        <v>0.83333333333333337</v>
      </c>
      <c r="AD3">
        <v>0.15</v>
      </c>
      <c r="AE3">
        <v>0.15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L3">
        <v>0</v>
      </c>
      <c r="AM3">
        <v>-1</v>
      </c>
      <c r="AN3">
        <v>400</v>
      </c>
      <c r="AO3">
        <v>480</v>
      </c>
      <c r="AP3" t="s">
        <v>321</v>
      </c>
      <c r="AQ3">
        <v>7</v>
      </c>
      <c r="AR3">
        <v>2</v>
      </c>
    </row>
    <row r="4" spans="1:44" x14ac:dyDescent="0.25">
      <c r="A4">
        <v>6</v>
      </c>
      <c r="B4" t="s">
        <v>12</v>
      </c>
      <c r="C4" t="s">
        <v>310</v>
      </c>
      <c r="D4" t="s">
        <v>304</v>
      </c>
      <c r="E4" t="s">
        <v>96</v>
      </c>
      <c r="F4">
        <v>8</v>
      </c>
      <c r="G4" t="s">
        <v>20</v>
      </c>
      <c r="H4" t="s">
        <v>16</v>
      </c>
      <c r="I4" t="s">
        <v>70</v>
      </c>
      <c r="J4">
        <v>600</v>
      </c>
      <c r="K4">
        <v>1</v>
      </c>
      <c r="L4">
        <v>600</v>
      </c>
      <c r="M4">
        <v>0.05</v>
      </c>
      <c r="N4">
        <v>1</v>
      </c>
      <c r="O4">
        <v>600</v>
      </c>
      <c r="P4">
        <v>0</v>
      </c>
      <c r="Q4" s="30">
        <v>0</v>
      </c>
      <c r="R4" t="b">
        <v>0</v>
      </c>
      <c r="S4">
        <v>0</v>
      </c>
      <c r="T4" s="30">
        <v>0</v>
      </c>
      <c r="U4" t="b">
        <v>0</v>
      </c>
      <c r="V4">
        <v>0</v>
      </c>
      <c r="W4" s="30">
        <v>0</v>
      </c>
      <c r="X4" t="b">
        <v>0</v>
      </c>
      <c r="Y4">
        <v>90</v>
      </c>
      <c r="Z4">
        <v>540</v>
      </c>
      <c r="AA4">
        <v>90</v>
      </c>
      <c r="AB4">
        <v>540</v>
      </c>
      <c r="AC4">
        <v>1</v>
      </c>
      <c r="AD4">
        <v>0.05</v>
      </c>
      <c r="AE4">
        <v>0.05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L4">
        <v>0</v>
      </c>
      <c r="AM4">
        <v>-1</v>
      </c>
      <c r="AN4">
        <v>540</v>
      </c>
      <c r="AO4">
        <v>540</v>
      </c>
      <c r="AP4" t="s">
        <v>321</v>
      </c>
      <c r="AQ4">
        <v>6</v>
      </c>
      <c r="AR4">
        <v>3</v>
      </c>
    </row>
    <row r="5" spans="1:44" x14ac:dyDescent="0.25">
      <c r="A5">
        <v>6</v>
      </c>
      <c r="B5" t="s">
        <v>12</v>
      </c>
      <c r="C5" t="s">
        <v>309</v>
      </c>
      <c r="D5" t="s">
        <v>302</v>
      </c>
      <c r="E5" t="s">
        <v>95</v>
      </c>
      <c r="F5">
        <v>7</v>
      </c>
      <c r="G5" t="s">
        <v>21</v>
      </c>
      <c r="H5" t="s">
        <v>16</v>
      </c>
      <c r="I5" t="s">
        <v>17</v>
      </c>
      <c r="J5">
        <v>400</v>
      </c>
      <c r="K5">
        <v>1</v>
      </c>
      <c r="L5">
        <v>400</v>
      </c>
      <c r="M5">
        <v>0</v>
      </c>
      <c r="N5">
        <v>1</v>
      </c>
      <c r="O5">
        <v>400</v>
      </c>
      <c r="P5">
        <v>0</v>
      </c>
      <c r="Q5" s="30">
        <v>0</v>
      </c>
      <c r="R5" t="b">
        <v>0</v>
      </c>
      <c r="S5">
        <v>0</v>
      </c>
      <c r="T5" s="30">
        <v>0</v>
      </c>
      <c r="U5" t="b">
        <v>0</v>
      </c>
      <c r="V5">
        <v>0</v>
      </c>
      <c r="W5" s="30">
        <v>0</v>
      </c>
      <c r="X5" t="b">
        <v>0</v>
      </c>
      <c r="Y5">
        <v>80</v>
      </c>
      <c r="Z5">
        <v>320</v>
      </c>
      <c r="AA5">
        <v>80</v>
      </c>
      <c r="AB5">
        <v>320</v>
      </c>
      <c r="AC5">
        <v>1</v>
      </c>
      <c r="AD5">
        <v>0</v>
      </c>
      <c r="AE5">
        <v>0</v>
      </c>
      <c r="AF5">
        <v>0</v>
      </c>
      <c r="AG5">
        <v>-1</v>
      </c>
      <c r="AH5">
        <v>0</v>
      </c>
      <c r="AI5">
        <v>0</v>
      </c>
      <c r="AJ5">
        <v>0</v>
      </c>
      <c r="AK5">
        <v>0</v>
      </c>
      <c r="AL5">
        <v>0</v>
      </c>
      <c r="AM5">
        <v>-1</v>
      </c>
      <c r="AN5">
        <v>320</v>
      </c>
      <c r="AO5">
        <v>320</v>
      </c>
      <c r="AP5" t="s">
        <v>321</v>
      </c>
      <c r="AQ5">
        <v>5</v>
      </c>
      <c r="AR5">
        <v>4</v>
      </c>
    </row>
    <row r="6" spans="1:44" x14ac:dyDescent="0.25">
      <c r="A6">
        <v>6</v>
      </c>
      <c r="B6" t="s">
        <v>12</v>
      </c>
      <c r="C6" t="s">
        <v>308</v>
      </c>
      <c r="D6" t="s">
        <v>304</v>
      </c>
      <c r="E6" t="s">
        <v>94</v>
      </c>
      <c r="F6">
        <v>6</v>
      </c>
      <c r="G6" t="s">
        <v>18</v>
      </c>
      <c r="H6" t="s">
        <v>16</v>
      </c>
      <c r="I6" t="s">
        <v>45</v>
      </c>
      <c r="J6">
        <v>250</v>
      </c>
      <c r="K6">
        <v>1</v>
      </c>
      <c r="L6">
        <v>250</v>
      </c>
      <c r="M6">
        <v>0.15</v>
      </c>
      <c r="N6">
        <v>1</v>
      </c>
      <c r="O6">
        <v>250</v>
      </c>
      <c r="P6">
        <v>0</v>
      </c>
      <c r="Q6" s="30">
        <v>0</v>
      </c>
      <c r="R6" t="b">
        <v>0</v>
      </c>
      <c r="S6">
        <v>0</v>
      </c>
      <c r="T6" s="30">
        <v>0</v>
      </c>
      <c r="U6" t="b">
        <v>0</v>
      </c>
      <c r="V6">
        <v>0</v>
      </c>
      <c r="W6" s="30">
        <v>0</v>
      </c>
      <c r="X6" t="b">
        <v>0</v>
      </c>
      <c r="Y6">
        <v>70</v>
      </c>
      <c r="Z6">
        <v>175</v>
      </c>
      <c r="AA6">
        <v>70</v>
      </c>
      <c r="AB6">
        <v>175</v>
      </c>
      <c r="AC6">
        <v>1</v>
      </c>
      <c r="AD6">
        <v>0.15</v>
      </c>
      <c r="AE6">
        <v>0.15</v>
      </c>
      <c r="AF6">
        <v>0</v>
      </c>
      <c r="AG6">
        <v>-1</v>
      </c>
      <c r="AH6">
        <v>0</v>
      </c>
      <c r="AI6">
        <v>0</v>
      </c>
      <c r="AJ6">
        <v>0</v>
      </c>
      <c r="AK6">
        <v>0</v>
      </c>
      <c r="AL6">
        <v>0</v>
      </c>
      <c r="AM6">
        <v>-1</v>
      </c>
      <c r="AN6">
        <v>175</v>
      </c>
      <c r="AO6">
        <v>175</v>
      </c>
      <c r="AP6" t="s">
        <v>321</v>
      </c>
      <c r="AQ6">
        <v>4</v>
      </c>
      <c r="AR6">
        <v>5</v>
      </c>
    </row>
  </sheetData>
  <autoFilter ref="A1:AR6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B0FF3BE-777B-47D2-B619-CCD68E8BDE4C}">
  <ds:schemaRefs>
    <ds:schemaRef ds:uri="http://schemas.openxmlformats.org/package/2006/metadata/core-properties"/>
    <ds:schemaRef ds:uri="http://schemas.microsoft.com/office/infopath/2007/PartnerControls"/>
    <ds:schemaRef ds:uri="http://schemas.microsoft.com/sharepoint/v4"/>
    <ds:schemaRef ds:uri="http://purl.org/dc/dcmitype/"/>
    <ds:schemaRef ds:uri="http://www.w3.org/XML/1998/namespace"/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</ds:schemaRefs>
</ds:datastoreItem>
</file>

<file path=customXml/itemProps2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haircut</vt:lpstr>
      <vt:lpstr>assets</vt:lpstr>
      <vt:lpstr>expos</vt:lpstr>
      <vt:lpstr>pivot</vt:lpstr>
      <vt:lpstr>steps</vt:lpstr>
      <vt:lpstr>final</vt:lpstr>
      <vt:lpstr>sample_sort</vt:lpstr>
      <vt:lpstr>in</vt:lpstr>
      <vt:lpstr>out</vt:lpstr>
      <vt:lpstr>objModel</vt:lpstr>
      <vt:lpstr>expo_temp</vt:lpstr>
      <vt:lpstr>expo_results</vt:lpstr>
      <vt:lpstr>assets_results</vt:lpstr>
      <vt:lpstr>asst_temp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Naren SS</cp:lastModifiedBy>
  <dcterms:created xsi:type="dcterms:W3CDTF">2017-03-21T15:58:16Z</dcterms:created>
  <dcterms:modified xsi:type="dcterms:W3CDTF">2017-05-21T03:43:06Z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